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Other computers\My Laptop\FILE PELAYANAN\SUKET KELAHIRAN\"/>
    </mc:Choice>
  </mc:AlternateContent>
  <bookViews>
    <workbookView xWindow="0" yWindow="0" windowWidth="20295" windowHeight="6870" activeTab="11"/>
  </bookViews>
  <sheets>
    <sheet name="ISIAN DATA" sheetId="25" r:id="rId1"/>
    <sheet name="kwiTANSI" sheetId="2" state="hidden" r:id="rId2"/>
    <sheet name="PAPAN PROYEK" sheetId="3" state="hidden" r:id="rId3"/>
    <sheet name="form 3 RPD" sheetId="4" state="hidden" r:id="rId4"/>
    <sheet name="Form.N-1" sheetId="5" state="hidden" r:id="rId5"/>
    <sheet name="Form.N-2" sheetId="6" state="hidden" r:id="rId6"/>
    <sheet name="Form. N-3" sheetId="7" state="hidden" r:id="rId7"/>
    <sheet name="Form.N - 4" sheetId="8" state="hidden" r:id="rId8"/>
    <sheet name="Form. N7" sheetId="9" state="hidden" r:id="rId9"/>
    <sheet name="Surat Kematian" sheetId="10" state="hidden" r:id="rId10"/>
    <sheet name="SUKET KEMATIAN B" sheetId="11" state="hidden" r:id="rId11"/>
    <sheet name="Surat Kelahiran" sheetId="12" r:id="rId12"/>
    <sheet name="RAB LAPANGAN" sheetId="13" state="hidden" r:id="rId13"/>
    <sheet name="Sheet5" sheetId="14" state="hidden" r:id="rId14"/>
    <sheet name="Sheet1" sheetId="15" state="hidden" r:id="rId15"/>
    <sheet name="FOM.KK" sheetId="17" state="hidden" r:id="rId16"/>
    <sheet name="Sheet2" sheetId="18" state="hidden" r:id="rId17"/>
    <sheet name="Sheet3" sheetId="19" state="hidden" r:id="rId18"/>
    <sheet name="pindah datang" sheetId="20" state="hidden" r:id="rId19"/>
    <sheet name="PENG NU" sheetId="21" state="hidden" r:id="rId20"/>
    <sheet name="Surat Pengantar Pindah" sheetId="22" state="hidden" r:id="rId21"/>
    <sheet name="Sheet6" sheetId="23" state="hidden" r:id="rId22"/>
    <sheet name="Sheet4" sheetId="24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Fill" localSheetId="0">#REF!</definedName>
    <definedName name="_Fill" localSheetId="2">#REF!</definedName>
    <definedName name="_Fill">#REF!</definedName>
    <definedName name="_Key1" localSheetId="0">#REF!</definedName>
    <definedName name="_Key1" localSheetId="2">#REF!</definedName>
    <definedName name="_Key1">#REF!</definedName>
    <definedName name="_Key2" localSheetId="0">#REF!</definedName>
    <definedName name="_Key2" localSheetId="2">#REF!</definedName>
    <definedName name="_Key2">#REF!</definedName>
    <definedName name="_Order1">255</definedName>
    <definedName name="_Order2">255</definedName>
    <definedName name="_Sort" localSheetId="0">#REF!</definedName>
    <definedName name="_Sort" localSheetId="2">#REF!</definedName>
    <definedName name="_Sort">#REF!</definedName>
    <definedName name="A" localSheetId="0">#REF!</definedName>
    <definedName name="A">#REF!</definedName>
    <definedName name="A.18" localSheetId="0">#REF!</definedName>
    <definedName name="A.18">#REF!</definedName>
    <definedName name="A.18_74" localSheetId="0">'[1]DAFTAR ANALYSA'!#REF!</definedName>
    <definedName name="A.18_74">'[1]DAFTAR ANALYSA'!#REF!</definedName>
    <definedName name="A.18_76" localSheetId="0">#REF!</definedName>
    <definedName name="A.18_76">#REF!</definedName>
    <definedName name="A.18_76_86" localSheetId="0">'[2]TEMBUS TPI ok Dokumen'!#REF!</definedName>
    <definedName name="A.18_76_86">'[2]TEMBUS TPI ok Dokumen'!#REF!</definedName>
    <definedName name="A.18_77" localSheetId="0">#REF!</definedName>
    <definedName name="A.18_77">#REF!</definedName>
    <definedName name="A.18_78" localSheetId="0">#REF!</definedName>
    <definedName name="A.18_78">#REF!</definedName>
    <definedName name="A.18_78_89" localSheetId="0">'[2]BJNGBTAT_PADURKSA ok _2_'!#REF!</definedName>
    <definedName name="A.18_78_89">'[2]BJNGBTAT_PADURKSA ok _2_'!#REF!</definedName>
    <definedName name="A.18_79" localSheetId="0">#REF!</definedName>
    <definedName name="A.18_79">#REF!</definedName>
    <definedName name="A.18_79_122" localSheetId="0">'[2]SULAWESI _2_'!#REF!</definedName>
    <definedName name="A.18_79_122">'[2]SULAWESI _2_'!#REF!</definedName>
    <definedName name="A.18_79_91" localSheetId="0">'[2]MENUR ok Dokumen'!#REF!</definedName>
    <definedName name="A.18_79_91">'[2]MENUR ok Dokumen'!#REF!</definedName>
    <definedName name="A.18_79_92" localSheetId="0">[2]SULAWESI!#REF!</definedName>
    <definedName name="A.18_79_92">[2]SULAWESI!#REF!</definedName>
    <definedName name="A.18_79_93" localSheetId="0">'[2]SULAWESI Dokumen'!#REF!</definedName>
    <definedName name="A.18_79_93">'[2]SULAWESI Dokumen'!#REF!</definedName>
    <definedName name="A.18_80" localSheetId="0">#REF!</definedName>
    <definedName name="A.18_80">#REF!</definedName>
    <definedName name="A.18_81" localSheetId="0">#REF!</definedName>
    <definedName name="A.18_81">#REF!</definedName>
    <definedName name="A.18_81_96" localSheetId="0">'[2]KOTA COMAL _Dokumen_'!#REF!</definedName>
    <definedName name="A.18_81_96">'[2]KOTA COMAL _Dokumen_'!#REF!</definedName>
    <definedName name="A.18_82" localSheetId="0">#REF!</definedName>
    <definedName name="A.18_82">#REF!</definedName>
    <definedName name="A.18_82_98" localSheetId="0">'[2]LING KOTA COMAL _Dokumen_'!#REF!</definedName>
    <definedName name="A.18_82_98">'[2]LING KOTA COMAL _Dokumen_'!#REF!</definedName>
    <definedName name="A.18_83" localSheetId="0">#REF!</definedName>
    <definedName name="A.18_83">#REF!</definedName>
    <definedName name="A.18_83_100" localSheetId="0">'[2]TERMINAL COMAL _Dokumen_'!#REF!</definedName>
    <definedName name="A.18_83_100">'[2]TERMINAL COMAL _Dokumen_'!#REF!</definedName>
    <definedName name="A.18_84" localSheetId="0">#REF!</definedName>
    <definedName name="A.18_84">#REF!</definedName>
    <definedName name="A.18_84_102" localSheetId="0">'[2]AMBOKULON_BLENDUNG _Dokumen_'!#REF!</definedName>
    <definedName name="A.18_84_102">'[2]AMBOKULON_BLENDUNG _Dokumen_'!#REF!</definedName>
    <definedName name="A.18_85" localSheetId="0">#REF!</definedName>
    <definedName name="A.18_85">#REF!</definedName>
    <definedName name="A.18_85_104" localSheetId="0">'[2]COMAL _  BODEH _Dokumen_'!#REF!</definedName>
    <definedName name="A.18_85_104">'[2]COMAL _  BODEH _Dokumen_'!#REF!</definedName>
    <definedName name="A.18_86" localSheetId="0">#REF!</definedName>
    <definedName name="A.18_86">#REF!</definedName>
    <definedName name="A.18_86_106" localSheetId="0">'[2]TEGALMLATI _ LONING _Dokumen_'!#REF!</definedName>
    <definedName name="A.18_86_106">'[2]TEGALMLATI _ LONING _Dokumen_'!#REF!</definedName>
    <definedName name="A.18_87" localSheetId="0">#REF!</definedName>
    <definedName name="A.18_87">#REF!</definedName>
    <definedName name="A.18_87_108" localSheetId="0">'[2]WIDODAREN _ KARANG ASEM _Dokum_'!#REF!</definedName>
    <definedName name="A.18_87_108">'[2]WIDODAREN _ KARANG ASEM _Dokum_'!#REF!</definedName>
    <definedName name="A.18_88" localSheetId="0">#REF!</definedName>
    <definedName name="A.18_88">#REF!</definedName>
    <definedName name="A.18_88_110" localSheetId="0">'[2]PESUCEN _ SIDOKARE _Dokumen_'!#REF!</definedName>
    <definedName name="A.18_88_110">'[2]PESUCEN _ SIDOKARE _Dokumen_'!#REF!</definedName>
    <definedName name="A.18_89" localSheetId="0">#REF!</definedName>
    <definedName name="A.18_89">#REF!</definedName>
    <definedName name="A.18_89_112" localSheetId="0">'[2]WARUNGPRING_TEGALHARJA _Dokume_'!#REF!</definedName>
    <definedName name="A.18_89_112">'[2]WARUNGPRING_TEGALHARJA _Dokume_'!#REF!</definedName>
    <definedName name="A.18_89_113" localSheetId="0">[2]XTRNG_RDD!#REF!</definedName>
    <definedName name="A.18_89_113">[2]XTRNG_RDD!#REF!</definedName>
    <definedName name="A.18_89_114" localSheetId="0">'[2]XTRNG_RDD _Dokumen_'!#REF!</definedName>
    <definedName name="A.18_89_114">'[2]XTRNG_RDD _Dokumen_'!#REF!</definedName>
    <definedName name="A.18_89_115" localSheetId="0">[2]KRNGTNGH_PAKEMBARAN!#REF!</definedName>
    <definedName name="A.18_89_115">[2]KRNGTNGH_PAKEMBARAN!#REF!</definedName>
    <definedName name="A.18_89_116" localSheetId="0">'[2]KRNGTNGH_PAKEMBARAN _Dokumen_'!#REF!</definedName>
    <definedName name="A.18_89_116">'[2]KRNGTNGH_PAKEMBARAN _Dokumen_'!#REF!</definedName>
    <definedName name="A.18_89_117" localSheetId="0">[2]SIKASUR_XPAKU!#REF!</definedName>
    <definedName name="A.18_89_117">[2]SIKASUR_XPAKU!#REF!</definedName>
    <definedName name="A.18_89_118" localSheetId="0">'[2]SIKASUR_XPAKU _Dokumen _'!#REF!</definedName>
    <definedName name="A.18_89_118">'[2]SIKASUR_XPAKU _Dokumen _'!#REF!</definedName>
    <definedName name="A.18_89_119" localSheetId="0">'[2]TEMBUS TERMINAL RDD'!#REF!</definedName>
    <definedName name="A.18_89_119">'[2]TEMBUS TERMINAL RDD'!#REF!</definedName>
    <definedName name="A.18_89_120" localSheetId="0">'[2]TEMBUS TERMINAL RDD _2_'!#REF!</definedName>
    <definedName name="A.18_89_120">'[2]TEMBUS TERMINAL RDD _2_'!#REF!</definedName>
    <definedName name="A.18_89_121" localSheetId="0">'[2]K_ ANYER'!#REF!</definedName>
    <definedName name="A.18_89_121">'[2]K_ ANYER'!#REF!</definedName>
    <definedName name="A.18_89_123" localSheetId="0">'[2]YOS SUDARSO'!#REF!</definedName>
    <definedName name="A.18_89_123">'[2]YOS SUDARSO'!#REF!</definedName>
    <definedName name="A.18_89_124" localSheetId="0">#REF!</definedName>
    <definedName name="A.18_89_124">#REF!</definedName>
    <definedName name="A.18_89_125" localSheetId="0">'[2]YOS SUDARSO _Alternatip_ _Doku_'!#REF!</definedName>
    <definedName name="A.18_89_125">'[2]YOS SUDARSO _Alternatip_ _Doku_'!#REF!</definedName>
    <definedName name="A.18_89_126" localSheetId="0">'[2]K_ ANYER _2_'!#REF!</definedName>
    <definedName name="A.18_89_126">'[2]K_ ANYER _2_'!#REF!</definedName>
    <definedName name="A.18_89_127" localSheetId="0">'[2]REKAP PAKET 3'!#REF!</definedName>
    <definedName name="A.18_89_127">'[2]REKAP PAKET 3'!#REF!</definedName>
    <definedName name="A.18_89_128" localSheetId="0">'[2]REKAP PAKET 4'!#REF!</definedName>
    <definedName name="A.18_89_128">'[2]REKAP PAKET 4'!#REF!</definedName>
    <definedName name="A.18_89_129" localSheetId="0">'[2]REKAP PAKET 5 '!#REF!</definedName>
    <definedName name="A.18_89_129">'[2]REKAP PAKET 5 '!#REF!</definedName>
    <definedName name="A.18_89_130" localSheetId="0">'[2]REKAP PAKET 5 DOKUMEN'!#REF!</definedName>
    <definedName name="A.18_89_130">'[2]REKAP PAKET 5 DOKUMEN'!#REF!</definedName>
    <definedName name="A.18_89_131" localSheetId="0">'[2]REKAP PAKET 7'!#REF!</definedName>
    <definedName name="A.18_89_131">'[2]REKAP PAKET 7'!#REF!</definedName>
    <definedName name="A.18_89_132" localSheetId="0">'[2]REKAP PAKET 7 _2_'!#REF!</definedName>
    <definedName name="A.18_89_132">'[2]REKAP PAKET 7 _2_'!#REF!</definedName>
    <definedName name="abubatu" localSheetId="0">[1]E_001!#REF!</definedName>
    <definedName name="abubatu">[1]E_001!#REF!</definedName>
    <definedName name="abubatu_4" localSheetId="0">[2]E_010!#REF!</definedName>
    <definedName name="abubatu_4">[2]E_010!#REF!</definedName>
    <definedName name="abubatu_74" localSheetId="0">[3]K_641A!#REF!</definedName>
    <definedName name="abubatu_74">[3]K_641A!#REF!</definedName>
    <definedName name="alatbantu" localSheetId="0">[1]E_001!#REF!</definedName>
    <definedName name="alatbantu">[1]E_001!#REF!</definedName>
    <definedName name="alatbantu_4" localSheetId="0">[2]E_010!#REF!</definedName>
    <definedName name="alatbantu_4">[2]E_010!#REF!</definedName>
    <definedName name="Amplas" localSheetId="0">#REF!</definedName>
    <definedName name="Amplas" localSheetId="2">#REF!</definedName>
    <definedName name="Amplas">#REF!</definedName>
    <definedName name="ANALISA" localSheetId="0">#REF!</definedName>
    <definedName name="ANALISA">#REF!</definedName>
    <definedName name="angkur" localSheetId="0">#REF!</definedName>
    <definedName name="angkur" localSheetId="2">#REF!</definedName>
    <definedName name="angkur">#REF!</definedName>
    <definedName name="Anl.A.1" localSheetId="0">[1]E_031!#REF!</definedName>
    <definedName name="Anl.A.1">[1]E_031!#REF!</definedName>
    <definedName name="Anl.A.1_74" localSheetId="0">'[1]DAFTAR ANALYSA'!#REF!</definedName>
    <definedName name="Anl.A.1_74">'[1]DAFTAR ANALYSA'!#REF!</definedName>
    <definedName name="Anl.A.3" localSheetId="0">[1]E_031!#REF!</definedName>
    <definedName name="Anl.A.3">[1]E_031!#REF!</definedName>
    <definedName name="Anl.A.3_74" localSheetId="0">'[1]DAFTAR ANALYSA'!#REF!</definedName>
    <definedName name="Anl.A.3_74">'[1]DAFTAR ANALYSA'!#REF!</definedName>
    <definedName name="asbesgel" localSheetId="0">[1]E_001!#REF!</definedName>
    <definedName name="asbesgel">[1]E_001!#REF!</definedName>
    <definedName name="asbesgel_4" localSheetId="0">[2]E_010!#REF!</definedName>
    <definedName name="asbesgel_4">[2]E_010!#REF!</definedName>
    <definedName name="asbesgel_74">[3]K_641A!$E$50</definedName>
    <definedName name="asbesgelkecil" localSheetId="0">[1]E_001!#REF!</definedName>
    <definedName name="asbesgelkecil">[1]E_001!#REF!</definedName>
    <definedName name="asbesgelkecil_4" localSheetId="0">[2]E_010!#REF!</definedName>
    <definedName name="asbesgelkecil_4">[2]E_010!#REF!</definedName>
    <definedName name="aspal" localSheetId="0">[1]E_001!#REF!</definedName>
    <definedName name="aspal">[1]E_001!#REF!</definedName>
    <definedName name="aspal_4" localSheetId="0">[2]E_010!#REF!</definedName>
    <definedName name="aspal_4">[2]E_010!#REF!</definedName>
    <definedName name="aspal_74">[3]K_641A!$E$57</definedName>
    <definedName name="ATB" localSheetId="0">[1]D6!#REF!</definedName>
    <definedName name="ATB">[1]D6!#REF!</definedName>
    <definedName name="B" localSheetId="0">#REF!</definedName>
    <definedName name="B">#REF!</definedName>
    <definedName name="Bambu__Suling_suling_air" localSheetId="2">'[4]HaRgA SaT'!$C$6</definedName>
    <definedName name="Bambu__Suling_suling_air">'[4]HaRgA SaT'!$C$6</definedName>
    <definedName name="Batu_10_15" localSheetId="0">#REF!</definedName>
    <definedName name="Batu_10_15" localSheetId="2">#REF!</definedName>
    <definedName name="Batu_10_15">#REF!</definedName>
    <definedName name="Batu_5_7" localSheetId="0">#REF!</definedName>
    <definedName name="Batu_5_7" localSheetId="2">#REF!</definedName>
    <definedName name="Batu_5_7">#REF!</definedName>
    <definedName name="Batu_Bata" localSheetId="2">'[4]HaRgA SaT'!$C$18</definedName>
    <definedName name="Batu_Bata">'[4]HaRgA SaT'!$C$18</definedName>
    <definedName name="Batu_kali_belah" localSheetId="2">'[4]HaRgA SaT'!$C$5</definedName>
    <definedName name="Batu_kali_belah">'[4]HaRgA SaT'!$C$5</definedName>
    <definedName name="Begel_Kalung" localSheetId="0">#REF!</definedName>
    <definedName name="Begel_Kalung" localSheetId="2">#REF!</definedName>
    <definedName name="Begel_Kalung">#REF!</definedName>
    <definedName name="begesting">[3]K_641A!$E$21</definedName>
    <definedName name="Benang" localSheetId="2">'[4]HaRgA SaT'!$C$25</definedName>
    <definedName name="Benang">'[4]HaRgA SaT'!$C$25</definedName>
    <definedName name="Bendrat" localSheetId="2">'[4]HaRgA SaT'!$C$12</definedName>
    <definedName name="Bendrat">'[4]HaRgA SaT'!$C$12</definedName>
    <definedName name="bengkire" localSheetId="0">[1]E_001!#REF!</definedName>
    <definedName name="bengkire">[1]E_001!#REF!</definedName>
    <definedName name="bengkire_4" localSheetId="0">[2]E_010!#REF!</definedName>
    <definedName name="bengkire_4">[2]E_010!#REF!</definedName>
    <definedName name="bengkire_74">[3]K_641A!$E$23</definedName>
    <definedName name="bensin" localSheetId="0">[1]E_001!#REF!</definedName>
    <definedName name="bensin">[1]E_001!#REF!</definedName>
    <definedName name="bensin_4" localSheetId="0">[2]E_010!#REF!</definedName>
    <definedName name="bensin_4">[2]E_010!#REF!</definedName>
    <definedName name="besi" localSheetId="0">[1]E_001!#REF!</definedName>
    <definedName name="besi">[1]E_001!#REF!</definedName>
    <definedName name="Besi_0__10" localSheetId="2">'[4]HaRgA SaT'!$C$11</definedName>
    <definedName name="Besi_0__10">'[4]HaRgA SaT'!$C$11</definedName>
    <definedName name="Besi_0__6" localSheetId="0">#REF!</definedName>
    <definedName name="Besi_0__6" localSheetId="2">#REF!</definedName>
    <definedName name="Besi_0__6">#REF!</definedName>
    <definedName name="besi_4" localSheetId="0">[2]E_010!#REF!</definedName>
    <definedName name="besi_4">[2]E_010!#REF!</definedName>
    <definedName name="besi_74" localSheetId="0">[3]K_641A!#REF!</definedName>
    <definedName name="besi_74">[3]K_641A!#REF!</definedName>
    <definedName name="besibeton">[3]K_641A!$E$33</definedName>
    <definedName name="besirangka" localSheetId="0">[1]E_001!#REF!</definedName>
    <definedName name="besirangka">[1]E_001!#REF!</definedName>
    <definedName name="besirangka_4" localSheetId="0">[2]E_010!#REF!</definedName>
    <definedName name="besirangka_4">[2]E_010!#REF!</definedName>
    <definedName name="besirangka_74">[3]K_641A!$E$47</definedName>
    <definedName name="bronjong" localSheetId="0">[1]E_001!#REF!</definedName>
    <definedName name="bronjong">[1]E_001!#REF!</definedName>
    <definedName name="bronjong_4" localSheetId="0">[2]E_010!#REF!</definedName>
    <definedName name="bronjong_4">[2]E_010!#REF!</definedName>
    <definedName name="bronjong_74">[3]K_641A!$E$35</definedName>
    <definedName name="btbelah">[3]K_641A!$E$14</definedName>
    <definedName name="btblonos" localSheetId="0">[1]E_001!#REF!</definedName>
    <definedName name="btblonos">[1]E_001!#REF!</definedName>
    <definedName name="btblonos_4" localSheetId="0">[2]E_010!#REF!</definedName>
    <definedName name="btblonos_4">[2]E_010!#REF!</definedName>
    <definedName name="btkali" localSheetId="0">[1]E_001!#REF!</definedName>
    <definedName name="btkali">[1]E_001!#REF!</definedName>
    <definedName name="btkali_4" localSheetId="0">[2]E_010!#REF!</definedName>
    <definedName name="btkali_4">[2]E_010!#REF!</definedName>
    <definedName name="btkali_74">[3]K_641A!$E$13</definedName>
    <definedName name="btmerah" localSheetId="0">[1]E_001!#REF!</definedName>
    <definedName name="btmerah">[1]E_001!#REF!</definedName>
    <definedName name="btmerah_4" localSheetId="0">[2]E_010!#REF!</definedName>
    <definedName name="btmerah_4">[2]E_010!#REF!</definedName>
    <definedName name="btmerah_74">[3]K_641A!$E$19</definedName>
    <definedName name="btpc12" localSheetId="0">[1]E_001!#REF!</definedName>
    <definedName name="btpc12">[1]E_001!#REF!</definedName>
    <definedName name="btpc12_4" localSheetId="0">[2]E_010!#REF!</definedName>
    <definedName name="btpc12_4">[2]E_010!#REF!</definedName>
    <definedName name="btpc23">[3]K_641A!$E$17</definedName>
    <definedName name="BTPC3_5" localSheetId="0">[1]E_031!#REF!</definedName>
    <definedName name="BTPC3_5">[1]E_031!#REF!</definedName>
    <definedName name="BTPC3_5_74" localSheetId="0">'[1]DAFTAR ANALYSA'!#REF!</definedName>
    <definedName name="BTPC3_5_74">'[1]DAFTAR ANALYSA'!#REF!</definedName>
    <definedName name="btpc35" localSheetId="0">[1]E_001!#REF!</definedName>
    <definedName name="btpc35">[1]E_001!#REF!</definedName>
    <definedName name="btpc35_4" localSheetId="0">[2]E_010!#REF!</definedName>
    <definedName name="btpc35_4">[2]E_010!#REF!</definedName>
    <definedName name="BTPC5_7" localSheetId="0">[1]E_031!#REF!</definedName>
    <definedName name="BTPC5_7">[1]E_031!#REF!</definedName>
    <definedName name="BTPC5_7_74" localSheetId="0">'[1]DAFTAR ANALYSA'!#REF!</definedName>
    <definedName name="BTPC5_7_74">'[1]DAFTAR ANALYSA'!#REF!</definedName>
    <definedName name="btpc57">[3]K_641A!$E$15</definedName>
    <definedName name="buruhsemi" localSheetId="0">[1]E_001!#REF!</definedName>
    <definedName name="buruhsemi">[1]E_001!#REF!</definedName>
    <definedName name="buruhsemi_4" localSheetId="0">[2]E_010!#REF!</definedName>
    <definedName name="buruhsemi_4">[2]E_010!#REF!</definedName>
    <definedName name="C_" localSheetId="0">#REF!</definedName>
    <definedName name="C_">#REF!</definedName>
    <definedName name="Cat_Kayu" localSheetId="0">#REF!</definedName>
    <definedName name="Cat_Kayu" localSheetId="2">#REF!</definedName>
    <definedName name="Cat_Kayu">#REF!</definedName>
    <definedName name="Cat_Meni" localSheetId="0">#REF!</definedName>
    <definedName name="Cat_Meni" localSheetId="2">#REF!</definedName>
    <definedName name="Cat_Meni">#REF!</definedName>
    <definedName name="Cat_Tembok" localSheetId="0">#REF!</definedName>
    <definedName name="Cat_Tembok" localSheetId="2">#REF!</definedName>
    <definedName name="Cat_Tembok">#REF!</definedName>
    <definedName name="catkayu" localSheetId="0">[1]E_001!#REF!</definedName>
    <definedName name="catkayu">[1]E_001!#REF!</definedName>
    <definedName name="catkayu_4" localSheetId="0">[2]E_010!#REF!</definedName>
    <definedName name="catkayu_4">[2]E_010!#REF!</definedName>
    <definedName name="catkayu_74">[3]K_641A!$E$38</definedName>
    <definedName name="catmani" localSheetId="0">[1]E_001!#REF!</definedName>
    <definedName name="catmani">[1]E_001!#REF!</definedName>
    <definedName name="catmani_4" localSheetId="0">[2]E_010!#REF!</definedName>
    <definedName name="catmani_4">[2]E_010!#REF!</definedName>
    <definedName name="CATMENI" localSheetId="0">[1]E_031!#REF!</definedName>
    <definedName name="CATMENI">[1]E_031!#REF!</definedName>
    <definedName name="CATMENI_74" localSheetId="0">'[1]DAFTAR ANALYSA'!#REF!</definedName>
    <definedName name="CATMENI_74">'[1]DAFTAR ANALYSA'!#REF!</definedName>
    <definedName name="cattembok">[3]K_641A!$E$37</definedName>
    <definedName name="dd" localSheetId="0">'[1]DAFTAR ANALYSA'!#REF!</definedName>
    <definedName name="dd">'[1]DAFTAR ANALYSA'!#REF!</definedName>
    <definedName name="DFALAT" localSheetId="0">#REF!</definedName>
    <definedName name="DFALAT">#REF!</definedName>
    <definedName name="E.001_24" localSheetId="0">[1]K_024A!#REF!</definedName>
    <definedName name="E.001_24">[1]K_024A!#REF!</definedName>
    <definedName name="E.001_25" localSheetId="0">#REF!</definedName>
    <definedName name="E.001_25">#REF!</definedName>
    <definedName name="E.001_31" localSheetId="0">[1]K_110!#REF!</definedName>
    <definedName name="E.001_31">[1]K_110!#REF!</definedName>
    <definedName name="E.001_33" localSheetId="0">[1]K_224!#REF!</definedName>
    <definedName name="E.001_33">[1]K_224!#REF!</definedName>
    <definedName name="E.001_34" localSheetId="0">[1]K_310!#REF!</definedName>
    <definedName name="E.001_34">[1]K_310!#REF!</definedName>
    <definedName name="E.001_35" localSheetId="0">[1]K_320!#REF!</definedName>
    <definedName name="E.001_35">[1]K_320!#REF!</definedName>
    <definedName name="E.001_36" localSheetId="0">[1]K_410!#REF!</definedName>
    <definedName name="E.001_36">[1]K_410!#REF!</definedName>
    <definedName name="E.001_37" localSheetId="0">[1]K_420!#REF!</definedName>
    <definedName name="E.001_37">[1]K_420!#REF!</definedName>
    <definedName name="E.001_38" localSheetId="0">[1]K_511!#REF!</definedName>
    <definedName name="E.001_38">[1]K_511!#REF!</definedName>
    <definedName name="E.001_39" localSheetId="0">[1]K_513!#REF!</definedName>
    <definedName name="E.001_39">[1]K_513!#REF!</definedName>
    <definedName name="E.001_39_41" localSheetId="0">[2]K_515!#REF!</definedName>
    <definedName name="E.001_39_41">[2]K_515!#REF!</definedName>
    <definedName name="E.001_40" localSheetId="0">[1]K_516A!#REF!</definedName>
    <definedName name="E.001_40">[1]K_516A!#REF!</definedName>
    <definedName name="E.001_41" localSheetId="0">[1]K_523!#REF!</definedName>
    <definedName name="E.001_41">[1]K_523!#REF!</definedName>
    <definedName name="E.001_42" localSheetId="0">[1]K_615!#REF!</definedName>
    <definedName name="E.001_42">[1]K_615!#REF!</definedName>
    <definedName name="E.001_43" localSheetId="0">#REF!</definedName>
    <definedName name="E.001_43">#REF!</definedName>
    <definedName name="E.001_43_46" localSheetId="0">[2]K_616!#REF!</definedName>
    <definedName name="E.001_43_46">[2]K_616!#REF!</definedName>
    <definedName name="E.001_43_47" localSheetId="0">[2]K_617!#REF!</definedName>
    <definedName name="E.001_43_47">[2]K_617!#REF!</definedName>
    <definedName name="E.001_44" localSheetId="0">[1]K_618!#REF!</definedName>
    <definedName name="E.001_44">[1]K_618!#REF!</definedName>
    <definedName name="E.001_45" localSheetId="0">[1]K_618A!#REF!</definedName>
    <definedName name="E.001_45">[1]K_618A!#REF!</definedName>
    <definedName name="E.001_52" localSheetId="0">[1]K_642A!#REF!</definedName>
    <definedName name="E.001_52">[1]K_642A!#REF!</definedName>
    <definedName name="E.001_52_58" localSheetId="0">'[2]K_641A K_040'!#REF!</definedName>
    <definedName name="E.001_52_58">'[2]K_641A K_040'!#REF!</definedName>
    <definedName name="E.001_53" localSheetId="0">[1]K_642!#REF!</definedName>
    <definedName name="E.001_53">[1]K_642!#REF!</definedName>
    <definedName name="E.001_53_60" localSheetId="0">'[2]K_641 5 K_040'!#REF!</definedName>
    <definedName name="E.001_53_60">'[2]K_641 5 K_040'!#REF!</definedName>
    <definedName name="E.001_54" localSheetId="0">'[1]K_642 4 cm K.026'!#REF!</definedName>
    <definedName name="E.001_54">'[1]K_642 4 cm K.026'!#REF!</definedName>
    <definedName name="E.001_54_62" localSheetId="0">'[2]K_641 4 cm K_040'!#REF!</definedName>
    <definedName name="E.001_54_62">'[2]K_641 4 cm K_040'!#REF!</definedName>
    <definedName name="E.001_55" localSheetId="0">[1]K_710!#REF!</definedName>
    <definedName name="E.001_55">[1]K_710!#REF!</definedName>
    <definedName name="E.001_56" localSheetId="0">#REF!</definedName>
    <definedName name="E.001_56">#REF!</definedName>
    <definedName name="E.001_57" localSheetId="0">[1]K_715!#REF!</definedName>
    <definedName name="E.001_57">[1]K_715!#REF!</definedName>
    <definedName name="E.001_57_65" localSheetId="0">[2]K_720!#REF!</definedName>
    <definedName name="E.001_57_65">[2]K_720!#REF!</definedName>
    <definedName name="E.001_58" localSheetId="0">#REF!</definedName>
    <definedName name="E.001_58">#REF!</definedName>
    <definedName name="E.001_59" localSheetId="0">[1]K_723!#REF!</definedName>
    <definedName name="E.001_59">[1]K_723!#REF!</definedName>
    <definedName name="E.001_59_66" localSheetId="0">[2]K_722!#REF!</definedName>
    <definedName name="E.001_59_66">[2]K_722!#REF!</definedName>
    <definedName name="E.001_60" localSheetId="0">[1]K_725!#REF!</definedName>
    <definedName name="E.001_60">[1]K_725!#REF!</definedName>
    <definedName name="E.001_63" localSheetId="0">[1]K_810!#REF!</definedName>
    <definedName name="E.001_63">[1]K_810!#REF!</definedName>
    <definedName name="E.001_64" localSheetId="0">[1]K_815!#REF!</definedName>
    <definedName name="E.001_64">[1]K_815!#REF!</definedName>
    <definedName name="E.031_3" localSheetId="0">[1]E_001!#REF!</definedName>
    <definedName name="E.031_3">[1]E_001!#REF!</definedName>
    <definedName name="E.031_3_4" localSheetId="0">[2]E_010!#REF!</definedName>
    <definedName name="E.031_3_4">[2]E_010!#REF!</definedName>
    <definedName name="E.040_24" localSheetId="0">[1]E_040!#REF!</definedName>
    <definedName name="E.040_24">[1]E_040!#REF!</definedName>
    <definedName name="E.040_25" localSheetId="0">[1]E_040!#REF!</definedName>
    <definedName name="E.040_25">[1]E_040!#REF!</definedName>
    <definedName name="E.080">[5]E_080!$J$68</definedName>
    <definedName name="E.080_49" localSheetId="0">[1]E_080!#REF!</definedName>
    <definedName name="E.080_49">[1]E_080!#REF!</definedName>
    <definedName name="E.080_50" localSheetId="0">[1]E_080!#REF!</definedName>
    <definedName name="E.080_50">[1]E_080!#REF!</definedName>
    <definedName name="E.153">[5]E_153!$J$68</definedName>
    <definedName name="E.153_49" localSheetId="0">[1]E_153!#REF!</definedName>
    <definedName name="E.153_49">[1]E_153!#REF!</definedName>
    <definedName name="E.153_50" localSheetId="0">[1]E_153!#REF!</definedName>
    <definedName name="E.153_50">[1]E_153!#REF!</definedName>
    <definedName name="E.211">[5]E_211!$J$68</definedName>
    <definedName name="E.211_24" localSheetId="0">[1]E_211!#REF!</definedName>
    <definedName name="E.211_24">[1]E_211!#REF!</definedName>
    <definedName name="E.211_25" localSheetId="0">[1]E_211!#REF!</definedName>
    <definedName name="E.211_25">[1]E_211!#REF!</definedName>
    <definedName name="E.301_49" localSheetId="0">[1]E_301!#REF!</definedName>
    <definedName name="E.301_49">[1]E_301!#REF!</definedName>
    <definedName name="E.301_50" localSheetId="0">[1]E_301!#REF!</definedName>
    <definedName name="E.301_50">[1]E_301!#REF!</definedName>
    <definedName name="Ember_cor" localSheetId="2">'[4]HaRgA SaT'!$C$24</definedName>
    <definedName name="Ember_cor">'[4]HaRgA SaT'!$C$24</definedName>
    <definedName name="Engsel" localSheetId="0">#REF!</definedName>
    <definedName name="Engsel" localSheetId="2">#REF!</definedName>
    <definedName name="Engsel">#REF!</definedName>
    <definedName name="eternit" localSheetId="0">[1]E_001!#REF!</definedName>
    <definedName name="eternit">[1]E_001!#REF!</definedName>
    <definedName name="eternit_4" localSheetId="0">[2]E_010!#REF!</definedName>
    <definedName name="eternit_4">[2]E_010!#REF!</definedName>
    <definedName name="eternit_74">[3]K_641A!$E$40</definedName>
    <definedName name="genting" localSheetId="0">[1]E_001!#REF!</definedName>
    <definedName name="genting">[1]E_001!#REF!</definedName>
    <definedName name="genting_4" localSheetId="0">[2]E_010!#REF!</definedName>
    <definedName name="genting_4">[2]E_010!#REF!</definedName>
    <definedName name="genting_74">[3]K_641A!$E$28</definedName>
    <definedName name="Genting_Bubungan" localSheetId="0">#REF!</definedName>
    <definedName name="Genting_Bubungan" localSheetId="2">#REF!</definedName>
    <definedName name="Genting_Bubungan">#REF!</definedName>
    <definedName name="Genting_Soka" localSheetId="0">#REF!</definedName>
    <definedName name="Genting_Soka" localSheetId="2">#REF!</definedName>
    <definedName name="Genting_Soka">#REF!</definedName>
    <definedName name="harflex" localSheetId="0">[1]E_001!#REF!</definedName>
    <definedName name="harflex">[1]E_001!#REF!</definedName>
    <definedName name="harflex_4" localSheetId="0">[2]E_010!#REF!</definedName>
    <definedName name="harflex_4">[2]E_010!#REF!</definedName>
    <definedName name="harflex_74">[3]K_641A!$E$44</definedName>
    <definedName name="HM_24" localSheetId="0">[1]SAT_PEKERJAAN!#REF!</definedName>
    <definedName name="HM_24">[1]SAT_PEKERJAAN!#REF!</definedName>
    <definedName name="HM_25" localSheetId="0">[1]SAT_PEKERJAAN!#REF!</definedName>
    <definedName name="HM_25">[1]SAT_PEKERJAAN!#REF!</definedName>
    <definedName name="HM_49" localSheetId="0">[1]SAT_PEKERJAAN!#REF!</definedName>
    <definedName name="HM_49">[1]SAT_PEKERJAAN!#REF!</definedName>
    <definedName name="HM_50" localSheetId="0">[1]SAT_PEKERJAAN!#REF!</definedName>
    <definedName name="HM_50">[1]SAT_PEKERJAAN!#REF!</definedName>
    <definedName name="HSD" localSheetId="0">#REF!</definedName>
    <definedName name="HSD">#REF!</definedName>
    <definedName name="jati" localSheetId="0">[1]E_001!#REF!</definedName>
    <definedName name="jati">[1]E_001!#REF!</definedName>
    <definedName name="jati_4" localSheetId="0">[2]E_010!#REF!</definedName>
    <definedName name="jati_4">[2]E_010!#REF!</definedName>
    <definedName name="jati_74">[3]K_641A!$E$25</definedName>
    <definedName name="k" localSheetId="0">#REF!</definedName>
    <definedName name="k" localSheetId="2">#REF!</definedName>
    <definedName name="k">#REF!</definedName>
    <definedName name="K.013a" localSheetId="0">#REF!</definedName>
    <definedName name="K.013a">#REF!</definedName>
    <definedName name="K.016_24" localSheetId="0">[1]K_715!#REF!</definedName>
    <definedName name="K.016_24">[1]K_715!#REF!</definedName>
    <definedName name="K.016_24_1" localSheetId="0">[2]K_715!#REF!</definedName>
    <definedName name="K.016_24_1">[2]K_715!#REF!</definedName>
    <definedName name="K.016_24_65" localSheetId="0">[2]K_720!#REF!</definedName>
    <definedName name="K.016_24_65">[2]K_720!#REF!</definedName>
    <definedName name="K.016_25" localSheetId="0">[1]K_715!#REF!</definedName>
    <definedName name="K.016_25">[1]K_715!#REF!</definedName>
    <definedName name="K.016_25_65" localSheetId="0">[2]K_720!#REF!</definedName>
    <definedName name="K.016_25_65">[2]K_720!#REF!</definedName>
    <definedName name="K.016_49" localSheetId="0">[1]K_715!#REF!</definedName>
    <definedName name="K.016_49">[1]K_715!#REF!</definedName>
    <definedName name="K.016_49_65" localSheetId="0">[2]K_720!#REF!</definedName>
    <definedName name="K.016_49_65">[2]K_720!#REF!</definedName>
    <definedName name="K.016_50" localSheetId="0">[1]K_715!#REF!</definedName>
    <definedName name="K.016_50">[1]K_715!#REF!</definedName>
    <definedName name="K.016_50_65" localSheetId="0">[2]K_720!#REF!</definedName>
    <definedName name="K.016_50_65">[2]K_720!#REF!</definedName>
    <definedName name="K.016_74" localSheetId="0">#REF!</definedName>
    <definedName name="K.016_74">#REF!</definedName>
    <definedName name="k.024a_25" localSheetId="0">#REF!</definedName>
    <definedName name="k.024a_25">#REF!</definedName>
    <definedName name="k.024a_49" localSheetId="0">[1]K_024A!#REF!</definedName>
    <definedName name="k.024a_49">[1]K_024A!#REF!</definedName>
    <definedName name="k.024a_50" localSheetId="0">[1]K_024A!#REF!</definedName>
    <definedName name="k.024a_50">[1]K_024A!#REF!</definedName>
    <definedName name="K.024Arev" localSheetId="0">#REF!</definedName>
    <definedName name="K.024Arev">#REF!</definedName>
    <definedName name="K.026_24" localSheetId="0">[1]K_024A!#REF!</definedName>
    <definedName name="K.026_24">[1]K_024A!#REF!</definedName>
    <definedName name="K.026_25" localSheetId="0">#REF!</definedName>
    <definedName name="K.026_25">#REF!</definedName>
    <definedName name="K.026_27" localSheetId="0">#REF!</definedName>
    <definedName name="K.026_27">#REF!</definedName>
    <definedName name="K.026_28" localSheetId="0">#REF!</definedName>
    <definedName name="K.026_28">#REF!</definedName>
    <definedName name="K.026_29" localSheetId="0">#REF!</definedName>
    <definedName name="K.026_29">#REF!</definedName>
    <definedName name="K.026_49" localSheetId="0">[1]K_726!#REF!</definedName>
    <definedName name="K.026_49">[1]K_726!#REF!</definedName>
    <definedName name="K.026_50" localSheetId="0">[1]K_726!#REF!</definedName>
    <definedName name="K.026_50">[1]K_726!#REF!</definedName>
    <definedName name="K.026_51" localSheetId="0">[1]K_640!#REF!</definedName>
    <definedName name="K.026_51">[1]K_640!#REF!</definedName>
    <definedName name="K.026_74" localSheetId="0">#REF!</definedName>
    <definedName name="K.026_74">#REF!</definedName>
    <definedName name="K.026REV1" localSheetId="0">#REF!</definedName>
    <definedName name="K.026REV1">#REF!</definedName>
    <definedName name="K.035_24" localSheetId="0">[1]K_725!#REF!</definedName>
    <definedName name="K.035_24">[1]K_725!#REF!</definedName>
    <definedName name="K.035_25" localSheetId="0">[1]K_725!#REF!</definedName>
    <definedName name="K.035_25">[1]K_725!#REF!</definedName>
    <definedName name="K.035_31" localSheetId="0">[2]K_040!#REF!</definedName>
    <definedName name="K.035_31">[2]K_040!#REF!</definedName>
    <definedName name="K.035_49" localSheetId="0">[1]K_725!#REF!</definedName>
    <definedName name="K.035_49">[1]K_725!#REF!</definedName>
    <definedName name="K.035_50" localSheetId="0">[1]K_725!#REF!</definedName>
    <definedName name="K.035_50">[1]K_725!#REF!</definedName>
    <definedName name="K.035_74" localSheetId="0">[1]K_035!#REF!</definedName>
    <definedName name="K.035_74">[1]K_035!#REF!</definedName>
    <definedName name="K.035_74_31" localSheetId="0">[2]K_040!#REF!</definedName>
    <definedName name="K.035_74_31">[2]K_040!#REF!</definedName>
    <definedName name="K.110_24" localSheetId="0">[1]K_723!#REF!</definedName>
    <definedName name="K.110_24">[1]K_723!#REF!</definedName>
    <definedName name="K.110_24_66" localSheetId="0">[2]K_722!#REF!</definedName>
    <definedName name="K.110_24_66">[2]K_722!#REF!</definedName>
    <definedName name="K.110_25" localSheetId="0">[1]K_723!#REF!</definedName>
    <definedName name="K.110_25">[1]K_723!#REF!</definedName>
    <definedName name="K.110_25_66" localSheetId="0">[2]K_722!#REF!</definedName>
    <definedName name="K.110_25_66">[2]K_722!#REF!</definedName>
    <definedName name="K.110_49" localSheetId="0">[1]K_723!#REF!</definedName>
    <definedName name="K.110_49">[1]K_723!#REF!</definedName>
    <definedName name="K.110_49_66" localSheetId="0">[2]K_722!#REF!</definedName>
    <definedName name="K.110_49_66">[2]K_722!#REF!</definedName>
    <definedName name="K.110_50" localSheetId="0">[1]K_723!#REF!</definedName>
    <definedName name="K.110_50">[1]K_723!#REF!</definedName>
    <definedName name="K.110_50_66" localSheetId="0">[2]K_722!#REF!</definedName>
    <definedName name="K.110_50_66">[2]K_722!#REF!</definedName>
    <definedName name="K.110_74" localSheetId="0">[1]K_110!#REF!</definedName>
    <definedName name="K.110_74">[1]K_110!#REF!</definedName>
    <definedName name="K.111_24" localSheetId="0">[1]K_727!#REF!</definedName>
    <definedName name="K.111_24">[1]K_727!#REF!</definedName>
    <definedName name="K.111_25" localSheetId="0">[1]K_727!#REF!</definedName>
    <definedName name="K.111_25">[1]K_727!#REF!</definedName>
    <definedName name="K.111_49" localSheetId="0">[1]K_727!#REF!</definedName>
    <definedName name="K.111_49">[1]K_727!#REF!</definedName>
    <definedName name="K.111_50" localSheetId="0">[1]K_727!#REF!</definedName>
    <definedName name="K.111_50">[1]K_727!#REF!</definedName>
    <definedName name="K.111_74" localSheetId="0">[1]K_111!#REF!</definedName>
    <definedName name="K.111_74">[1]K_111!#REF!</definedName>
    <definedName name="K.224_24" localSheetId="0">[1]BAHAN_UPAH!#REF!</definedName>
    <definedName name="K.224_24">[1]BAHAN_UPAH!#REF!</definedName>
    <definedName name="K.224_25" localSheetId="0">[1]BAHAN_UPAH!#REF!</definedName>
    <definedName name="K.224_25">[1]BAHAN_UPAH!#REF!</definedName>
    <definedName name="K.224_49" localSheetId="0">[1]BAHAN_UPAH!#REF!</definedName>
    <definedName name="K.224_49">[1]BAHAN_UPAH!#REF!</definedName>
    <definedName name="K.224_50" localSheetId="0">[1]BAHAN_UPAH!#REF!</definedName>
    <definedName name="K.224_50">[1]BAHAN_UPAH!#REF!</definedName>
    <definedName name="K.224_74" localSheetId="0">[1]K_224!#REF!</definedName>
    <definedName name="K.224_74">[1]K_224!#REF!</definedName>
    <definedName name="K.310_24" localSheetId="0">[1]K_815!#REF!</definedName>
    <definedName name="K.310_24">[1]K_815!#REF!</definedName>
    <definedName name="K.310_25" localSheetId="0">[1]K_815!#REF!</definedName>
    <definedName name="K.310_25">[1]K_815!#REF!</definedName>
    <definedName name="K.310_49" localSheetId="0">[1]K_815!#REF!</definedName>
    <definedName name="K.310_49">[1]K_815!#REF!</definedName>
    <definedName name="K.310_50" localSheetId="0">[1]K_815!#REF!</definedName>
    <definedName name="K.310_50">[1]K_815!#REF!</definedName>
    <definedName name="K.310_74" localSheetId="0">[1]K_310!#REF!</definedName>
    <definedName name="K.310_74">[1]K_310!#REF!</definedName>
    <definedName name="K.320_24" localSheetId="0">[1]K_810!#REF!</definedName>
    <definedName name="K.320_24">[1]K_810!#REF!</definedName>
    <definedName name="K.320_25" localSheetId="0">[1]K_810!#REF!</definedName>
    <definedName name="K.320_25">[1]K_810!#REF!</definedName>
    <definedName name="K.320_49" localSheetId="0">[1]K_810!#REF!</definedName>
    <definedName name="K.320_49">[1]K_810!#REF!</definedName>
    <definedName name="K.320_50" localSheetId="0">[1]K_810!#REF!</definedName>
    <definedName name="K.320_50">[1]K_810!#REF!</definedName>
    <definedName name="K.320_74" localSheetId="0">[1]K_320!#REF!</definedName>
    <definedName name="K.320_74">[1]K_320!#REF!</definedName>
    <definedName name="K.369A">[6]K.639A!$J$69</definedName>
    <definedName name="K.410_24" localSheetId="0">[1]E_081!#REF!</definedName>
    <definedName name="K.410_24">[1]E_081!#REF!</definedName>
    <definedName name="K.410_25" localSheetId="0">[1]E_081!#REF!</definedName>
    <definedName name="K.410_25">[1]E_081!#REF!</definedName>
    <definedName name="K.410_49" localSheetId="0">[1]E_081!#REF!</definedName>
    <definedName name="K.410_49">[1]E_081!#REF!</definedName>
    <definedName name="K.410_50" localSheetId="0">[1]E_081!#REF!</definedName>
    <definedName name="K.410_50">[1]E_081!#REF!</definedName>
    <definedName name="K.410_74" localSheetId="0">[1]K_410!#REF!</definedName>
    <definedName name="K.410_74">[1]K_410!#REF!</definedName>
    <definedName name="K.420_24" localSheetId="0">[1]E_157!#REF!</definedName>
    <definedName name="K.420_24">[1]E_157!#REF!</definedName>
    <definedName name="K.420_25" localSheetId="0">[1]E_157!#REF!</definedName>
    <definedName name="K.420_25">[1]E_157!#REF!</definedName>
    <definedName name="K.420_49" localSheetId="0">[1]E_157!#REF!</definedName>
    <definedName name="K.420_49">[1]E_157!#REF!</definedName>
    <definedName name="K.420_50" localSheetId="0">[1]E_157!#REF!</definedName>
    <definedName name="K.420_50">[1]E_157!#REF!</definedName>
    <definedName name="K.420_74" localSheetId="0">[1]K_420!#REF!</definedName>
    <definedName name="K.420_74">[1]K_420!#REF!</definedName>
    <definedName name="K.511_24" localSheetId="0">[1]E_087!#REF!</definedName>
    <definedName name="K.511_24">[1]E_087!#REF!</definedName>
    <definedName name="K.511_25" localSheetId="0">[1]E_087!#REF!</definedName>
    <definedName name="K.511_25">[1]E_087!#REF!</definedName>
    <definedName name="K.511_49" localSheetId="0">[1]E_087!#REF!</definedName>
    <definedName name="K.511_49">[1]E_087!#REF!</definedName>
    <definedName name="K.511_50" localSheetId="0">[1]E_087!#REF!</definedName>
    <definedName name="K.511_50">[1]E_087!#REF!</definedName>
    <definedName name="K.511_74" localSheetId="0">[1]K_511!#REF!</definedName>
    <definedName name="K.511_74">[1]K_511!#REF!</definedName>
    <definedName name="K.513_24" localSheetId="0">[1]E_084!#REF!</definedName>
    <definedName name="K.513_24">[1]E_084!#REF!</definedName>
    <definedName name="K.513_25" localSheetId="0">[1]E_084!#REF!</definedName>
    <definedName name="K.513_25">[1]E_084!#REF!</definedName>
    <definedName name="K.513_41" localSheetId="0">[2]K_515!#REF!</definedName>
    <definedName name="K.513_41">[2]K_515!#REF!</definedName>
    <definedName name="K.513_49" localSheetId="0">[1]E_084!#REF!</definedName>
    <definedName name="K.513_49">[1]E_084!#REF!</definedName>
    <definedName name="K.513_50" localSheetId="0">[1]E_084!#REF!</definedName>
    <definedName name="K.513_50">[1]E_084!#REF!</definedName>
    <definedName name="K.513_74" localSheetId="0">[1]K_513!#REF!</definedName>
    <definedName name="K.513_74">[1]K_513!#REF!</definedName>
    <definedName name="K.513_74_41" localSheetId="0">[2]K_515!#REF!</definedName>
    <definedName name="K.513_74_41">[2]K_515!#REF!</definedName>
    <definedName name="K.516" localSheetId="0">[1]K_516A!#REF!</definedName>
    <definedName name="K.516">[1]K_516A!#REF!</definedName>
    <definedName name="K.516_24" localSheetId="0">#REF!</definedName>
    <definedName name="K.516_24">#REF!</definedName>
    <definedName name="K.516_25" localSheetId="0">#REF!</definedName>
    <definedName name="K.516_25">#REF!</definedName>
    <definedName name="K.516_49" localSheetId="0">#REF!</definedName>
    <definedName name="K.516_49">#REF!</definedName>
    <definedName name="K.516_50" localSheetId="0">#REF!</definedName>
    <definedName name="K.516_50">#REF!</definedName>
    <definedName name="K.516_74" localSheetId="0">[1]K_516A!#REF!</definedName>
    <definedName name="K.516_74">[1]K_516A!#REF!</definedName>
    <definedName name="K.523_24" localSheetId="0">[1]E_155!#REF!</definedName>
    <definedName name="K.523_24">[1]E_155!#REF!</definedName>
    <definedName name="K.523_25" localSheetId="0">[1]E_155!#REF!</definedName>
    <definedName name="K.523_25">[1]E_155!#REF!</definedName>
    <definedName name="K.523_49" localSheetId="0">[1]E_155!#REF!</definedName>
    <definedName name="K.523_49">[1]E_155!#REF!</definedName>
    <definedName name="K.523_50" localSheetId="0">[1]E_155!#REF!</definedName>
    <definedName name="K.523_50">[1]E_155!#REF!</definedName>
    <definedName name="K.523_74" localSheetId="0">[1]K_523!#REF!</definedName>
    <definedName name="K.523_74">[1]K_523!#REF!</definedName>
    <definedName name="K.615_24" localSheetId="0">[1]K_035!#REF!</definedName>
    <definedName name="K.615_24">[1]K_035!#REF!</definedName>
    <definedName name="K.615_24_31" localSheetId="0">[2]K_040!#REF!</definedName>
    <definedName name="K.615_24_31">[2]K_040!#REF!</definedName>
    <definedName name="K.615_25" localSheetId="0">[1]K_035!#REF!</definedName>
    <definedName name="K.615_25">[1]K_035!#REF!</definedName>
    <definedName name="K.615_25_31" localSheetId="0">[2]K_040!#REF!</definedName>
    <definedName name="K.615_25_31">[2]K_040!#REF!</definedName>
    <definedName name="K.615_49" localSheetId="0">[1]K_035!#REF!</definedName>
    <definedName name="K.615_49">[1]K_035!#REF!</definedName>
    <definedName name="K.615_49_31" localSheetId="0">[2]K_040!#REF!</definedName>
    <definedName name="K.615_49_31">[2]K_040!#REF!</definedName>
    <definedName name="K.615_50" localSheetId="0">[1]K_035!#REF!</definedName>
    <definedName name="K.615_50">[1]K_035!#REF!</definedName>
    <definedName name="K.615_50_31" localSheetId="0">[2]K_040!#REF!</definedName>
    <definedName name="K.615_50_31">[2]K_040!#REF!</definedName>
    <definedName name="K.615_74" localSheetId="0">[1]K_615!#REF!</definedName>
    <definedName name="K.615_74">[1]K_615!#REF!</definedName>
    <definedName name="K.615A" localSheetId="0">#REF!</definedName>
    <definedName name="K.615A">#REF!</definedName>
    <definedName name="K.615A_24" localSheetId="0">#REF!</definedName>
    <definedName name="K.615A_24">#REF!</definedName>
    <definedName name="K.615A_25" localSheetId="0">#REF!</definedName>
    <definedName name="K.615A_25">#REF!</definedName>
    <definedName name="K.615A_46" localSheetId="0">[2]K_616!#REF!</definedName>
    <definedName name="K.615A_46">[2]K_616!#REF!</definedName>
    <definedName name="K.615A_47" localSheetId="0">[2]K_617!#REF!</definedName>
    <definedName name="K.615A_47">[2]K_617!#REF!</definedName>
    <definedName name="K.615A_49" localSheetId="0">#REF!</definedName>
    <definedName name="K.615A_49">#REF!</definedName>
    <definedName name="K.615A_50" localSheetId="0">#REF!</definedName>
    <definedName name="K.615A_50">#REF!</definedName>
    <definedName name="K.615A_74" localSheetId="0">#REF!</definedName>
    <definedName name="K.615A_74">#REF!</definedName>
    <definedName name="K.615A_74_46" localSheetId="0">[2]K_616!#REF!</definedName>
    <definedName name="K.615A_74_46">[2]K_616!#REF!</definedName>
    <definedName name="K.615A_74_47" localSheetId="0">[2]K_617!#REF!</definedName>
    <definedName name="K.615A_74_47">[2]K_617!#REF!</definedName>
    <definedName name="K.618.A" localSheetId="0">[1]K_618A!#REF!</definedName>
    <definedName name="K.618.A">[1]K_618A!#REF!</definedName>
    <definedName name="K.618.A_24" localSheetId="0">[1]E_089!#REF!</definedName>
    <definedName name="K.618.A_24">[1]E_089!#REF!</definedName>
    <definedName name="K.618.A_25" localSheetId="0">[1]E_089!#REF!</definedName>
    <definedName name="K.618.A_25">[1]E_089!#REF!</definedName>
    <definedName name="K.618.A_49" localSheetId="0">[1]E_089!#REF!</definedName>
    <definedName name="K.618.A_49">[1]E_089!#REF!</definedName>
    <definedName name="K.618.A_50" localSheetId="0">[1]E_089!#REF!</definedName>
    <definedName name="K.618.A_50">[1]E_089!#REF!</definedName>
    <definedName name="K.618.A_74" localSheetId="0">[1]K_618A!#REF!</definedName>
    <definedName name="K.618.A_74">[1]K_618A!#REF!</definedName>
    <definedName name="K.618.B" localSheetId="0">[1]K_618B!#REF!</definedName>
    <definedName name="K.618.B">[1]K_618B!#REF!</definedName>
    <definedName name="K.618.B_24" localSheetId="0">[1]K_410!#REF!</definedName>
    <definedName name="K.618.B_24">[1]K_410!#REF!</definedName>
    <definedName name="K.618.B_25" localSheetId="0">[1]K_410!#REF!</definedName>
    <definedName name="K.618.B_25">[1]K_410!#REF!</definedName>
    <definedName name="K.618.B_49" localSheetId="0">[1]K_410!#REF!</definedName>
    <definedName name="K.618.B_49">[1]K_410!#REF!</definedName>
    <definedName name="K.618.B_50" localSheetId="0">[1]K_410!#REF!</definedName>
    <definedName name="K.618.B_50">[1]K_410!#REF!</definedName>
    <definedName name="K.618.B_74" localSheetId="0">[1]K_618B!#REF!</definedName>
    <definedName name="K.618.B_74">[1]K_618B!#REF!</definedName>
    <definedName name="K.618_24" localSheetId="0">[1]K_111!#REF!</definedName>
    <definedName name="K.618_24">[1]K_111!#REF!</definedName>
    <definedName name="K.618_25" localSheetId="0">[1]K_111!#REF!</definedName>
    <definedName name="K.618_25">[1]K_111!#REF!</definedName>
    <definedName name="K.618_49" localSheetId="0">[1]K_111!#REF!</definedName>
    <definedName name="K.618_49">[1]K_111!#REF!</definedName>
    <definedName name="K.618_50" localSheetId="0">[1]K_111!#REF!</definedName>
    <definedName name="K.618_50">[1]K_111!#REF!</definedName>
    <definedName name="K.618_74" localSheetId="0">[1]K_618!#REF!</definedName>
    <definedName name="K.618_74">[1]K_618!#REF!</definedName>
    <definedName name="K.636_24" localSheetId="0">[1]K_420!#REF!</definedName>
    <definedName name="K.636_24">[1]K_420!#REF!</definedName>
    <definedName name="K.636_25" localSheetId="0">[1]K_420!#REF!</definedName>
    <definedName name="K.636_25">[1]K_420!#REF!</definedName>
    <definedName name="K.636_49" localSheetId="0">[1]K_420!#REF!</definedName>
    <definedName name="K.636_49">[1]K_420!#REF!</definedName>
    <definedName name="K.636_50" localSheetId="0">[1]K_420!#REF!</definedName>
    <definedName name="K.636_50">[1]K_420!#REF!</definedName>
    <definedName name="K.636_74" localSheetId="0">[1]K_636!#REF!</definedName>
    <definedName name="K.636_74">[1]K_636!#REF!</definedName>
    <definedName name="K.636A_24" localSheetId="0">[1]K_511!#REF!</definedName>
    <definedName name="K.636A_24">[1]K_511!#REF!</definedName>
    <definedName name="K.636A_25" localSheetId="0">[1]K_511!#REF!</definedName>
    <definedName name="K.636A_25">[1]K_511!#REF!</definedName>
    <definedName name="K.636A_49" localSheetId="0">[1]K_639A!#REF!</definedName>
    <definedName name="K.636A_49">[1]K_639A!#REF!</definedName>
    <definedName name="K.636A_49_54" localSheetId="0">'[2]K_639A REV07'!#REF!</definedName>
    <definedName name="K.636A_49_54">'[2]K_639A REV07'!#REF!</definedName>
    <definedName name="K.636A_50" localSheetId="0">#REF!</definedName>
    <definedName name="K.636A_50">#REF!</definedName>
    <definedName name="K.636A_74" localSheetId="0">[1]K_636A!#REF!</definedName>
    <definedName name="K.636A_74">[1]K_636A!#REF!</definedName>
    <definedName name="K.639A_50" localSheetId="0">#REF!</definedName>
    <definedName name="K.639A_50">#REF!</definedName>
    <definedName name="K.639A_54" localSheetId="0">'[2]K_639A REV07'!#REF!</definedName>
    <definedName name="K.639A_54">'[2]K_639A REV07'!#REF!</definedName>
    <definedName name="K.639AREV" localSheetId="0">#REF!</definedName>
    <definedName name="K.639AREV">#REF!</definedName>
    <definedName name="K.639AREV07" localSheetId="0">#REF!</definedName>
    <definedName name="K.639AREV07">#REF!</definedName>
    <definedName name="K.640" localSheetId="0">#REF!</definedName>
    <definedName name="K.640">#REF!</definedName>
    <definedName name="K.641" localSheetId="0">[1]K_642!#REF!</definedName>
    <definedName name="K.641">[1]K_642!#REF!</definedName>
    <definedName name="K.641.A" localSheetId="0">#REF!</definedName>
    <definedName name="K.641.A">#REF!</definedName>
    <definedName name="K.641_24" localSheetId="0">[1]K_224!#REF!</definedName>
    <definedName name="K.641_24">[1]K_224!#REF!</definedName>
    <definedName name="K.641_25" localSheetId="0">[1]K_224!#REF!</definedName>
    <definedName name="K.641_25">[1]K_224!#REF!</definedName>
    <definedName name="K.641_49" localSheetId="0">[1]K_224!#REF!</definedName>
    <definedName name="K.641_49">[1]K_224!#REF!</definedName>
    <definedName name="K.641_50" localSheetId="0">[1]K_224!#REF!</definedName>
    <definedName name="K.641_50">[1]K_224!#REF!</definedName>
    <definedName name="K.641_52" localSheetId="0">[1]K_642A!#REF!</definedName>
    <definedName name="K.641_52">[1]K_642A!#REF!</definedName>
    <definedName name="K.641_52_58" localSheetId="0">'[2]K_641A K_040'!#REF!</definedName>
    <definedName name="K.641_52_58">'[2]K_641A K_040'!#REF!</definedName>
    <definedName name="K.641_54" localSheetId="0">'[1]K_642 4 cm K.026'!#REF!</definedName>
    <definedName name="K.641_54">'[1]K_642 4 cm K.026'!#REF!</definedName>
    <definedName name="K.641_54_62" localSheetId="0">'[2]K_641 4 cm K_040'!#REF!</definedName>
    <definedName name="K.641_54_62">'[2]K_641 4 cm K_040'!#REF!</definedName>
    <definedName name="K.641_60" localSheetId="0">'[2]K_641 5 K_040'!#REF!</definedName>
    <definedName name="K.641_60">'[2]K_641 5 K_040'!#REF!</definedName>
    <definedName name="K.641_74" localSheetId="0">[1]K_642!#REF!</definedName>
    <definedName name="K.641_74">[1]K_642!#REF!</definedName>
    <definedName name="K.641_74_60" localSheetId="0">'[2]K_641 5 K_040'!#REF!</definedName>
    <definedName name="K.641_74_60">'[2]K_641 5 K_040'!#REF!</definedName>
    <definedName name="K.6414cm" localSheetId="0">'[1]K_642 4 cm K.026'!#REF!</definedName>
    <definedName name="K.6414cm">'[1]K_642 4 cm K.026'!#REF!</definedName>
    <definedName name="K.6414cm_62" localSheetId="0">'[2]K_641 4 cm K_040'!#REF!</definedName>
    <definedName name="K.6414cm_62">'[2]K_641 4 cm K_040'!#REF!</definedName>
    <definedName name="K.6414cmK040" localSheetId="0">'[1]K_641 4 cm K.040'!#REF!</definedName>
    <definedName name="K.6414cmK040">'[1]K_641 4 cm K.040'!#REF!</definedName>
    <definedName name="K.6415CM" localSheetId="0">[1]K_642!#REF!</definedName>
    <definedName name="K.6415CM">[1]K_642!#REF!</definedName>
    <definedName name="K.6415K040" localSheetId="0">[1]K_641!#REF!</definedName>
    <definedName name="K.6415K040">[1]K_641!#REF!</definedName>
    <definedName name="K.641A" localSheetId="0">[1]K_642A!#REF!</definedName>
    <definedName name="K.641A">[1]K_642A!#REF!</definedName>
    <definedName name="K.641A_24" localSheetId="0">[1]K_310!#REF!</definedName>
    <definedName name="K.641A_24">[1]K_310!#REF!</definedName>
    <definedName name="K.641A_25" localSheetId="0">[1]K_310!#REF!</definedName>
    <definedName name="K.641A_25">[1]K_310!#REF!</definedName>
    <definedName name="K.641A_49" localSheetId="0">[1]K_310!#REF!</definedName>
    <definedName name="K.641A_49">[1]K_310!#REF!</definedName>
    <definedName name="K.641A_50" localSheetId="0">[1]K_310!#REF!</definedName>
    <definedName name="K.641A_50">[1]K_310!#REF!</definedName>
    <definedName name="K.641A_58" localSheetId="0">'[2]K_641A K_040'!#REF!</definedName>
    <definedName name="K.641A_58">'[2]K_641A K_040'!#REF!</definedName>
    <definedName name="K.641A_74" localSheetId="0">#REF!</definedName>
    <definedName name="K.641A_74">#REF!</definedName>
    <definedName name="K.641AK040" localSheetId="0">[1]K_641A!#REF!</definedName>
    <definedName name="K.641AK040">[1]K_641A!#REF!</definedName>
    <definedName name="k.641B" localSheetId="0">[1]K_642!#REF!</definedName>
    <definedName name="k.641B">[1]K_642!#REF!</definedName>
    <definedName name="K.641c" localSheetId="0">[1]K_642A!#REF!</definedName>
    <definedName name="K.641c">[1]K_642A!#REF!</definedName>
    <definedName name="K.710_24" localSheetId="0">[1]K_110!#REF!</definedName>
    <definedName name="K.710_24">[1]K_110!#REF!</definedName>
    <definedName name="K.710_25" localSheetId="0">[1]K_110!#REF!</definedName>
    <definedName name="K.710_25">[1]K_110!#REF!</definedName>
    <definedName name="K.710_49" localSheetId="0">[1]K_110!#REF!</definedName>
    <definedName name="K.710_49">[1]K_110!#REF!</definedName>
    <definedName name="K.710_50" localSheetId="0">[1]K_110!#REF!</definedName>
    <definedName name="K.710_50">[1]K_110!#REF!</definedName>
    <definedName name="K.710_56" localSheetId="0">#REF!</definedName>
    <definedName name="K.710_56">#REF!</definedName>
    <definedName name="K.710_74" localSheetId="0">[1]K_710!#REF!</definedName>
    <definedName name="K.710_74">[1]K_710!#REF!</definedName>
    <definedName name="K.715_24" localSheetId="0">[1]K_516A!#REF!</definedName>
    <definedName name="K.715_24">[1]K_516A!#REF!</definedName>
    <definedName name="K.715_25" localSheetId="0">[1]K_516A!#REF!</definedName>
    <definedName name="K.715_25">[1]K_516A!#REF!</definedName>
    <definedName name="K.715_49" localSheetId="0">[1]K_516A!#REF!</definedName>
    <definedName name="K.715_49">[1]K_516A!#REF!</definedName>
    <definedName name="K.715_50" localSheetId="0">[1]K_516A!#REF!</definedName>
    <definedName name="K.715_50">[1]K_516A!#REF!</definedName>
    <definedName name="K.715_58" localSheetId="0">#REF!</definedName>
    <definedName name="K.715_58">#REF!</definedName>
    <definedName name="K.715_65" localSheetId="0">[2]K_720!#REF!</definedName>
    <definedName name="K.715_65">[2]K_720!#REF!</definedName>
    <definedName name="K.715_74" localSheetId="0">[1]K_715!#REF!</definedName>
    <definedName name="K.715_74">[1]K_715!#REF!</definedName>
    <definedName name="K.715_74_65" localSheetId="0">[2]K_720!#REF!</definedName>
    <definedName name="K.715_74_65">[2]K_720!#REF!</definedName>
    <definedName name="K.723_24" localSheetId="0">[1]K_523!#REF!</definedName>
    <definedName name="K.723_24">[1]K_523!#REF!</definedName>
    <definedName name="K.723_25" localSheetId="0">[1]K_523!#REF!</definedName>
    <definedName name="K.723_25">[1]K_523!#REF!</definedName>
    <definedName name="K.723_49" localSheetId="0">[1]K_523!#REF!</definedName>
    <definedName name="K.723_49">[1]K_523!#REF!</definedName>
    <definedName name="K.723_50" localSheetId="0">[1]K_523!#REF!</definedName>
    <definedName name="K.723_50">[1]K_523!#REF!</definedName>
    <definedName name="K.723_66" localSheetId="0">[2]K_722!#REF!</definedName>
    <definedName name="K.723_66">[2]K_722!#REF!</definedName>
    <definedName name="K.723_74" localSheetId="0">[1]K_723!#REF!</definedName>
    <definedName name="K.723_74">[1]K_723!#REF!</definedName>
    <definedName name="K.723_74_66" localSheetId="0">[2]K_722!#REF!</definedName>
    <definedName name="K.723_74_66">[2]K_722!#REF!</definedName>
    <definedName name="K.725_24" localSheetId="0">[1]K_615!#REF!</definedName>
    <definedName name="K.725_24">[1]K_615!#REF!</definedName>
    <definedName name="K.725_25" localSheetId="0">[1]K_615!#REF!</definedName>
    <definedName name="K.725_25">[1]K_615!#REF!</definedName>
    <definedName name="K.725_49" localSheetId="0">[1]K_615!#REF!</definedName>
    <definedName name="K.725_49">[1]K_615!#REF!</definedName>
    <definedName name="K.725_50" localSheetId="0">[1]K_615!#REF!</definedName>
    <definedName name="K.725_50">[1]K_615!#REF!</definedName>
    <definedName name="K.725_74" localSheetId="0">[1]K_725!#REF!</definedName>
    <definedName name="K.725_74">[1]K_725!#REF!</definedName>
    <definedName name="k.726_24" localSheetId="0">[1]K_320!#REF!</definedName>
    <definedName name="k.726_24">[1]K_320!#REF!</definedName>
    <definedName name="k.726_25" localSheetId="0">[1]K_320!#REF!</definedName>
    <definedName name="k.726_25">[1]K_320!#REF!</definedName>
    <definedName name="k.726_49" localSheetId="0">[1]K_320!#REF!</definedName>
    <definedName name="k.726_49">[1]K_320!#REF!</definedName>
    <definedName name="k.726_50" localSheetId="0">[1]K_320!#REF!</definedName>
    <definedName name="k.726_50">[1]K_320!#REF!</definedName>
    <definedName name="k.726_74" localSheetId="0">[1]K_726!#REF!</definedName>
    <definedName name="k.726_74">[1]K_726!#REF!</definedName>
    <definedName name="K.727_24" localSheetId="0">[1]K_618!#REF!</definedName>
    <definedName name="K.727_24">[1]K_618!#REF!</definedName>
    <definedName name="K.727_25" localSheetId="0">[1]K_618!#REF!</definedName>
    <definedName name="K.727_25">[1]K_618!#REF!</definedName>
    <definedName name="K.727_49" localSheetId="0">[1]K_618!#REF!</definedName>
    <definedName name="K.727_49">[1]K_618!#REF!</definedName>
    <definedName name="K.727_50" localSheetId="0">[1]K_618!#REF!</definedName>
    <definedName name="K.727_50">[1]K_618!#REF!</definedName>
    <definedName name="K.727_74" localSheetId="0">[1]K_727!#REF!</definedName>
    <definedName name="K.727_74">[1]K_727!#REF!</definedName>
    <definedName name="K.810_24" localSheetId="0">[1]K_618A!#REF!</definedName>
    <definedName name="K.810_24">[1]K_618A!#REF!</definedName>
    <definedName name="K.810_25" localSheetId="0">[1]K_618A!#REF!</definedName>
    <definedName name="K.810_25">[1]K_618A!#REF!</definedName>
    <definedName name="K.810_49" localSheetId="0">[1]K_618A!#REF!</definedName>
    <definedName name="K.810_49">[1]K_618A!#REF!</definedName>
    <definedName name="K.810_50" localSheetId="0">[1]K_618A!#REF!</definedName>
    <definedName name="K.810_50">[1]K_618A!#REF!</definedName>
    <definedName name="K.810_74" localSheetId="0">[1]K_810!#REF!</definedName>
    <definedName name="K.810_74">[1]K_810!#REF!</definedName>
    <definedName name="K.815_24" localSheetId="0">#REF!</definedName>
    <definedName name="K.815_24">#REF!</definedName>
    <definedName name="K.815_25" localSheetId="0">#REF!</definedName>
    <definedName name="K.815_25">#REF!</definedName>
    <definedName name="K.815_49" localSheetId="0">#REF!</definedName>
    <definedName name="K.815_49">#REF!</definedName>
    <definedName name="K.815_50" localSheetId="0">#REF!</definedName>
    <definedName name="K.815_50">#REF!</definedName>
    <definedName name="K.815_74" localSheetId="0">[1]K_815!#REF!</definedName>
    <definedName name="K.815_74">[1]K_815!#REF!</definedName>
    <definedName name="kaca" localSheetId="0">[1]E_001!#REF!</definedName>
    <definedName name="kaca">[1]E_001!#REF!</definedName>
    <definedName name="kaca_4" localSheetId="0">[2]E_010!#REF!</definedName>
    <definedName name="kaca_4">[2]E_010!#REF!</definedName>
    <definedName name="kaca_74">[3]K_641A!$E$39</definedName>
    <definedName name="Kaca_Bening" localSheetId="0">#REF!</definedName>
    <definedName name="Kaca_Bening" localSheetId="2">#REF!</definedName>
    <definedName name="Kaca_Bening">#REF!</definedName>
    <definedName name="kamper" localSheetId="0">[1]E_001!#REF!</definedName>
    <definedName name="kamper">[1]E_001!#REF!</definedName>
    <definedName name="kamper_4" localSheetId="0">[2]E_010!#REF!</definedName>
    <definedName name="kamper_4">[2]E_010!#REF!</definedName>
    <definedName name="Kaso_5_7" localSheetId="0">#REF!</definedName>
    <definedName name="Kaso_5_7" localSheetId="2">#REF!</definedName>
    <definedName name="Kaso_5_7">#REF!</definedName>
    <definedName name="kawat">[3]K_641A!$E$34</definedName>
    <definedName name="Kayu_Begesting" localSheetId="2">'[4]HaRgA SaT'!$C$13</definedName>
    <definedName name="Kayu_Begesting">'[4]HaRgA SaT'!$C$13</definedName>
    <definedName name="Kayu_Kalimantan" localSheetId="0">#REF!</definedName>
    <definedName name="Kayu_Kalimantan" localSheetId="2">#REF!</definedName>
    <definedName name="Kayu_Kalimantan">#REF!</definedName>
    <definedName name="Kayu_Kosen" localSheetId="0">#REF!</definedName>
    <definedName name="Kayu_Kosen" localSheetId="2">#REF!</definedName>
    <definedName name="Kayu_Kosen">#REF!</definedName>
    <definedName name="kayubakar" localSheetId="0">[1]E_001!#REF!</definedName>
    <definedName name="kayubakar">[1]E_001!#REF!</definedName>
    <definedName name="kayubakar_4" localSheetId="0">[2]E_010!#REF!</definedName>
    <definedName name="kayubakar_4">[2]E_010!#REF!</definedName>
    <definedName name="kayubakar_74">[3]K_641A!$E$51</definedName>
    <definedName name="Kepala_kelompok" localSheetId="2">'[4]HaRgA SaT'!$C$33</definedName>
    <definedName name="Kepala_kelompok">'[4]HaRgA SaT'!$C$33</definedName>
    <definedName name="Kepala_Tukang" localSheetId="2">'[4]HaRgA SaT'!$C$32</definedName>
    <definedName name="Kepala_Tukang">'[4]HaRgA SaT'!$C$32</definedName>
    <definedName name="keramik" localSheetId="0">[1]E_001!#REF!</definedName>
    <definedName name="keramik">[1]E_001!#REF!</definedName>
    <definedName name="Keramik_20x20" localSheetId="0">#REF!</definedName>
    <definedName name="Keramik_20x20" localSheetId="2">#REF!</definedName>
    <definedName name="Keramik_20x20">#REF!</definedName>
    <definedName name="Keramik_30x30" localSheetId="0">#REF!</definedName>
    <definedName name="Keramik_30x30" localSheetId="2">#REF!</definedName>
    <definedName name="Keramik_30x30">#REF!</definedName>
    <definedName name="keramik_4" localSheetId="0">[2]E_010!#REF!</definedName>
    <definedName name="keramik_4">[2]E_010!#REF!</definedName>
    <definedName name="keramik_74">[3]K_641A!$E$30</definedName>
    <definedName name="KM_24" localSheetId="0">[1]SAT_PEKERJAAN!#REF!</definedName>
    <definedName name="KM_24">[1]SAT_PEKERJAAN!#REF!</definedName>
    <definedName name="KM_25" localSheetId="0">[1]SAT_PEKERJAAN!#REF!</definedName>
    <definedName name="KM_25">[1]SAT_PEKERJAAN!#REF!</definedName>
    <definedName name="KM_49" localSheetId="0">[1]SAT_PEKERJAAN!#REF!</definedName>
    <definedName name="KM_49">[1]SAT_PEKERJAAN!#REF!</definedName>
    <definedName name="KM_50" localSheetId="0">[1]SAT_PEKERJAAN!#REF!</definedName>
    <definedName name="KM_50">[1]SAT_PEKERJAAN!#REF!</definedName>
    <definedName name="kppasang" localSheetId="0">[1]E_001!#REF!</definedName>
    <definedName name="kppasang">[1]E_001!#REF!</definedName>
    <definedName name="kppasang_4" localSheetId="0">[2]E_010!#REF!</definedName>
    <definedName name="kppasang_4">[2]E_010!#REF!</definedName>
    <definedName name="kppasang_74">[3]K_641A!$E$20</definedName>
    <definedName name="Kran_Φ_1_2" localSheetId="2">'[4]HaRgA SaT'!$C$19</definedName>
    <definedName name="Kran_Φ_1_2">'[4]HaRgA SaT'!$C$19</definedName>
    <definedName name="krosok" localSheetId="0">[1]E_001!#REF!</definedName>
    <definedName name="krosok">[1]E_001!#REF!</definedName>
    <definedName name="krosok_4" localSheetId="0">[2]E_010!#REF!</definedName>
    <definedName name="krosok_4">[2]E_010!#REF!</definedName>
    <definedName name="krosok_74" localSheetId="0">[3]K_641A!#REF!</definedName>
    <definedName name="krosok_74">[3]K_641A!#REF!</definedName>
    <definedName name="Kunci_Tanam" localSheetId="0">#REF!</definedName>
    <definedName name="Kunci_Tanam" localSheetId="2">#REF!</definedName>
    <definedName name="Kunci_Tanam">#REF!</definedName>
    <definedName name="L.001" localSheetId="0">#REF!</definedName>
    <definedName name="L.001">#REF!</definedName>
    <definedName name="L.061" localSheetId="2">[7]BAHAN_UPAH!$F$88</definedName>
    <definedName name="L.061">[5]BAHAN_UPAH!$F$90</definedName>
    <definedName name="L.073" localSheetId="2">[8]BAHAN_UPAH!$F$99</definedName>
    <definedName name="L.073">[8]BAHAN_UPAH!$F$99</definedName>
    <definedName name="L.074" localSheetId="2">[8]BAHAN_UPAH!$F$101</definedName>
    <definedName name="L.074">[8]BAHAN_UPAH!$F$101</definedName>
    <definedName name="L.081" localSheetId="2">#REF!</definedName>
    <definedName name="L.081">[5]BAHAN_UPAH!$F$96</definedName>
    <definedName name="L.082" localSheetId="0">#REF!</definedName>
    <definedName name="L.082">#REF!</definedName>
    <definedName name="L.084" localSheetId="0">#REF!</definedName>
    <definedName name="L.084">#REF!</definedName>
    <definedName name="L.091" localSheetId="2">#REF!</definedName>
    <definedName name="L.091">[5]BAHAN_UPAH!$F$92</definedName>
    <definedName name="L.092" localSheetId="0">#REF!</definedName>
    <definedName name="L.092">#REF!</definedName>
    <definedName name="L.099" localSheetId="0">#REF!</definedName>
    <definedName name="L.099" localSheetId="2">#REF!</definedName>
    <definedName name="L.099">#REF!</definedName>
    <definedName name="L.101" localSheetId="2">#REF!</definedName>
    <definedName name="L.101">[5]BAHAN_UPAH!$F$94</definedName>
    <definedName name="L.101_24" localSheetId="0">[1]BAHAN_UPAH!#REF!</definedName>
    <definedName name="L.101_24">[1]BAHAN_UPAH!#REF!</definedName>
    <definedName name="L.101_25" localSheetId="0">[1]BAHAN_UPAH!#REF!</definedName>
    <definedName name="L.101_25">[1]BAHAN_UPAH!#REF!</definedName>
    <definedName name="L.101_49" localSheetId="0">[1]BAHAN_UPAH!#REF!</definedName>
    <definedName name="L.101_49">[1]BAHAN_UPAH!#REF!</definedName>
    <definedName name="L.101_50" localSheetId="0">[1]BAHAN_UPAH!#REF!</definedName>
    <definedName name="L.101_50">[1]BAHAN_UPAH!#REF!</definedName>
    <definedName name="L.103" localSheetId="0">#REF!</definedName>
    <definedName name="L.103" localSheetId="2">#REF!</definedName>
    <definedName name="L.103">#REF!</definedName>
    <definedName name="L.103_24" localSheetId="0">[1]BAHAN_UPAH!#REF!</definedName>
    <definedName name="L.103_24">[1]BAHAN_UPAH!#REF!</definedName>
    <definedName name="L.103_25" localSheetId="0">[1]BAHAN_UPAH!#REF!</definedName>
    <definedName name="L.103_25">[1]BAHAN_UPAH!#REF!</definedName>
    <definedName name="L.103_49" localSheetId="0">[1]BAHAN_UPAH!#REF!</definedName>
    <definedName name="L.103_49">[1]BAHAN_UPAH!#REF!</definedName>
    <definedName name="L.103_50" localSheetId="0">[1]BAHAN_UPAH!#REF!</definedName>
    <definedName name="L.103_50">[1]BAHAN_UPAH!#REF!</definedName>
    <definedName name="L.106" localSheetId="2">[8]BAHAN_UPAH!$F$97</definedName>
    <definedName name="L.106">[8]BAHAN_UPAH!$F$97</definedName>
    <definedName name="Lem_Kayu" localSheetId="0">#REF!</definedName>
    <definedName name="Lem_Kayu" localSheetId="2">#REF!</definedName>
    <definedName name="Lem_Kayu">#REF!</definedName>
    <definedName name="M.010" localSheetId="0">#REF!</definedName>
    <definedName name="M.010">#REF!</definedName>
    <definedName name="M.017" localSheetId="0">[1]BAHAN_UPAH!#REF!</definedName>
    <definedName name="M.017">[1]BAHAN_UPAH!#REF!</definedName>
    <definedName name="M.020" localSheetId="0">#REF!</definedName>
    <definedName name="M.020">#REF!</definedName>
    <definedName name="M.021" localSheetId="0">#REF!</definedName>
    <definedName name="M.021">#REF!</definedName>
    <definedName name="M.022" localSheetId="0">#REF!</definedName>
    <definedName name="M.022">#REF!</definedName>
    <definedName name="M.023">[5]BAHAN_UPAH!$F$23</definedName>
    <definedName name="M.024" localSheetId="2">#REF!</definedName>
    <definedName name="M.024">[5]BAHAN_UPAH!$F$24</definedName>
    <definedName name="M.025">[5]BAHAN_UPAH!$F$25</definedName>
    <definedName name="M.040" localSheetId="2">[7]BAHAN_UPAH!$F$25</definedName>
    <definedName name="M.040">[7]BAHAN_UPAH!$F$25</definedName>
    <definedName name="M.041" localSheetId="2">#REF!</definedName>
    <definedName name="M.041">[5]BAHAN_UPAH!$F$29</definedName>
    <definedName name="M.042" localSheetId="0">#REF!</definedName>
    <definedName name="M.042">#REF!</definedName>
    <definedName name="M.043" localSheetId="0">#REF!</definedName>
    <definedName name="M.043">#REF!</definedName>
    <definedName name="M.044" localSheetId="0">#REF!</definedName>
    <definedName name="M.044">#REF!</definedName>
    <definedName name="M.045" localSheetId="0">#REF!</definedName>
    <definedName name="M.045">#REF!</definedName>
    <definedName name="M.061" localSheetId="2">#REF!</definedName>
    <definedName name="M.061">[5]BAHAN_UPAH!$F$9</definedName>
    <definedName name="M.065">[5]BAHAN_UPAH!$F$11</definedName>
    <definedName name="M.066" localSheetId="0">#REF!</definedName>
    <definedName name="M.066">#REF!</definedName>
    <definedName name="M.067" localSheetId="0">#REF!</definedName>
    <definedName name="M.067">#REF!</definedName>
    <definedName name="M.068" localSheetId="0">#REF!</definedName>
    <definedName name="M.068">#REF!</definedName>
    <definedName name="M.081" localSheetId="0">#REF!</definedName>
    <definedName name="M.081">#REF!</definedName>
    <definedName name="M.162" localSheetId="0">#REF!</definedName>
    <definedName name="M.162">#REF!</definedName>
    <definedName name="M.166" localSheetId="0">#REF!</definedName>
    <definedName name="M.166">#REF!</definedName>
    <definedName name="M.167" localSheetId="0">#REF!</definedName>
    <definedName name="M.167">#REF!</definedName>
    <definedName name="M.168" localSheetId="0">#REF!</definedName>
    <definedName name="M.168">#REF!</definedName>
    <definedName name="M.170">[5]BAHAN_UPAH!$F$37</definedName>
    <definedName name="M.180" localSheetId="0">#REF!</definedName>
    <definedName name="M.180">#REF!</definedName>
    <definedName name="M.181" localSheetId="0">#REF!</definedName>
    <definedName name="M.181">#REF!</definedName>
    <definedName name="M.182" localSheetId="0">#REF!</definedName>
    <definedName name="M.182">#REF!</definedName>
    <definedName name="M.184" localSheetId="0">#REF!</definedName>
    <definedName name="M.184">#REF!</definedName>
    <definedName name="M.185" localSheetId="0">#REF!</definedName>
    <definedName name="M.185">#REF!</definedName>
    <definedName name="M.186" localSheetId="0">#REF!</definedName>
    <definedName name="M.186">#REF!</definedName>
    <definedName name="M.187" localSheetId="0">#REF!</definedName>
    <definedName name="M.187">#REF!</definedName>
    <definedName name="M.188" localSheetId="0">#REF!</definedName>
    <definedName name="M.188">#REF!</definedName>
    <definedName name="M.189" localSheetId="0">#REF!</definedName>
    <definedName name="M.189">#REF!</definedName>
    <definedName name="M.190" localSheetId="0">#REF!</definedName>
    <definedName name="M.190">#REF!</definedName>
    <definedName name="M.191" localSheetId="0">#REF!</definedName>
    <definedName name="M.191">#REF!</definedName>
    <definedName name="M.192" localSheetId="0">#REF!</definedName>
    <definedName name="M.192">#REF!</definedName>
    <definedName name="M.193" localSheetId="0">#REF!</definedName>
    <definedName name="M.193">#REF!</definedName>
    <definedName name="M.194" localSheetId="0">#REF!</definedName>
    <definedName name="M.194">#REF!</definedName>
    <definedName name="M.195" localSheetId="0">#REF!</definedName>
    <definedName name="M.195">#REF!</definedName>
    <definedName name="M.197" localSheetId="0">#REF!</definedName>
    <definedName name="M.197">#REF!</definedName>
    <definedName name="M.198" localSheetId="0">#REF!</definedName>
    <definedName name="M.198">#REF!</definedName>
    <definedName name="M.199" localSheetId="0">#REF!</definedName>
    <definedName name="M.199">#REF!</definedName>
    <definedName name="M.201" localSheetId="2">[8]BAHAN_UPAH!$F$69</definedName>
    <definedName name="M.201">[8]BAHAN_UPAH!$F$69</definedName>
    <definedName name="M.202" localSheetId="0">#REF!</definedName>
    <definedName name="M.202">#REF!</definedName>
    <definedName name="M.204" localSheetId="0">#REF!</definedName>
    <definedName name="M.204">#REF!</definedName>
    <definedName name="M.205" localSheetId="0">#REF!</definedName>
    <definedName name="M.205">#REF!</definedName>
    <definedName name="M.206" localSheetId="0">#REF!</definedName>
    <definedName name="M.206">#REF!</definedName>
    <definedName name="M.207" localSheetId="0">#REF!</definedName>
    <definedName name="M.207">#REF!</definedName>
    <definedName name="M.208" localSheetId="0">#REF!</definedName>
    <definedName name="M.208">#REF!</definedName>
    <definedName name="M.209" localSheetId="0">#REF!</definedName>
    <definedName name="M.209">#REF!</definedName>
    <definedName name="M.210" localSheetId="0">#REF!</definedName>
    <definedName name="M.210">#REF!</definedName>
    <definedName name="M.211" localSheetId="0">#REF!</definedName>
    <definedName name="M.211">#REF!</definedName>
    <definedName name="M.212" localSheetId="0">#REF!</definedName>
    <definedName name="M.212">#REF!</definedName>
    <definedName name="M.213" localSheetId="0">#REF!</definedName>
    <definedName name="M.213">#REF!</definedName>
    <definedName name="M.214" localSheetId="0">#REF!</definedName>
    <definedName name="M.214">#REF!</definedName>
    <definedName name="M.66A" localSheetId="0">[1]BAHAN_UPAH!#REF!</definedName>
    <definedName name="M.66A">[1]BAHAN_UPAH!#REF!</definedName>
    <definedName name="mandor_74">[3]K_641A!$E$62</definedName>
    <definedName name="manggaran" localSheetId="0">[1]E_001!#REF!</definedName>
    <definedName name="manggaran">[1]E_001!#REF!</definedName>
    <definedName name="manggaran_4" localSheetId="0">[2]E_010!#REF!</definedName>
    <definedName name="manggaran_4">[2]E_010!#REF!</definedName>
    <definedName name="manggaran_74">[3]K_641A!$E$11</definedName>
    <definedName name="masinis" localSheetId="0">[1]E_001!#REF!</definedName>
    <definedName name="masinis">[1]E_001!#REF!</definedName>
    <definedName name="masinis_4" localSheetId="0">[2]E_010!#REF!</definedName>
    <definedName name="masinis_4">[2]E_010!#REF!</definedName>
    <definedName name="masinis_74">[3]K_641A!$E$65</definedName>
    <definedName name="Minyak_Cat" localSheetId="0">#REF!</definedName>
    <definedName name="Minyak_Cat" localSheetId="2">#REF!</definedName>
    <definedName name="Minyak_Cat">#REF!</definedName>
    <definedName name="minyakbakar" localSheetId="0">[1]E_001!#REF!</definedName>
    <definedName name="minyakbakar">[1]E_001!#REF!</definedName>
    <definedName name="minyakbakar_4" localSheetId="0">[2]E_010!#REF!</definedName>
    <definedName name="minyakbakar_4">[2]E_010!#REF!</definedName>
    <definedName name="ml" localSheetId="0">[9]E_001!#REF!</definedName>
    <definedName name="ml">[9]E_001!#REF!</definedName>
    <definedName name="Mob_Demob_Wales" localSheetId="0">#REF!</definedName>
    <definedName name="Mob_Demob_Wales" localSheetId="2">#REF!</definedName>
    <definedName name="Mob_Demob_Wales">#REF!</definedName>
    <definedName name="MOBIL" localSheetId="0">#REF!</definedName>
    <definedName name="MOBIL">#REF!</definedName>
    <definedName name="MP_7121" localSheetId="0">[10]D7!#REF!</definedName>
    <definedName name="MP_7121">[10]D7!#REF!</definedName>
    <definedName name="MP_7121_77" localSheetId="0">[11]D7!#REF!</definedName>
    <definedName name="MP_7121_77">[11]D7!#REF!</definedName>
    <definedName name="MP_717" localSheetId="0">[10]D7!#REF!</definedName>
    <definedName name="MP_717">[10]D7!#REF!</definedName>
    <definedName name="MP_717_77" localSheetId="0">[11]D7!#REF!</definedName>
    <definedName name="MP_717_77">[11]D7!#REF!</definedName>
    <definedName name="MR.42" localSheetId="0">[1]BAHAN_UPAH!#REF!</definedName>
    <definedName name="MR.42">[1]BAHAN_UPAH!#REF!</definedName>
    <definedName name="olie">[3]K_641A!$E$54</definedName>
    <definedName name="Operator_Wales" localSheetId="0">#REF!</definedName>
    <definedName name="Operator_Wales" localSheetId="2">#REF!</definedName>
    <definedName name="Operator_Wales">#REF!</definedName>
    <definedName name="Paku" localSheetId="2">'[4]HaRgA SaT'!$C$9</definedName>
    <definedName name="paku">[3]K_641A!$E$36</definedName>
    <definedName name="Paku_Baut" localSheetId="0">#REF!</definedName>
    <definedName name="Paku_Baut" localSheetId="2">#REF!</definedName>
    <definedName name="Paku_Baut">#REF!</definedName>
    <definedName name="papan" localSheetId="2">'[12]HaRgA SaT'!$C$25</definedName>
    <definedName name="papan">'[12]HaRgA SaT'!$C$25</definedName>
    <definedName name="Papan_Proyek" localSheetId="2">'[4]HaRgA SaT'!$C$27</definedName>
    <definedName name="Papan_Proyek">'[4]HaRgA SaT'!$C$27</definedName>
    <definedName name="Pasir_cor__beton" localSheetId="2">'[4]HaRgA SaT'!$C$7</definedName>
    <definedName name="Pasir_cor__beton">'[4]HaRgA SaT'!$C$7</definedName>
    <definedName name="Pasir_Pasang" localSheetId="2">'[4]HaRgA SaT'!$C$4</definedName>
    <definedName name="Pasir_Pasang">'[4]HaRgA SaT'!$C$4</definedName>
    <definedName name="Pasir_Urug" localSheetId="0">#REF!</definedName>
    <definedName name="Pasir_Urug" localSheetId="2">#REF!</definedName>
    <definedName name="Pasir_Urug">#REF!</definedName>
    <definedName name="paving" localSheetId="0">[1]E_001!#REF!</definedName>
    <definedName name="Paving" localSheetId="2">#REF!</definedName>
    <definedName name="paving">[1]E_001!#REF!</definedName>
    <definedName name="paving_4" localSheetId="0">[2]E_010!#REF!</definedName>
    <definedName name="paving_4">[2]E_010!#REF!</definedName>
    <definedName name="paving_74">[3]K_641A!$E$26</definedName>
    <definedName name="pekerja" localSheetId="0">[1]E_001!#REF!</definedName>
    <definedName name="Pekerja" localSheetId="2">'[4]HaRgA SaT'!$C$30</definedName>
    <definedName name="pekerja">[1]E_001!#REF!</definedName>
    <definedName name="pekerja_4" localSheetId="0">[2]E_010!#REF!</definedName>
    <definedName name="pekerja_4">[2]E_010!#REF!</definedName>
    <definedName name="pekerja_74">[3]K_641A!$E$61</definedName>
    <definedName name="Pemasangan_Instalasi_Listrik" localSheetId="2">'[4]HaRgA SaT'!$C$37</definedName>
    <definedName name="Pemasangan_Instalasi_Listrik">'[4]HaRgA SaT'!$C$37</definedName>
    <definedName name="pembantu">[3]K_641A!$E$66</definedName>
    <definedName name="Pipa_1" localSheetId="2">'[4]HaRgA SaT'!$C$15</definedName>
    <definedName name="Pipa_1">'[4]HaRgA SaT'!$C$15</definedName>
    <definedName name="Pipa_2" localSheetId="2">'[4]HaRgA SaT'!$C$14</definedName>
    <definedName name="Pipa_2">'[4]HaRgA SaT'!$C$14</definedName>
    <definedName name="Pkj" localSheetId="0">#REF!</definedName>
    <definedName name="Pkj" localSheetId="2">#REF!</definedName>
    <definedName name="Pkj">#REF!</definedName>
    <definedName name="PKJPenghamparan" localSheetId="0">#REF!</definedName>
    <definedName name="PKJPenghamparan" localSheetId="2">#REF!</definedName>
    <definedName name="PKJPenghamparan">#REF!</definedName>
    <definedName name="PKJsusunbt" localSheetId="0">#REF!</definedName>
    <definedName name="PKJsusunbt" localSheetId="2">#REF!</definedName>
    <definedName name="PKJsusunbt">#REF!</definedName>
    <definedName name="PKJtimbunn" localSheetId="0">#REF!</definedName>
    <definedName name="PKJtimbunn" localSheetId="2">#REF!</definedName>
    <definedName name="PKJtimbunn">#REF!</definedName>
    <definedName name="Plamir" localSheetId="0">#REF!</definedName>
    <definedName name="Plamir" localSheetId="2">#REF!</definedName>
    <definedName name="Plamir">#REF!</definedName>
    <definedName name="PLESTER" localSheetId="0">[1]SAT_PEKERJAAN!#REF!</definedName>
    <definedName name="PLESTER">[1]SAT_PEKERJAAN!#REF!</definedName>
    <definedName name="PLSTR" localSheetId="0">[1]SAT_PEKERJAAN!#REF!</definedName>
    <definedName name="PLSTR">[1]SAT_PEKERJAAN!#REF!</definedName>
    <definedName name="porselin" localSheetId="0">[1]E_001!#REF!</definedName>
    <definedName name="porselin">[1]E_001!#REF!</definedName>
    <definedName name="porselin_4" localSheetId="0">[2]E_010!#REF!</definedName>
    <definedName name="porselin_4">[2]E_010!#REF!</definedName>
    <definedName name="porselin_74">[3]K_641A!$E$31</definedName>
    <definedName name="_xlnm.Print_Area" localSheetId="0">'ISIAN DATA'!#REF!</definedName>
    <definedName name="_xlnm.Print_Area" localSheetId="11">'Surat Kelahiran'!$A$1:$AD$94</definedName>
    <definedName name="PRINT_AREA_MI" localSheetId="0">#REF!</definedName>
    <definedName name="PRINT_AREA_MI" localSheetId="2">#REF!</definedName>
    <definedName name="PRINT_AREA_MI">#REF!</definedName>
    <definedName name="psbeton" localSheetId="0">[1]E_001!#REF!</definedName>
    <definedName name="psbeton">[1]E_001!#REF!</definedName>
    <definedName name="psbeton_4" localSheetId="0">[2]E_010!#REF!</definedName>
    <definedName name="psbeton_4">[2]E_010!#REF!</definedName>
    <definedName name="psbeton_74">[3]K_641A!$E$9</definedName>
    <definedName name="pslaut" localSheetId="0">[1]E_001!#REF!</definedName>
    <definedName name="pslaut">[1]E_001!#REF!</definedName>
    <definedName name="pslaut_4" localSheetId="0">[2]E_010!#REF!</definedName>
    <definedName name="pslaut_4">[2]E_010!#REF!</definedName>
    <definedName name="pslaut_74" localSheetId="0">[3]K_641A!#REF!</definedName>
    <definedName name="pslaut_74">[3]K_641A!#REF!</definedName>
    <definedName name="pspasang">[3]K_641A!$E$8</definedName>
    <definedName name="Psr_URug" localSheetId="0">#REF!</definedName>
    <definedName name="Psr_URug" localSheetId="2">#REF!</definedName>
    <definedName name="Psr_URug">#REF!</definedName>
    <definedName name="psurug">[3]K_641A!$E$7</definedName>
    <definedName name="punak" localSheetId="0">[1]E_001!#REF!</definedName>
    <definedName name="punak">[1]E_001!#REF!</definedName>
    <definedName name="punak_4" localSheetId="0">[2]E_010!#REF!</definedName>
    <definedName name="punak_4">[2]E_010!#REF!</definedName>
    <definedName name="punak_74">[3]K_641A!$E$22</definedName>
    <definedName name="R.017" localSheetId="0">#REF!</definedName>
    <definedName name="R.017">#REF!</definedName>
    <definedName name="R.017_74" localSheetId="0">#REF!</definedName>
    <definedName name="R.017_74">#REF!</definedName>
    <definedName name="RUAS_24" localSheetId="0">[1]SAT_PEKERJAAN!#REF!</definedName>
    <definedName name="RUAS_24">[1]SAT_PEKERJAAN!#REF!</definedName>
    <definedName name="RUAS_25" localSheetId="0">[1]SAT_PEKERJAAN!#REF!</definedName>
    <definedName name="RUAS_25">[1]SAT_PEKERJAAN!#REF!</definedName>
    <definedName name="RUAS_49" localSheetId="0">[1]SAT_PEKERJAAN!#REF!</definedName>
    <definedName name="RUAS_49">[1]SAT_PEKERJAAN!#REF!</definedName>
    <definedName name="RUAS_50" localSheetId="0">[1]SAT_PEKERJAAN!#REF!</definedName>
    <definedName name="RUAS_50">[1]SAT_PEKERJAAN!#REF!</definedName>
    <definedName name="SCD" localSheetId="0">#REF!</definedName>
    <definedName name="SCD">#REF!</definedName>
    <definedName name="selang_waterpass" localSheetId="2">'[4]HaRgA SaT'!$C$26</definedName>
    <definedName name="selang_waterpass">'[4]HaRgA SaT'!$C$26</definedName>
    <definedName name="semen">[3]K_641A!$E$32</definedName>
    <definedName name="Semen__50kg" localSheetId="2">'[4]HaRgA SaT'!$C$3</definedName>
    <definedName name="Semen__50kg">'[4]HaRgA SaT'!$C$3</definedName>
    <definedName name="Seng_Plat" localSheetId="0">#REF!</definedName>
    <definedName name="Seng_Plat" localSheetId="2">#REF!</definedName>
    <definedName name="Seng_Plat">#REF!</definedName>
    <definedName name="sengbjls25" localSheetId="0">[1]E_001!#REF!</definedName>
    <definedName name="sengbjls25">[1]E_001!#REF!</definedName>
    <definedName name="sengbjls25_4" localSheetId="0">[2]E_010!#REF!</definedName>
    <definedName name="sengbjls25_4">[2]E_010!#REF!</definedName>
    <definedName name="sengbjls30" localSheetId="0">[1]E_001!#REF!</definedName>
    <definedName name="sengbjls30">[1]E_001!#REF!</definedName>
    <definedName name="sengbjls30_4" localSheetId="0">[2]E_010!#REF!</definedName>
    <definedName name="sengbjls30_4">[2]E_010!#REF!</definedName>
    <definedName name="sengbjls30_74">[3]K_641A!$E$43</definedName>
    <definedName name="senggel" localSheetId="0">[1]E_001!#REF!</definedName>
    <definedName name="senggel">[1]E_001!#REF!</definedName>
    <definedName name="senggel_4" localSheetId="0">[2]E_010!#REF!</definedName>
    <definedName name="senggel_4">[2]E_010!#REF!</definedName>
    <definedName name="senggel_74">[3]K_641A!$E$48</definedName>
    <definedName name="Sewa_Wales" localSheetId="0">#REF!</definedName>
    <definedName name="Sewa_Wales" localSheetId="2">#REF!</definedName>
    <definedName name="Sewa_Wales">#REF!</definedName>
    <definedName name="SIAR" localSheetId="0">[1]SAT_PEKERJAAN!#REF!</definedName>
    <definedName name="SIAR">[1]SAT_PEKERJAAN!#REF!</definedName>
    <definedName name="sirtu" localSheetId="0">[1]E_001!#REF!</definedName>
    <definedName name="Sirtu" localSheetId="2">'[4]HaRgA SaT'!$C$8</definedName>
    <definedName name="sirtu">[1]E_001!#REF!</definedName>
    <definedName name="sirtu_4" localSheetId="0">[2]E_010!#REF!</definedName>
    <definedName name="sirtu_4">[2]E_010!#REF!</definedName>
    <definedName name="sirtu_74">[3]K_641A!$E$10</definedName>
    <definedName name="solar">[3]K_641A!$E$53</definedName>
    <definedName name="Split" localSheetId="2">'[4]HaRgA SaT'!$C$10</definedName>
    <definedName name="Split">'[4]HaRgA SaT'!$C$10</definedName>
    <definedName name="SPLYT" localSheetId="0">[1]E_031!#REF!</definedName>
    <definedName name="SPLYT">[1]E_031!#REF!</definedName>
    <definedName name="SPLYT_74" localSheetId="0">'[1]DAFTAR ANALYSA'!#REF!</definedName>
    <definedName name="SPLYT_74">'[1]DAFTAR ANALYSA'!#REF!</definedName>
    <definedName name="stempet">[3]K_641A!$E$55</definedName>
    <definedName name="SUB" localSheetId="0">#REF!</definedName>
    <definedName name="SUB">#REF!</definedName>
    <definedName name="tanah" localSheetId="0">[1]E_001!#REF!</definedName>
    <definedName name="tanah">[1]E_001!#REF!</definedName>
    <definedName name="tanah_4" localSheetId="0">[2]E_010!#REF!</definedName>
    <definedName name="tanah_4">[2]E_010!#REF!</definedName>
    <definedName name="teakwood" localSheetId="0">[1]E_001!#REF!</definedName>
    <definedName name="teakwood">[1]E_001!#REF!</definedName>
    <definedName name="teakwood_4" localSheetId="0">[2]E_010!#REF!</definedName>
    <definedName name="teakwood_4">[2]E_010!#REF!</definedName>
    <definedName name="teakwood_74">[3]K_641A!$E$41</definedName>
    <definedName name="tegel" localSheetId="0">[1]E_001!#REF!</definedName>
    <definedName name="tegel">[1]E_001!#REF!</definedName>
    <definedName name="tegel_4" localSheetId="0">[2]E_010!#REF!</definedName>
    <definedName name="tegel_4">[2]E_010!#REF!</definedName>
    <definedName name="tegel_74">[3]K_641A!$E$27</definedName>
    <definedName name="tempatmasak" localSheetId="0">[1]E_001!#REF!</definedName>
    <definedName name="tempatmasak">[1]E_001!#REF!</definedName>
    <definedName name="tempatmasak_4" localSheetId="0">[2]E_010!#REF!</definedName>
    <definedName name="tempatmasak_4">[2]E_010!#REF!</definedName>
    <definedName name="tempatmasak_74">[3]K_641A!$E$52</definedName>
    <definedName name="Tenaga_Ahli_Pengeboran" localSheetId="2">'[4]HaRgA SaT'!$C$34</definedName>
    <definedName name="Tenaga_Ahli_Pengeboran">'[4]HaRgA SaT'!$C$34</definedName>
    <definedName name="Tenaga_Instalasi_Pipa" localSheetId="2">'[4]HaRgA SaT'!$C$36</definedName>
    <definedName name="Tenaga_Instalasi_Pipa">'[4]HaRgA SaT'!$C$36</definedName>
    <definedName name="Tenaga_Instalasi_Pompa" localSheetId="2">'[4]HaRgA SaT'!$C$35</definedName>
    <definedName name="Tenaga_Instalasi_Pompa">'[4]HaRgA SaT'!$C$35</definedName>
    <definedName name="tilux" localSheetId="0">[1]E_001!#REF!</definedName>
    <definedName name="tilux">[1]E_001!#REF!</definedName>
    <definedName name="tilux_4" localSheetId="0">[2]E_010!#REF!</definedName>
    <definedName name="tilux_4">[2]E_010!#REF!</definedName>
    <definedName name="tilux_74">[3]K_641A!$E$45</definedName>
    <definedName name="triplex" localSheetId="0">[1]E_001!#REF!</definedName>
    <definedName name="triplex">[1]E_001!#REF!</definedName>
    <definedName name="Triplex__1_2_x_2_4" localSheetId="0">#REF!</definedName>
    <definedName name="Triplex__1_2_x_2_4" localSheetId="2">#REF!</definedName>
    <definedName name="Triplex__1_2_x_2_4">#REF!</definedName>
    <definedName name="triplex_4" localSheetId="0">[2]E_010!#REF!</definedName>
    <definedName name="triplex_4">[2]E_010!#REF!</definedName>
    <definedName name="triplex_74" localSheetId="0">[3]K_641A!#REF!</definedName>
    <definedName name="triplex_74">[3]K_641A!#REF!</definedName>
    <definedName name="Tukang" localSheetId="2">'[4]HaRgA SaT'!$C$31</definedName>
    <definedName name="Tukang">'[4]HaRgA SaT'!$C$31</definedName>
    <definedName name="tukangkep">[3]K_641A!$E$64</definedName>
    <definedName name="Tutup_Bak_Besi" localSheetId="2">'[4]HaRgA SaT'!$C$16</definedName>
    <definedName name="Tutup_Bak_Besi">'[4]HaRgA SaT'!$C$16</definedName>
    <definedName name="UTAMA" localSheetId="0">#REF!</definedName>
    <definedName name="UTAMA">#REF!</definedName>
    <definedName name="W.4" localSheetId="0">#REF!</definedName>
    <definedName name="W.4" localSheetId="2">#REF!</definedName>
    <definedName name="W.4">#REF!</definedName>
    <definedName name="wuwung" localSheetId="0">[1]E_001!#REF!</definedName>
    <definedName name="wuwung">[1]E_001!#REF!</definedName>
    <definedName name="wuwung_4" localSheetId="0">[2]E_010!#REF!</definedName>
    <definedName name="wuwung_4">[2]E_010!#REF!</definedName>
    <definedName name="wuwung_74">[3]K_641A!$E$29</definedName>
    <definedName name="zen" localSheetId="0">'[1]DAFTAR ANALYSA'!#REF!</definedName>
    <definedName name="zen">'[1]DAFTAR ANALYSA'!#REF!</definedName>
  </definedNames>
  <calcPr calcId="152511"/>
  <extLst>
    <ext uri="GoogleSheetsCustomDataVersion2">
      <go:sheetsCustomData xmlns:go="http://customooxmlschemas.google.com/" r:id="rId41" roundtripDataChecksum="w6MK5mAEabuYGS1jZcnekTiMUaaLZyDFtrdSy7ETE+w="/>
    </ext>
  </extLst>
</workbook>
</file>

<file path=xl/calcChain.xml><?xml version="1.0" encoding="utf-8"?>
<calcChain xmlns="http://schemas.openxmlformats.org/spreadsheetml/2006/main">
  <c r="U87" i="12" l="1"/>
  <c r="AJ35" i="12"/>
  <c r="AK35" i="12"/>
  <c r="AL35" i="12"/>
  <c r="AJ36" i="12"/>
  <c r="AK36" i="12"/>
  <c r="AL36" i="12"/>
  <c r="AJ37" i="12"/>
  <c r="AK37" i="12"/>
  <c r="AL37" i="12"/>
  <c r="AJ38" i="12"/>
  <c r="AK38" i="12"/>
  <c r="AL38" i="12"/>
  <c r="AJ39" i="12"/>
  <c r="AK39" i="12"/>
  <c r="AL39" i="12"/>
  <c r="AJ40" i="12"/>
  <c r="AK40" i="12"/>
  <c r="AL40" i="12"/>
  <c r="AJ41" i="12"/>
  <c r="AK41" i="12"/>
  <c r="AL41" i="12"/>
  <c r="AM41" i="12"/>
  <c r="AJ42" i="12"/>
  <c r="AK42" i="12"/>
  <c r="AL42" i="12"/>
  <c r="AJ43" i="12"/>
  <c r="AK43" i="12"/>
  <c r="AL43" i="12"/>
  <c r="AJ44" i="12"/>
  <c r="AK44" i="12"/>
  <c r="AL44" i="12"/>
  <c r="AJ45" i="12"/>
  <c r="AK45" i="12"/>
  <c r="AL45" i="12"/>
  <c r="AJ46" i="12"/>
  <c r="AK46" i="12"/>
  <c r="AL46" i="12"/>
  <c r="AM46" i="12"/>
  <c r="AJ47" i="12"/>
  <c r="AK47" i="12"/>
  <c r="AL47" i="12"/>
  <c r="AJ25" i="12"/>
  <c r="AK25" i="12"/>
  <c r="AL25" i="12"/>
  <c r="AJ26" i="12"/>
  <c r="AK26" i="12"/>
  <c r="AL26" i="12"/>
  <c r="AJ27" i="12"/>
  <c r="AK27" i="12"/>
  <c r="AL27" i="12"/>
  <c r="AJ28" i="12"/>
  <c r="AK28" i="12"/>
  <c r="AL28" i="12"/>
  <c r="AJ29" i="12"/>
  <c r="AK29" i="12"/>
  <c r="AL29" i="12"/>
  <c r="AJ30" i="12"/>
  <c r="AK30" i="12"/>
  <c r="AL30" i="12"/>
  <c r="AJ31" i="12"/>
  <c r="AK31" i="12"/>
  <c r="AL31" i="12"/>
  <c r="AJ32" i="12"/>
  <c r="AK32" i="12"/>
  <c r="AL32" i="12"/>
  <c r="AJ33" i="12"/>
  <c r="AK33" i="12"/>
  <c r="AL33" i="12"/>
  <c r="AM33" i="12"/>
  <c r="AJ34" i="12"/>
  <c r="AK34" i="12"/>
  <c r="AL34" i="12"/>
  <c r="AJ24" i="12"/>
  <c r="AK24" i="12"/>
  <c r="AL24" i="12"/>
  <c r="I16" i="25"/>
  <c r="AM24" i="12" s="1"/>
  <c r="I17" i="25"/>
  <c r="AM25" i="12" s="1"/>
  <c r="I18" i="25"/>
  <c r="AM26" i="12" s="1"/>
  <c r="I19" i="25"/>
  <c r="AM27" i="12" s="1"/>
  <c r="I20" i="25"/>
  <c r="AM28" i="12" s="1"/>
  <c r="I21" i="25"/>
  <c r="AM29" i="12" s="1"/>
  <c r="I22" i="25"/>
  <c r="AM30" i="12" s="1"/>
  <c r="I23" i="25"/>
  <c r="AM31" i="12" s="1"/>
  <c r="I24" i="25"/>
  <c r="AM32" i="12" s="1"/>
  <c r="I35" i="25"/>
  <c r="AM43" i="12" s="1"/>
  <c r="I36" i="25"/>
  <c r="AM44" i="12" s="1"/>
  <c r="I37" i="25"/>
  <c r="AM45" i="12" s="1"/>
  <c r="I39" i="25"/>
  <c r="AM47" i="12" s="1"/>
  <c r="I40" i="25"/>
  <c r="I26" i="25"/>
  <c r="AM34" i="12" s="1"/>
  <c r="I27" i="25"/>
  <c r="AM35" i="12" s="1"/>
  <c r="I28" i="25"/>
  <c r="AM36" i="12" s="1"/>
  <c r="I29" i="25"/>
  <c r="AM37" i="12" s="1"/>
  <c r="I30" i="25"/>
  <c r="AM38" i="12" s="1"/>
  <c r="I31" i="25"/>
  <c r="AM39" i="12" s="1"/>
  <c r="I32" i="25"/>
  <c r="AM40" i="12" s="1"/>
  <c r="I34" i="25"/>
  <c r="AM42" i="12" s="1"/>
  <c r="AI58" i="12"/>
  <c r="F59" i="12" s="1"/>
  <c r="AI14" i="12"/>
  <c r="AI19" i="12"/>
  <c r="AI20" i="12"/>
  <c r="AI21" i="12"/>
  <c r="AI22" i="12"/>
  <c r="AI23" i="12"/>
  <c r="AI24" i="12"/>
  <c r="AI25" i="12"/>
  <c r="AI26" i="12"/>
  <c r="AI27" i="12"/>
  <c r="AI28" i="12"/>
  <c r="AI29" i="12"/>
  <c r="AI30" i="12"/>
  <c r="AI31" i="12"/>
  <c r="AI32" i="12"/>
  <c r="AI33" i="12"/>
  <c r="AI34" i="12"/>
  <c r="AI35" i="12"/>
  <c r="AI36" i="12"/>
  <c r="AI37" i="12"/>
  <c r="AI38" i="12"/>
  <c r="AI39" i="12"/>
  <c r="AI40" i="12"/>
  <c r="AI41" i="12"/>
  <c r="AI42" i="12"/>
  <c r="AI43" i="12"/>
  <c r="AI44" i="12"/>
  <c r="AI45" i="12"/>
  <c r="AI46" i="12"/>
  <c r="AI47" i="12"/>
  <c r="AI48" i="12"/>
  <c r="AI49" i="12"/>
  <c r="AI50" i="12"/>
  <c r="AI51" i="12"/>
  <c r="AI52" i="12"/>
  <c r="AI53" i="12"/>
  <c r="AI54" i="12"/>
  <c r="AI55" i="12"/>
  <c r="AI56" i="12"/>
  <c r="AI57" i="12"/>
  <c r="E58" i="12" s="1"/>
  <c r="AI59" i="12"/>
  <c r="AI60" i="12"/>
  <c r="AI61" i="12"/>
  <c r="AI62" i="12"/>
  <c r="AI63" i="12"/>
  <c r="AI64" i="12"/>
  <c r="AI65" i="12"/>
  <c r="AI66" i="12"/>
  <c r="AI67" i="12"/>
  <c r="AI68" i="12"/>
  <c r="AI69" i="12"/>
  <c r="AI70" i="12"/>
  <c r="AI71" i="12"/>
  <c r="AI72" i="12"/>
  <c r="AI73" i="12"/>
  <c r="AI74" i="12"/>
  <c r="AI75" i="12"/>
  <c r="AI76" i="12"/>
  <c r="AI77" i="12"/>
  <c r="AI78" i="12"/>
  <c r="AI79" i="12"/>
  <c r="AI80" i="12"/>
  <c r="AI81" i="12"/>
  <c r="AI16" i="12"/>
  <c r="AI17" i="12"/>
  <c r="AI18" i="12"/>
  <c r="AI15" i="12"/>
  <c r="E59" i="12" l="1"/>
  <c r="E14" i="12"/>
  <c r="F14" i="12"/>
  <c r="G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E20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E23" i="12"/>
  <c r="F23" i="12"/>
  <c r="G23" i="12"/>
  <c r="H23" i="12"/>
  <c r="I23" i="12"/>
  <c r="J23" i="12"/>
  <c r="K23" i="12"/>
  <c r="L23" i="12"/>
  <c r="P23" i="12"/>
  <c r="Q23" i="12"/>
  <c r="U23" i="12"/>
  <c r="V23" i="12"/>
  <c r="Z23" i="12"/>
  <c r="AA23" i="12"/>
  <c r="AB23" i="12"/>
  <c r="AC23" i="12"/>
  <c r="E24" i="12"/>
  <c r="F24" i="12"/>
  <c r="G24" i="12"/>
  <c r="H24" i="12"/>
  <c r="E26" i="12"/>
  <c r="E28" i="12"/>
  <c r="F28" i="12"/>
  <c r="G28" i="12"/>
  <c r="H28" i="12"/>
  <c r="E29" i="12"/>
  <c r="F29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F34" i="12"/>
  <c r="G34" i="12"/>
  <c r="J34" i="12"/>
  <c r="K34" i="12"/>
  <c r="N34" i="12"/>
  <c r="O34" i="12"/>
  <c r="P34" i="12"/>
  <c r="Q34" i="12"/>
  <c r="U34" i="12"/>
  <c r="V34" i="12"/>
  <c r="E36" i="12"/>
  <c r="G41" i="12"/>
  <c r="H41" i="12"/>
  <c r="L41" i="12"/>
  <c r="M41" i="12"/>
  <c r="Q41" i="12"/>
  <c r="R41" i="12"/>
  <c r="S41" i="12"/>
  <c r="T41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F46" i="12"/>
  <c r="G46" i="12"/>
  <c r="J46" i="12"/>
  <c r="K46" i="12"/>
  <c r="N46" i="12"/>
  <c r="O46" i="12"/>
  <c r="P46" i="12"/>
  <c r="Q46" i="12"/>
  <c r="U46" i="12"/>
  <c r="V46" i="12"/>
  <c r="E47" i="12"/>
  <c r="F47" i="12"/>
  <c r="E48" i="12"/>
  <c r="E55" i="12"/>
  <c r="F55" i="12"/>
  <c r="G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E57" i="12"/>
  <c r="F57" i="12"/>
  <c r="E60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U65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E69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T74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E76" i="12"/>
  <c r="F76" i="12"/>
  <c r="U93" i="12"/>
  <c r="Q2436" i="20"/>
  <c r="Q1700" i="20"/>
  <c r="Q1605" i="20"/>
  <c r="Q1511" i="20"/>
  <c r="Q1367" i="20"/>
  <c r="Q1069" i="20"/>
  <c r="H1039" i="20"/>
  <c r="Q637" i="20"/>
  <c r="Q552" i="20"/>
  <c r="H522" i="20"/>
  <c r="Q449" i="20"/>
  <c r="H419" i="20"/>
  <c r="Q263" i="20"/>
  <c r="H233" i="20"/>
  <c r="Q172" i="20"/>
  <c r="H142" i="20"/>
  <c r="Q78" i="20"/>
  <c r="H48" i="20"/>
  <c r="C65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61" i="13" s="1"/>
  <c r="F37" i="13"/>
  <c r="F35" i="13"/>
  <c r="F34" i="13"/>
  <c r="G34" i="13" s="1"/>
  <c r="F32" i="13"/>
  <c r="F31" i="13"/>
  <c r="F40" i="13" s="1"/>
  <c r="F41" i="13" s="1"/>
  <c r="F43" i="13" s="1"/>
  <c r="G22" i="13"/>
  <c r="G21" i="13"/>
  <c r="G20" i="13"/>
  <c r="H19" i="13"/>
  <c r="G19" i="13"/>
  <c r="H18" i="13"/>
  <c r="G18" i="13"/>
  <c r="G17" i="13"/>
  <c r="G16" i="13"/>
  <c r="G27" i="13" s="1"/>
  <c r="E16" i="13"/>
  <c r="G8" i="13"/>
  <c r="H8" i="13" s="1"/>
  <c r="G7" i="13"/>
  <c r="H7" i="13" s="1"/>
  <c r="G6" i="13"/>
  <c r="H5" i="13"/>
  <c r="H11" i="13" s="1"/>
  <c r="G5" i="13"/>
  <c r="E5" i="13"/>
  <c r="U86" i="11"/>
  <c r="F56" i="11"/>
  <c r="G55" i="11"/>
  <c r="F55" i="11"/>
  <c r="U54" i="11"/>
  <c r="T54" i="11"/>
  <c r="S54" i="11"/>
  <c r="R54" i="11"/>
  <c r="N54" i="11"/>
  <c r="M54" i="11"/>
  <c r="I54" i="11"/>
  <c r="H54" i="11"/>
  <c r="AS53" i="11"/>
  <c r="AA54" i="11" s="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F47" i="11"/>
  <c r="G46" i="11"/>
  <c r="F46" i="11"/>
  <c r="AS45" i="11"/>
  <c r="Z45" i="11" s="1"/>
  <c r="AA45" i="11"/>
  <c r="U45" i="11"/>
  <c r="T45" i="11"/>
  <c r="S45" i="11"/>
  <c r="R45" i="11"/>
  <c r="N45" i="11"/>
  <c r="M45" i="11"/>
  <c r="I45" i="11"/>
  <c r="H45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F38" i="11"/>
  <c r="G37" i="11"/>
  <c r="F37" i="11"/>
  <c r="AS36" i="11"/>
  <c r="Z36" i="11" s="1"/>
  <c r="AA36" i="11"/>
  <c r="U36" i="11"/>
  <c r="T36" i="11"/>
  <c r="S36" i="11"/>
  <c r="R36" i="11"/>
  <c r="N36" i="11"/>
  <c r="M36" i="11"/>
  <c r="I36" i="11"/>
  <c r="H36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I27" i="11"/>
  <c r="H27" i="11"/>
  <c r="G27" i="11"/>
  <c r="F27" i="11"/>
  <c r="U26" i="11"/>
  <c r="T26" i="11"/>
  <c r="S26" i="11"/>
  <c r="R26" i="11"/>
  <c r="N26" i="11"/>
  <c r="M26" i="11"/>
  <c r="I26" i="11"/>
  <c r="H26" i="11"/>
  <c r="F22" i="11"/>
  <c r="G21" i="11"/>
  <c r="F21" i="11"/>
  <c r="O19" i="11"/>
  <c r="N19" i="11"/>
  <c r="M19" i="11"/>
  <c r="L19" i="11"/>
  <c r="K19" i="11"/>
  <c r="J19" i="11"/>
  <c r="I19" i="11"/>
  <c r="H19" i="11"/>
  <c r="G19" i="11"/>
  <c r="F19" i="11"/>
  <c r="AS18" i="11"/>
  <c r="Z18" i="11" s="1"/>
  <c r="AA18" i="11"/>
  <c r="U18" i="11"/>
  <c r="T18" i="11"/>
  <c r="S18" i="11"/>
  <c r="R18" i="11"/>
  <c r="N18" i="11"/>
  <c r="M18" i="11"/>
  <c r="I18" i="11"/>
  <c r="H18" i="11"/>
  <c r="M17" i="11"/>
  <c r="F17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F14" i="11"/>
  <c r="F13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7" i="6"/>
  <c r="AB20" i="3"/>
  <c r="AB16" i="3"/>
  <c r="Y45" i="11" l="1"/>
  <c r="Z54" i="11"/>
  <c r="AB17" i="3"/>
  <c r="G11" i="13"/>
  <c r="H13" i="13" s="1"/>
  <c r="H16" i="13"/>
  <c r="H27" i="13" s="1"/>
  <c r="AB18" i="3" l="1"/>
  <c r="AB19" i="3"/>
  <c r="AB21" i="3" s="1"/>
</calcChain>
</file>

<file path=xl/sharedStrings.xml><?xml version="1.0" encoding="utf-8"?>
<sst xmlns="http://schemas.openxmlformats.org/spreadsheetml/2006/main" count="11656" uniqueCount="1208">
  <si>
    <t>Program Percepatan Pembanguan Desa</t>
  </si>
  <si>
    <t>Form. 5.a</t>
  </si>
  <si>
    <t>PROGRAM PERCEPATAN PEMBANGUNAN DESA</t>
  </si>
  <si>
    <t>TAHUN ANGGARAN 2013</t>
  </si>
  <si>
    <t>KUITANSI</t>
  </si>
  <si>
    <t>Telah terima dari</t>
  </si>
  <si>
    <t xml:space="preserve">: </t>
  </si>
  <si>
    <t>Ketua Kelompok  Masyarakat Swakelola Desa Tambi</t>
  </si>
  <si>
    <t>Kecamatan Watukumpul, Kabuapaten Pemalang</t>
  </si>
  <si>
    <t>Uang sebesar</t>
  </si>
  <si>
    <t>:</t>
  </si>
  <si>
    <t>Rp.</t>
  </si>
  <si>
    <t>Terbilang</t>
  </si>
  <si>
    <t>Seratus limapuluh ribu rupiah.</t>
  </si>
  <si>
    <t>Untuk keperluan</t>
  </si>
  <si>
    <t>Pembayaran Papan Nama Proyek</t>
  </si>
  <si>
    <t>Lokasi = Desa atambi</t>
  </si>
  <si>
    <t>No DO = ……………………….</t>
  </si>
  <si>
    <t>Volume = 1 Unit.</t>
  </si>
  <si>
    <t>Dalam rangka pelaksanaan Program Percepatan Pembangunan Desa</t>
  </si>
  <si>
    <t>Desa Tambi Kecamatan Watukumpul</t>
  </si>
  <si>
    <t>Jenis Pekerjaan</t>
  </si>
  <si>
    <t>Pengaspalan Jalan</t>
  </si>
  <si>
    <t>Tambi,29 Mei 2015</t>
  </si>
  <si>
    <t>Yang Membayar</t>
  </si>
  <si>
    <t>Yang Menerima</t>
  </si>
  <si>
    <t>Bendahara Pokmas</t>
  </si>
  <si>
    <t>JULI SANTOSO</t>
  </si>
  <si>
    <t>M.JEFRI</t>
  </si>
  <si>
    <t>Mengetahui</t>
  </si>
  <si>
    <t>Ketua Pokmas</t>
  </si>
  <si>
    <t>Checker</t>
  </si>
  <si>
    <t>SUNARYA</t>
  </si>
  <si>
    <t>RUSDI</t>
  </si>
  <si>
    <t>PEMERINTAH KABUPATEN PEMALANG</t>
  </si>
  <si>
    <t>KECAMATAN …………………..</t>
  </si>
  <si>
    <t>DESA …………………..</t>
  </si>
  <si>
    <t>PROGRAM  PERCEPATAN PEMBANGUNAN DESA TAHUN 2013</t>
  </si>
  <si>
    <t>JENIS PEKERJAAN</t>
  </si>
  <si>
    <t>PERKERASAN  TELFORD :  1.734  X  2.5  M</t>
  </si>
  <si>
    <t>SUB PEKERJAAN</t>
  </si>
  <si>
    <t>REHAB JEMBATAN BETON  : 4 X 6 M (1 UNIT)</t>
  </si>
  <si>
    <t>GORONG-GORONG PLAT : 1 X 6 M (1 UNIT)</t>
  </si>
  <si>
    <t>TALUD JALAN : 168 M</t>
  </si>
  <si>
    <t>LOKASI</t>
  </si>
  <si>
    <t>DUSUN……….RT…../RW…………</t>
  </si>
  <si>
    <t>ALOKASI DANA APBD</t>
  </si>
  <si>
    <t>BELANJA KONSTRUKSI</t>
  </si>
  <si>
    <t xml:space="preserve">Rp. </t>
  </si>
  <si>
    <t xml:space="preserve">OP. Perencanaan </t>
  </si>
  <si>
    <t>OP. Pelaksnaaan</t>
  </si>
  <si>
    <t>OP. Pengawasan</t>
  </si>
  <si>
    <t>SWADAYA MASYARAKAT</t>
  </si>
  <si>
    <t>TOTAL BIAYA</t>
  </si>
  <si>
    <t>PELAKSANA</t>
  </si>
  <si>
    <t>KELOMPOK MASYARAKAT SWAKELOLA</t>
  </si>
  <si>
    <t>WAKTU PELAKSANAAN</t>
  </si>
  <si>
    <t>APRIL- AGUSTUS 2013 ( 150 HARI KALENDER )</t>
  </si>
  <si>
    <t>PAPAN PROYEK</t>
  </si>
  <si>
    <t>KETENTUAN PAPAN KEGIATAN</t>
  </si>
  <si>
    <t>1. Papan media terbuat dari papan dengan ukuran jadi 80x100 cm</t>
  </si>
  <si>
    <t>2. Papan media diberi rangka kayu reng 2/3</t>
  </si>
  <si>
    <t>3. Bahan MMT cetak</t>
  </si>
  <si>
    <t>4. Warna dasar papan media dan tiang putih, tulisan warna hitam.</t>
  </si>
  <si>
    <t>5. Tiang ukuran 5/7-300 cm (termasuk yang di tanam).</t>
  </si>
  <si>
    <t>RENCANA PENGGUNAAN DANA</t>
  </si>
  <si>
    <t>Tahap ….. ( …... %)</t>
  </si>
  <si>
    <t>Desa          :</t>
  </si>
  <si>
    <t>Kecamatan :</t>
  </si>
  <si>
    <t>Kabupaten  :</t>
  </si>
  <si>
    <t>No.</t>
  </si>
  <si>
    <t>Uraian</t>
  </si>
  <si>
    <t>Volume</t>
  </si>
  <si>
    <t>Harga</t>
  </si>
  <si>
    <t>Kebutuhan</t>
  </si>
  <si>
    <t>Realisasi  s/d</t>
  </si>
  <si>
    <t xml:space="preserve">Pengajuan </t>
  </si>
  <si>
    <t>Jumlah</t>
  </si>
  <si>
    <t>Unit/</t>
  </si>
  <si>
    <t>Satuan</t>
  </si>
  <si>
    <t>tahap lalu</t>
  </si>
  <si>
    <t>sekarang</t>
  </si>
  <si>
    <t>Kumulatif</t>
  </si>
  <si>
    <t>Total Pengajuan</t>
  </si>
  <si>
    <t>( ............................................................................................................................................)</t>
  </si>
  <si>
    <t xml:space="preserve">.........., </t>
  </si>
  <si>
    <t>......201...</t>
  </si>
  <si>
    <t>Disetujui</t>
  </si>
  <si>
    <t>Dibuat oleh</t>
  </si>
  <si>
    <t>Kepala Desa</t>
  </si>
  <si>
    <t>Ketua Pokmas Desa .........</t>
  </si>
  <si>
    <t>( ____________ )</t>
  </si>
  <si>
    <t>( _____________ )</t>
  </si>
  <si>
    <t>PPKom</t>
  </si>
  <si>
    <t>PPTK</t>
  </si>
  <si>
    <t>( _________________ )</t>
  </si>
  <si>
    <t>Camat ……………</t>
  </si>
  <si>
    <t>(                               )</t>
  </si>
  <si>
    <t>Lampiran PMA:No.11 Tahun 2007</t>
  </si>
  <si>
    <t>-Pasal 5 ayat (2) huruf a</t>
  </si>
  <si>
    <t>Model N-1</t>
  </si>
  <si>
    <t>KANTOR DESA/KELURAHAN</t>
  </si>
  <si>
    <t>TAMBI</t>
  </si>
  <si>
    <t>KECAMATAN</t>
  </si>
  <si>
    <t>WATUKUMPUL</t>
  </si>
  <si>
    <t>KABUPATEN/KOTA</t>
  </si>
  <si>
    <t>PEMALANG</t>
  </si>
  <si>
    <t>SURAT KETERANGAN UNTUK NIKAH</t>
  </si>
  <si>
    <t>Nomor:474.2/ 235 /XI  / 2017</t>
  </si>
  <si>
    <t>Nomor:474.2/  /  / 2017</t>
  </si>
  <si>
    <t>Yang bertanda tangan dibawah ini menerangkan dengan sesungguhnya bahwa:</t>
  </si>
  <si>
    <t>1.</t>
  </si>
  <si>
    <t>Nama lengkap dan alias</t>
  </si>
  <si>
    <t>AMAR  MA'RUF</t>
  </si>
  <si>
    <t>..............................................................</t>
  </si>
  <si>
    <t>2.</t>
  </si>
  <si>
    <t>Jenis  Kelamin</t>
  </si>
  <si>
    <t>Laki-laki</t>
  </si>
  <si>
    <t>3.</t>
  </si>
  <si>
    <t>Tempat dan tanggal lahir</t>
  </si>
  <si>
    <t>Pemalang,06 Mei 1988</t>
  </si>
  <si>
    <t>4.</t>
  </si>
  <si>
    <t>Warganegara</t>
  </si>
  <si>
    <t>Indonesia</t>
  </si>
  <si>
    <t>5.</t>
  </si>
  <si>
    <t>Agama</t>
  </si>
  <si>
    <t>Islam</t>
  </si>
  <si>
    <t>6.</t>
  </si>
  <si>
    <t>Pekerjaan</t>
  </si>
  <si>
    <t>Wiraswasta</t>
  </si>
  <si>
    <t>7.</t>
  </si>
  <si>
    <t>Tempat tinggal</t>
  </si>
  <si>
    <t>Desa Tambi RT.006  RW.001</t>
  </si>
  <si>
    <t>Desa Tambi RT.00 RW.00</t>
  </si>
  <si>
    <t>8.</t>
  </si>
  <si>
    <t>Bin / Binti</t>
  </si>
  <si>
    <t>TAMIARJA</t>
  </si>
  <si>
    <t>9.</t>
  </si>
  <si>
    <t>Status Perkawinan</t>
  </si>
  <si>
    <t>a. Jika pria,terangkan jejaka,</t>
  </si>
  <si>
    <t xml:space="preserve">   duda atau beristri dan</t>
  </si>
  <si>
    <t xml:space="preserve">   berapa istrinya</t>
  </si>
  <si>
    <t>JEJAKA</t>
  </si>
  <si>
    <t>b. Jika wanita terangkan</t>
  </si>
  <si>
    <t xml:space="preserve">   perawan atau janda</t>
  </si>
  <si>
    <t>10.</t>
  </si>
  <si>
    <t>Nama Istri/Suami terdahulu</t>
  </si>
  <si>
    <t>Demikianlah,surat keterangan inii dibuat dengan mengingat sumpah jabatan dan</t>
  </si>
  <si>
    <t>untuk digunakan seperlunya.</t>
  </si>
  <si>
    <t>Tambi,Nopember  2017</t>
  </si>
  <si>
    <t>Tambi,...........................2017</t>
  </si>
  <si>
    <t>Kepala Desa/Lurah Tambi</t>
  </si>
  <si>
    <t>S O B I Y A H</t>
  </si>
  <si>
    <t>Nomor:474.2/ 36 / III  / 2017</t>
  </si>
  <si>
    <t>TATI SUNDARI</t>
  </si>
  <si>
    <t>Perempuan</t>
  </si>
  <si>
    <t>Pemalang,12 desember 1980</t>
  </si>
  <si>
    <t>Buruh Tani/Mengurus Rumah Tangga</t>
  </si>
  <si>
    <t>Desa Tambi RT.008  RW.002</t>
  </si>
  <si>
    <t>MAKHDUM</t>
  </si>
  <si>
    <t>Tambi,15 Maret  2017</t>
  </si>
  <si>
    <t>Model N-</t>
  </si>
  <si>
    <t>SURAT KETERANGAN JEJAKA</t>
  </si>
  <si>
    <t>Nomor:474.2/ 145 /VIII  / 2017</t>
  </si>
  <si>
    <t>DWI  JOKO MUARA SABDA</t>
  </si>
  <si>
    <t>Pemalang,28 Agustus 1993</t>
  </si>
  <si>
    <t>POLRI</t>
  </si>
  <si>
    <t>SUTONO,BA</t>
  </si>
  <si>
    <t>Tambi,02 Agustus  2017</t>
  </si>
  <si>
    <t>Nomor:474.2/ 37 / III  / 2017</t>
  </si>
  <si>
    <t>RUAYAH</t>
  </si>
  <si>
    <t>Pemalang,04 Oktober  1976</t>
  </si>
  <si>
    <t>Mengurus Rumah Tangga</t>
  </si>
  <si>
    <t>Desa Tambi RT.009  RW.002</t>
  </si>
  <si>
    <t>JADI</t>
  </si>
  <si>
    <t>JANDA MATI</t>
  </si>
  <si>
    <t>DARMANTO</t>
  </si>
  <si>
    <t>Tambi,22 Maret  2017</t>
  </si>
  <si>
    <t>Lampiran PMA No.11 Tahun 2007</t>
  </si>
  <si>
    <t>-Pasal 5 ayat (2) huruf b</t>
  </si>
  <si>
    <t>Model N- 2</t>
  </si>
  <si>
    <t>Nomor:474.2/ 235  / XI  / 2017</t>
  </si>
  <si>
    <t>adalah benar anak kandung dari pernikahan seorang pria :</t>
  </si>
  <si>
    <t>Pemalang,1 Juli 1958</t>
  </si>
  <si>
    <t>Desa Tambi RT.006 RW.001</t>
  </si>
  <si>
    <t>dengan seorang wanita:</t>
  </si>
  <si>
    <t>SAMEAH</t>
  </si>
  <si>
    <t>Pemalang,1 Juli 1957</t>
  </si>
  <si>
    <t>Tambi, 28 Nopember 2017</t>
  </si>
  <si>
    <t>Tambi,...........................20177</t>
  </si>
  <si>
    <t>SURAT KETERANGAN ASAL USUL</t>
  </si>
  <si>
    <t>AMAR MA'RUF</t>
  </si>
  <si>
    <t>Petani</t>
  </si>
  <si>
    <t xml:space="preserve">Mengurus Rumah Tangga </t>
  </si>
  <si>
    <t>Nomor:474.2/ 37  / III  / 2017</t>
  </si>
  <si>
    <t>Pemalang,04 Oktober   1976</t>
  </si>
  <si>
    <t>JADI  (Almarhum)</t>
  </si>
  <si>
    <t>Pemalang,04 Mei 1952</t>
  </si>
  <si>
    <t>Buruh Tani</t>
  </si>
  <si>
    <t>DARYUMI</t>
  </si>
  <si>
    <t>Pemalang, 20 Mei 1959</t>
  </si>
  <si>
    <t>Tambi, 22 Maret 2017</t>
  </si>
  <si>
    <t>-Pasal 5 ayat (2) huruf c</t>
  </si>
  <si>
    <t>Model N- 3</t>
  </si>
  <si>
    <t>SURAT PERSETUJUAN MEMPELAI</t>
  </si>
  <si>
    <t>Yang bertanda tangan dibawah ini:</t>
  </si>
  <si>
    <t>I.</t>
  </si>
  <si>
    <t>Calon Suami:</t>
  </si>
  <si>
    <t>Bin</t>
  </si>
  <si>
    <t>Desa Tambi RT.006  RW.001 Kec,Watukumpul</t>
  </si>
  <si>
    <t>Calon Istri:</t>
  </si>
  <si>
    <t>INDRA RUKMANA SARI</t>
  </si>
  <si>
    <t>H.SURAJI MARSONO</t>
  </si>
  <si>
    <t>Beo,16 Nopember 1993</t>
  </si>
  <si>
    <t>Lingkungan 4, Kelurahan Beo Induk, Kecamatan Beo</t>
  </si>
  <si>
    <t>Kabupaten Talaud, Prov.Sulawesi Utara</t>
  </si>
  <si>
    <t>Menyatakan dengan sesungguhnya bahwa atas dasar sekarela,dengan kesadaran sendiri,tanpa</t>
  </si>
  <si>
    <t>paksaan dari siapapun juga,ssetuju untuk melangsungkan pernikahan.</t>
  </si>
  <si>
    <t>Demikianlah,surat persetujuan ini di buat untuk digunakan seperlunya.</t>
  </si>
  <si>
    <t>Tambi,28 Nopember 2017</t>
  </si>
  <si>
    <t>Calon Suami</t>
  </si>
  <si>
    <t>II.   Calon Istri</t>
  </si>
  <si>
    <t>(..................................................)</t>
  </si>
  <si>
    <t>TARSIMUN</t>
  </si>
  <si>
    <t>YASROWI</t>
  </si>
  <si>
    <t>Purbalingga,13 Agustus 1973</t>
  </si>
  <si>
    <t>Karyawan Swasta</t>
  </si>
  <si>
    <t>Desa Tlagayasa RT.002 RW.006 Kec,Bobotsari</t>
  </si>
  <si>
    <t>Pemalang ,12 Desember 1980</t>
  </si>
  <si>
    <t>Desa Tambi RT.008 RW.002 Kec.Watukumpul</t>
  </si>
  <si>
    <t>Tambi,15 Maret 2017</t>
  </si>
  <si>
    <t>SARNO</t>
  </si>
  <si>
    <t>WARTANI</t>
  </si>
  <si>
    <t>Pemalang,31 Desember 1970</t>
  </si>
  <si>
    <t xml:space="preserve">Tani </t>
  </si>
  <si>
    <t>Desa Beluk RT 10/RW 03 Kec.Belik Kab.Pemalang</t>
  </si>
  <si>
    <t>JADI (Almarhum)</t>
  </si>
  <si>
    <t>Pemalang ,04 Oktober  1976</t>
  </si>
  <si>
    <t>Tambi,22  Maret 2017</t>
  </si>
  <si>
    <t>-Pasal 5 ayat (2) huruf d</t>
  </si>
  <si>
    <t>KECAMATAN WATUKUMPUL</t>
  </si>
  <si>
    <t>Model N - 4</t>
  </si>
  <si>
    <t>KEPALA DESA TAMBI</t>
  </si>
  <si>
    <t>SURAT KETERANGAN/PENGANTAR</t>
  </si>
  <si>
    <t>474.2 /294 /x/ 2023</t>
  </si>
  <si>
    <t>SURAT KETERANGAN TENTANG ORANG TUA</t>
  </si>
  <si>
    <t>Yang bertanda tangan dibawah ini, menerangkan seorang Laki-laki / Perempuan*):</t>
  </si>
  <si>
    <t>DARTO</t>
  </si>
  <si>
    <t>Bint</t>
  </si>
  <si>
    <t>MUSERI</t>
  </si>
  <si>
    <t>Pemalang,24 Mei 1996</t>
  </si>
  <si>
    <t>Warganegara/Agama</t>
  </si>
  <si>
    <t>Indonesia /Islam</t>
  </si>
  <si>
    <t>RT.009  RW.002 Desa Tambi,Kecamatan Watukumpul</t>
  </si>
  <si>
    <t>Surat Bukti Diri</t>
  </si>
  <si>
    <t>KTP NO : 3327040307960004</t>
  </si>
  <si>
    <t>KK NO   : 3327040202110009</t>
  </si>
  <si>
    <t>Keperluan</t>
  </si>
  <si>
    <t>Mendaftar Nikah/Boro Nikah*) Ke</t>
  </si>
  <si>
    <t>KUA KEC.KARANGMONCOL &lt;KAB&gt;</t>
  </si>
  <si>
    <t>Berlaku</t>
  </si>
  <si>
    <t>13-11-2023 s/d Selesai</t>
  </si>
  <si>
    <t>Keterangan Lain-lain</t>
  </si>
  <si>
    <t>Orang Tersebut benar-benar warga Desa Tambi</t>
  </si>
  <si>
    <t>Kecamatan Watukumpul Kabupaten Pemalang</t>
  </si>
  <si>
    <t>dan Berstatus : JEJAKA</t>
  </si>
  <si>
    <t>dan akan menikah dengan :</t>
  </si>
  <si>
    <t>Nama                : LEONITA DEWI ARiANTI</t>
  </si>
  <si>
    <t>Binti                  : SUDIONO</t>
  </si>
  <si>
    <t>NIK                  :3303124204040003</t>
  </si>
  <si>
    <t xml:space="preserve">Alamat              : RT 004 RW 002 Desa Sirau Kec..Karangmoncol </t>
  </si>
  <si>
    <t xml:space="preserve">                            Kab..Purbalingga</t>
  </si>
  <si>
    <t>Tambi,11 Oktober 2023</t>
  </si>
  <si>
    <t>Tanda Tangan Pemegang</t>
  </si>
  <si>
    <t>Kepala Desa Tambi</t>
  </si>
  <si>
    <t>J U R I</t>
  </si>
  <si>
    <t>Nomor : 474.2/ 36 / III / 2017</t>
  </si>
  <si>
    <t>MAHDUM</t>
  </si>
  <si>
    <t>Purbalingga,04 Mei 1952</t>
  </si>
  <si>
    <t>Desa Danasari RT.006 RW.001</t>
  </si>
  <si>
    <t>II.</t>
  </si>
  <si>
    <t>ROPIAH</t>
  </si>
  <si>
    <t>Purbalingga,07 Juni 1962</t>
  </si>
  <si>
    <t>adalah benar ayah kandung dan ibu kandung dari seorang :</t>
  </si>
  <si>
    <t>Pemalang,12 Desember 1980</t>
  </si>
  <si>
    <t>Jenis Kelamin</t>
  </si>
  <si>
    <t>Nomor : 474.2/ 37 / III / 2017</t>
  </si>
  <si>
    <t>-Pasal 5 ayat (1)</t>
  </si>
  <si>
    <t>Model N - 7</t>
  </si>
  <si>
    <t>Tambi,28 Noopember 2017</t>
  </si>
  <si>
    <t>Tambi,...............................2017</t>
  </si>
  <si>
    <t>Lampiran</t>
  </si>
  <si>
    <t>........Lembar</t>
  </si>
  <si>
    <t>Kepada Yth,</t>
  </si>
  <si>
    <t>Prihal</t>
  </si>
  <si>
    <t>Pemberitahuan Kehendak Nikah</t>
  </si>
  <si>
    <t>Kepala KUA Kecamatan/Penghulu/</t>
  </si>
  <si>
    <t>Pembantu Penghulu</t>
  </si>
  <si>
    <t>di   WATUKUMPUL</t>
  </si>
  <si>
    <t>di ....................................</t>
  </si>
  <si>
    <t>Assalamu'alaikum Wr.Wb.</t>
  </si>
  <si>
    <t>Dengan ini kami memberitahukan bahwa kami bermaksud akan melangsunggkan</t>
  </si>
  <si>
    <t xml:space="preserve">pernikahan antara AMAR MA'RUF dengan INDRA RUKMANA SARI pada hari....................... </t>
  </si>
  <si>
    <t>pernikahan antara ...............................dengan.............       .....................pada hari..............................tanggal</t>
  </si>
  <si>
    <t xml:space="preserve">tanggal,.................................  jam...................dengan mas kawin, ......................................dibayar tunai/                                 </t>
  </si>
  <si>
    <t xml:space="preserve">......................jam...................dengan mas kawin, ...........................................................................dibayar tunai/                                 </t>
  </si>
  <si>
    <t>hutang *) bertempat di Kantor KUA Kec.Beo ,Kab.Talaud,Prov.Sulawsi Utara.</t>
  </si>
  <si>
    <t>hutang *) bertempat di .................................................................................................</t>
  </si>
  <si>
    <t>Bersama ini kami lampirkan surat-surat yang diperlukan untuk diperiksa,sebagai</t>
  </si>
  <si>
    <t>berikut :</t>
  </si>
  <si>
    <t>Surat Keterangan untuk Nikah               , model N 1</t>
  </si>
  <si>
    <t>Surat Keterangan untuk Nikah              , model N 1</t>
  </si>
  <si>
    <t>Surat Keterangan Asal Usul                   , model N 2</t>
  </si>
  <si>
    <t>Surat Persetujuan Mempelai                  , model N 3</t>
  </si>
  <si>
    <t>Surat Keterangan tentang Orang Tua    , model N 4</t>
  </si>
  <si>
    <t>............................................................................................</t>
  </si>
  <si>
    <t>Hanya dapat dihadiri dan dicatat pelaksanaannya sesuai dengan ketentuan perundang-</t>
  </si>
  <si>
    <t>undangan yang berlaku.</t>
  </si>
  <si>
    <t>Wassalam'ualaikum.Wr.Wb.</t>
  </si>
  <si>
    <t>diterima tanggal,...............................</t>
  </si>
  <si>
    <t>Yang menerima</t>
  </si>
  <si>
    <t>Yang memberitahukan</t>
  </si>
  <si>
    <t>Kepala KUA/Pengghulu/</t>
  </si>
  <si>
    <t>Calon mempelai/Wali/Wakil Wali*)</t>
  </si>
  <si>
    <t xml:space="preserve">Pemantu Penghulu*) </t>
  </si>
  <si>
    <t>..................................................</t>
  </si>
  <si>
    <t>Tambi,22 Maret 2017</t>
  </si>
  <si>
    <t>pernikahan antara SARNO dengan RUAYAH  pada hari  Jum'at  tanggal,24 Maret 2017</t>
  </si>
  <si>
    <t xml:space="preserve">  jam...................dengan mas kawin, ...........................................................................dibayar tunai/                                 </t>
  </si>
  <si>
    <t>hutang *) bertempat di Kantor KUA Watukumpul.</t>
  </si>
  <si>
    <t>Pemerintah Kabupaten</t>
  </si>
  <si>
    <t>Kecamatan</t>
  </si>
  <si>
    <t>Desa/Kelurahan</t>
  </si>
  <si>
    <t>UNTUK YANG BERSANGKUTAN</t>
  </si>
  <si>
    <t>SURAT KETERANGAN KEMATIAN</t>
  </si>
  <si>
    <t>No. : 474.3/420/VIII /2018</t>
  </si>
  <si>
    <t>Yang bertanda tangan dibawah ini,menerangkan</t>
  </si>
  <si>
    <t>bahwa :</t>
  </si>
  <si>
    <t>Nama lengkap</t>
  </si>
  <si>
    <t>SAHURI</t>
  </si>
  <si>
    <t>NIK</t>
  </si>
  <si>
    <t>3327040107420041</t>
  </si>
  <si>
    <t>Laki - Laki</t>
  </si>
  <si>
    <t>Tgl lahir/Umur</t>
  </si>
  <si>
    <t>Pemalang,10 Januari 1948</t>
  </si>
  <si>
    <t>Alamat</t>
  </si>
  <si>
    <t>Desa Tambi RT 011 RW 002</t>
  </si>
  <si>
    <t>Kecamatan Watukumpul Kab.Pemalang</t>
  </si>
  <si>
    <t>Telah meninggal dunia pada :</t>
  </si>
  <si>
    <t>Hari</t>
  </si>
  <si>
    <t>KAMIS</t>
  </si>
  <si>
    <t>Tanggal</t>
  </si>
  <si>
    <t>Bertempat di</t>
  </si>
  <si>
    <t>RUMAH</t>
  </si>
  <si>
    <t>Penyebab Kematian</t>
  </si>
  <si>
    <t>SAKIT</t>
  </si>
  <si>
    <t>Surat keterangan ini dibuat berdasarkan keterangan pelapor  :</t>
  </si>
  <si>
    <t>TARLIAH</t>
  </si>
  <si>
    <t>3327044107500088</t>
  </si>
  <si>
    <t>Umur</t>
  </si>
  <si>
    <t>60 Tahun</t>
  </si>
  <si>
    <t>MENGURUS RUMAH TANGGA</t>
  </si>
  <si>
    <t>Hubungan pelapor dengan yang mati : Istri</t>
  </si>
  <si>
    <t>Tambi,19 Agustus 2018</t>
  </si>
  <si>
    <t>a.n. Kepala Desa Tambi</t>
  </si>
  <si>
    <t>SEKRETARIS DESA</t>
  </si>
  <si>
    <t>SARYONO</t>
  </si>
  <si>
    <t>Mengetahui :</t>
  </si>
  <si>
    <t>KODE.F-2.29</t>
  </si>
  <si>
    <t>Pemerintah Desa/Kelurahan</t>
  </si>
  <si>
    <t>Tambi</t>
  </si>
  <si>
    <t>Ket</t>
  </si>
  <si>
    <t>Lembar 1</t>
  </si>
  <si>
    <t>Untuk yang bersangkutan</t>
  </si>
  <si>
    <t>Watukumpul</t>
  </si>
  <si>
    <t>Lembar 2</t>
  </si>
  <si>
    <t>Untuk UPTD/Instansi Pelaksana</t>
  </si>
  <si>
    <t>Kabupaten/Kota</t>
  </si>
  <si>
    <t>Pemalang</t>
  </si>
  <si>
    <t>Lembar 3</t>
  </si>
  <si>
    <t>Untuk  Desa/Kelurahan</t>
  </si>
  <si>
    <t>Kode Wilayah</t>
  </si>
  <si>
    <t>Lembar 4</t>
  </si>
  <si>
    <t>Untuk Kecamatan</t>
  </si>
  <si>
    <t>4No: 474.3 / 563 / I /2025</t>
  </si>
  <si>
    <t>Nama Kepala Keluarga</t>
  </si>
  <si>
    <t>NGALIMAN</t>
  </si>
  <si>
    <t>Nomor Kartu Keluarga</t>
  </si>
  <si>
    <t>3327040302110016</t>
  </si>
  <si>
    <t xml:space="preserve">   JENAZAH</t>
  </si>
  <si>
    <t>3327045507120002</t>
  </si>
  <si>
    <t>Nama Lengkap</t>
  </si>
  <si>
    <t>NUR SANTIKA</t>
  </si>
  <si>
    <t>1.Laki-laki</t>
  </si>
  <si>
    <t>2. Perempuan</t>
  </si>
  <si>
    <t>1</t>
  </si>
  <si>
    <t>Tanggal Lahir/Umur</t>
  </si>
  <si>
    <t>Tgl</t>
  </si>
  <si>
    <t>Bln.</t>
  </si>
  <si>
    <t>Tahun</t>
  </si>
  <si>
    <t>15</t>
  </si>
  <si>
    <t>/</t>
  </si>
  <si>
    <t>07</t>
  </si>
  <si>
    <t>Tempat Lahir</t>
  </si>
  <si>
    <t>Kode Prov.</t>
  </si>
  <si>
    <t>Kode Kab.</t>
  </si>
  <si>
    <t>1. Islam</t>
  </si>
  <si>
    <t>2.Kristen</t>
  </si>
  <si>
    <t>3.Katolik</t>
  </si>
  <si>
    <t>4.Hindu</t>
  </si>
  <si>
    <t>5.Budha</t>
  </si>
  <si>
    <t>6.Lainnya</t>
  </si>
  <si>
    <t>01</t>
  </si>
  <si>
    <t>TAMBI RT 008 RW 002 KEC WATUKUMPUL KAB PEMALANG</t>
  </si>
  <si>
    <t>a. Desa/Kelurahan</t>
  </si>
  <si>
    <t>c.Kab/Kota</t>
  </si>
  <si>
    <t>b. Kecamatan</t>
  </si>
  <si>
    <t>d.Provinsi</t>
  </si>
  <si>
    <t>JAWA TENGAH</t>
  </si>
  <si>
    <t>Anak ke</t>
  </si>
  <si>
    <t>4….......</t>
  </si>
  <si>
    <t>Tanggal Kematian</t>
  </si>
  <si>
    <t>Bln</t>
  </si>
  <si>
    <t>24</t>
  </si>
  <si>
    <t>11.</t>
  </si>
  <si>
    <t>Pukul</t>
  </si>
  <si>
    <t>1515</t>
  </si>
  <si>
    <t>12.</t>
  </si>
  <si>
    <t>Sebab Kematian</t>
  </si>
  <si>
    <t>1.Sakit biasa/Tua</t>
  </si>
  <si>
    <t>2.Wabah Penyakit</t>
  </si>
  <si>
    <t>3.Kecelakaan</t>
  </si>
  <si>
    <t>4.Kriminalisasi</t>
  </si>
  <si>
    <t>5.Bunuh Diri</t>
  </si>
  <si>
    <t>13.</t>
  </si>
  <si>
    <t>Tempat Kematian</t>
  </si>
  <si>
    <t>14.</t>
  </si>
  <si>
    <t>Yang menerangkan</t>
  </si>
  <si>
    <t>1.Dokter</t>
  </si>
  <si>
    <t>2.Tenaga Kesehatan</t>
  </si>
  <si>
    <t>3.Kepolisian</t>
  </si>
  <si>
    <t>4.Lainnya</t>
  </si>
  <si>
    <t xml:space="preserve">  AYAH</t>
  </si>
  <si>
    <t>AYAH</t>
  </si>
  <si>
    <t>3327040705840004</t>
  </si>
  <si>
    <t>05</t>
  </si>
  <si>
    <t>1984</t>
  </si>
  <si>
    <t>08</t>
  </si>
  <si>
    <t xml:space="preserve">   IBU</t>
  </si>
  <si>
    <t>IBU</t>
  </si>
  <si>
    <t>3327044401900010</t>
  </si>
  <si>
    <t>KHOTIJAH</t>
  </si>
  <si>
    <t>04</t>
  </si>
  <si>
    <t>1990</t>
  </si>
  <si>
    <t>02</t>
  </si>
  <si>
    <t>PELAPOR</t>
  </si>
  <si>
    <t xml:space="preserve">  PELAPOR</t>
  </si>
  <si>
    <t xml:space="preserve">  SAKSI I</t>
  </si>
  <si>
    <t>3</t>
  </si>
  <si>
    <t>2</t>
  </si>
  <si>
    <t>7</t>
  </si>
  <si>
    <t>0</t>
  </si>
  <si>
    <t>4</t>
  </si>
  <si>
    <t>W</t>
  </si>
  <si>
    <t>A</t>
  </si>
  <si>
    <t>K</t>
  </si>
  <si>
    <t>H</t>
  </si>
  <si>
    <t>U</t>
  </si>
  <si>
    <t>R</t>
  </si>
  <si>
    <t>I</t>
  </si>
  <si>
    <t/>
  </si>
  <si>
    <t>RT 001 RW 001 TAMBI</t>
  </si>
  <si>
    <t>SAKSI II</t>
  </si>
  <si>
    <t>C</t>
  </si>
  <si>
    <t>L</t>
  </si>
  <si>
    <t>M</t>
  </si>
  <si>
    <t>T</t>
  </si>
  <si>
    <t>O</t>
  </si>
  <si>
    <t>RT 002 RW 001 TAMBI</t>
  </si>
  <si>
    <t>Tambi, 06 Januari 2025</t>
  </si>
  <si>
    <t>Mengetahui;</t>
  </si>
  <si>
    <t>Pelapor</t>
  </si>
  <si>
    <t>JURI</t>
  </si>
  <si>
    <t>4No: 474.3 / 559 / VI /2024</t>
  </si>
  <si>
    <t>S</t>
  </si>
  <si>
    <t>N</t>
  </si>
  <si>
    <t>Y</t>
  </si>
  <si>
    <t>P</t>
  </si>
  <si>
    <t>E</t>
  </si>
  <si>
    <t>G</t>
  </si>
  <si>
    <t>TAMBI RT 006 RW 001 KEC WATUKUMPUL KABUPATEN PEMALANG</t>
  </si>
  <si>
    <t>J</t>
  </si>
  <si>
    <t>RT 006 RW 001 TAMBI</t>
  </si>
  <si>
    <t>Tambi,</t>
  </si>
  <si>
    <t>a.n.Kepala Desa Tambi</t>
  </si>
  <si>
    <t>….............................</t>
  </si>
  <si>
    <t>4No: 474.3 / 558 / VI /2024</t>
  </si>
  <si>
    <t>TAMBI RT 005 RW 001 KEC WATUKUMPUL KABUPATEN PEMALANG</t>
  </si>
  <si>
    <t>D</t>
  </si>
  <si>
    <t>No: 474.3 /      /     /2024.</t>
  </si>
  <si>
    <t>u.b. KASI PEMERINTAHAN</t>
  </si>
  <si>
    <t>PURWO SUGIARTO</t>
  </si>
  <si>
    <t>No: 474.3 /295 / X/2023.</t>
  </si>
  <si>
    <t>B</t>
  </si>
  <si>
    <t>F</t>
  </si>
  <si>
    <t>Tambi,25 Oktober  2023</t>
  </si>
  <si>
    <t>CHALIM MUCHTAROM</t>
  </si>
  <si>
    <t>No: 474.3 /21 /V/2024.</t>
  </si>
  <si>
    <t>RT 008 RW 002 TAMBI</t>
  </si>
  <si>
    <t>Tambi,2Maret  2023</t>
  </si>
  <si>
    <t>RUSMI</t>
  </si>
  <si>
    <t>No: 474.3 /395 / XII/2023.</t>
  </si>
  <si>
    <t>RT 010 RW 002 TAMBI</t>
  </si>
  <si>
    <t>Tambi,21 November  2023</t>
  </si>
  <si>
    <t>TARMIDI</t>
  </si>
  <si>
    <t>No: 474.3 /205 / VIII/2023.</t>
  </si>
  <si>
    <t>Tambi,16 Agustus  2023</t>
  </si>
  <si>
    <t>TEGUH EKO PAMUJI</t>
  </si>
  <si>
    <t>No: 474.3 /5 / VIII/2023.</t>
  </si>
  <si>
    <t>RT 009 RW 002 TAMBI</t>
  </si>
  <si>
    <t>Tambi,24  Februari  2021</t>
  </si>
  <si>
    <t>SOPARI</t>
  </si>
  <si>
    <t>No: 474.3 /15 /I/2019.</t>
  </si>
  <si>
    <t>Tambi,14 Januari 2019</t>
  </si>
  <si>
    <t>JULIYAH</t>
  </si>
  <si>
    <t>No: 474.3 /                /            / 20</t>
  </si>
  <si>
    <t>Tambi,                                     20</t>
  </si>
  <si>
    <t>u.b. Kasi Pemerintahan</t>
  </si>
  <si>
    <t>…...................................</t>
  </si>
  <si>
    <t>KODE.F-2.01</t>
  </si>
  <si>
    <t>Ket:</t>
  </si>
  <si>
    <t>SURAT KETERANGAN KELAHIRAN</t>
  </si>
  <si>
    <t>BAYI/ANAK</t>
  </si>
  <si>
    <t xml:space="preserve">Nama </t>
  </si>
  <si>
    <t>1. Laki-laki</t>
  </si>
  <si>
    <t>Tempat dilahirkan</t>
  </si>
  <si>
    <t>1.RS/RB</t>
  </si>
  <si>
    <t>2.Puskesmas</t>
  </si>
  <si>
    <t>3.Polindes</t>
  </si>
  <si>
    <t>4.Rumah</t>
  </si>
  <si>
    <t>5.Lainnya</t>
  </si>
  <si>
    <t>Tempat Kelahiran</t>
  </si>
  <si>
    <t>Hari dan Tanggal lahir</t>
  </si>
  <si>
    <t>Thn</t>
  </si>
  <si>
    <t>WIB</t>
  </si>
  <si>
    <t>Jenis Kelahiran</t>
  </si>
  <si>
    <t>1.Tunggal</t>
  </si>
  <si>
    <t>2.Kembar 2</t>
  </si>
  <si>
    <t>3.Kembar 3</t>
  </si>
  <si>
    <t>4.Kembar 4</t>
  </si>
  <si>
    <t>Kelahiran Ke</t>
  </si>
  <si>
    <t>.............................</t>
  </si>
  <si>
    <t>Penolong Kelahiran</t>
  </si>
  <si>
    <t>2.Bidan/Perawat</t>
  </si>
  <si>
    <t>3.Dukun</t>
  </si>
  <si>
    <t>Berat Bayi</t>
  </si>
  <si>
    <t>gr</t>
  </si>
  <si>
    <t>Panjang Bayi</t>
  </si>
  <si>
    <t>Cm</t>
  </si>
  <si>
    <t>Tanggal lahir/Umur</t>
  </si>
  <si>
    <t>Thn.</t>
  </si>
  <si>
    <t>a.Desa/Kelurahan</t>
  </si>
  <si>
    <t>c.Kab./Kota</t>
  </si>
  <si>
    <t>b.Kecamatan</t>
  </si>
  <si>
    <t>Kewarganegaraan</t>
  </si>
  <si>
    <t>1.WNI</t>
  </si>
  <si>
    <t>2.WNA</t>
  </si>
  <si>
    <t>Kebangsaan</t>
  </si>
  <si>
    <t>INDONESIA</t>
  </si>
  <si>
    <t>Tgl.Pencatatan Perkawinan</t>
  </si>
  <si>
    <t>Tgl.</t>
  </si>
  <si>
    <t>Jens Kelamin</t>
  </si>
  <si>
    <t>SAKSI I</t>
  </si>
  <si>
    <t>RT 001/RW 001 DESA TAMBI</t>
  </si>
  <si>
    <t xml:space="preserve"> </t>
  </si>
  <si>
    <t>TGL</t>
  </si>
  <si>
    <t>BLN</t>
  </si>
  <si>
    <t>THN</t>
  </si>
  <si>
    <t>UMUR</t>
  </si>
  <si>
    <t>0900</t>
  </si>
  <si>
    <t>Jenis Kelahiran/ TANGGAL</t>
  </si>
  <si>
    <t xml:space="preserve">                    </t>
  </si>
  <si>
    <t xml:space="preserve">                                                  </t>
  </si>
  <si>
    <t>3000</t>
  </si>
  <si>
    <t>3327042110890001</t>
  </si>
  <si>
    <t>RT 002/001 DESA TAMBI</t>
  </si>
  <si>
    <t>3327040704710003</t>
  </si>
  <si>
    <t>WAHURI</t>
  </si>
  <si>
    <t>Mengetahui:</t>
  </si>
  <si>
    <t>Q</t>
  </si>
  <si>
    <t>Z</t>
  </si>
  <si>
    <t>9</t>
  </si>
  <si>
    <t>6</t>
  </si>
  <si>
    <t>Tambi,28 Desember 2023</t>
  </si>
  <si>
    <t>Tambi,13 November 2023</t>
  </si>
  <si>
    <t>MAIL ARIFIN</t>
  </si>
  <si>
    <t>Tempat dilahirkanl</t>
  </si>
  <si>
    <t>an.</t>
  </si>
  <si>
    <t xml:space="preserve">Sekretaris Desa </t>
  </si>
  <si>
    <t>Penolong Kelahhiran</t>
  </si>
  <si>
    <t>,</t>
  </si>
  <si>
    <t>Kg</t>
  </si>
  <si>
    <t>Tambi,2 Februari  2018</t>
  </si>
  <si>
    <t>SAMIRIN</t>
  </si>
  <si>
    <t>Tambi,10 Nopember 2017</t>
  </si>
  <si>
    <t>MUDASIR</t>
  </si>
  <si>
    <t>RAB</t>
  </si>
  <si>
    <t>Jam</t>
  </si>
  <si>
    <t>Sewa Alat Berat</t>
  </si>
  <si>
    <t>Operator</t>
  </si>
  <si>
    <t>Dum Truc 2 unit</t>
  </si>
  <si>
    <t>Mob demob</t>
  </si>
  <si>
    <t>RIL</t>
  </si>
  <si>
    <t>Mandor</t>
  </si>
  <si>
    <t>Pekerja</t>
  </si>
  <si>
    <t>Bambiu</t>
  </si>
  <si>
    <t>SILTAP DES</t>
  </si>
  <si>
    <t>TUNJANGAN</t>
  </si>
  <si>
    <t>SIL.KAPEL</t>
  </si>
  <si>
    <t>TUN.KAPEL</t>
  </si>
  <si>
    <t>TUKIN BPD</t>
  </si>
  <si>
    <t>SALDO REK</t>
  </si>
  <si>
    <t>PBJ</t>
  </si>
  <si>
    <t>CAMAT</t>
  </si>
  <si>
    <t>SEKCAM</t>
  </si>
  <si>
    <t>ROM KC</t>
  </si>
  <si>
    <t>PUL</t>
  </si>
  <si>
    <t>KOR</t>
  </si>
  <si>
    <t>PERANGKAT</t>
  </si>
  <si>
    <t>BPD</t>
  </si>
  <si>
    <t>RT/RW</t>
  </si>
  <si>
    <t>PANITIA</t>
  </si>
  <si>
    <t>LEBAGA</t>
  </si>
  <si>
    <t>KONS</t>
  </si>
  <si>
    <t>SURAT PERNYATAAN BELUM PERNAH MENIKAH</t>
  </si>
  <si>
    <t>Yang bertanda tangan dibawah ini saya:</t>
  </si>
  <si>
    <t xml:space="preserve">Nama lengkap </t>
  </si>
  <si>
    <t>..............................................................................</t>
  </si>
  <si>
    <t>Tempat dan Tanggal lahir</t>
  </si>
  <si>
    <t>No..NIK</t>
  </si>
  <si>
    <t xml:space="preserve">Alamat </t>
  </si>
  <si>
    <t>Menyatakan dengan sebenar-benarnya bahwa saya sampai saat ini belum pernah</t>
  </si>
  <si>
    <t xml:space="preserve">menikah dengan siapapun baik secara adat hukum Agama,maupun hukum Negara </t>
  </si>
  <si>
    <r>
      <rPr>
        <sz val="12"/>
        <color theme="1"/>
        <rFont val="Arial"/>
        <family val="2"/>
      </rPr>
      <t>dan benar--benar masih bersetatus :</t>
    </r>
    <r>
      <rPr>
        <b/>
        <sz val="12"/>
        <color theme="1"/>
        <rFont val="Arial"/>
        <family val="2"/>
      </rPr>
      <t>PERJAKA ( Bujang ).</t>
    </r>
  </si>
  <si>
    <t>Demikianlah,surat pernyataan ini saya buat dengan sebenar-benarnya tanpa ada</t>
  </si>
  <si>
    <t xml:space="preserve"> paksaan dari siapapun,apabila di kemudian hari ternyata pernyataan ini tidak benar,</t>
  </si>
  <si>
    <t>maka saya siap dituntut sesuai deengan Hukum yang berlaku.</t>
  </si>
  <si>
    <t>Tambi, ........................................</t>
  </si>
  <si>
    <t>Yang menyatakan</t>
  </si>
  <si>
    <t>.............................................</t>
  </si>
  <si>
    <t>Saksi-saksi</t>
  </si>
  <si>
    <t>1...........................</t>
  </si>
  <si>
    <t>(..........................)</t>
  </si>
  <si>
    <t>2...........................</t>
  </si>
  <si>
    <t>3327042808930000</t>
  </si>
  <si>
    <t xml:space="preserve">Desa Tambi RT.006  RW.001 Kecamatan Watukumpul </t>
  </si>
  <si>
    <t>Kabupaten Pemalang</t>
  </si>
  <si>
    <r>
      <rPr>
        <sz val="12"/>
        <color theme="1"/>
        <rFont val="Arial"/>
        <family val="2"/>
      </rPr>
      <t>dan benar--benar masih bersetatus :</t>
    </r>
    <r>
      <rPr>
        <b/>
        <sz val="12"/>
        <color theme="1"/>
        <rFont val="Arial"/>
        <family val="2"/>
      </rPr>
      <t>PERJAKA ( Bujang ).</t>
    </r>
  </si>
  <si>
    <t>Tambi, 02 Agustus 2017</t>
  </si>
  <si>
    <t>DWI JOKO MUARA SABDA</t>
  </si>
  <si>
    <t>1.Saryono</t>
  </si>
  <si>
    <t>2.Juli Santoso</t>
  </si>
  <si>
    <t>Kepala Keluarga</t>
  </si>
  <si>
    <t>Istri</t>
  </si>
  <si>
    <t>Menantu</t>
  </si>
  <si>
    <t>F-1.01</t>
  </si>
  <si>
    <t>FORMULIR ISIAN BIODATA PENDUDUK UNTUK WNI (PER KELUARGA)</t>
  </si>
  <si>
    <t>Diisi Oleh Petugas</t>
  </si>
  <si>
    <t>DATA KEPALA KELUARGA</t>
  </si>
  <si>
    <t>Kode - Nama Provinsi</t>
  </si>
  <si>
    <t>Nama  Kepala Keluarga</t>
  </si>
  <si>
    <t>Kode - Nama Kabupaten</t>
  </si>
  <si>
    <t>DESA TAMBI RT 00  RW 00  KECAMATAN WATUKUMPUL</t>
  </si>
  <si>
    <t>Kode - Nama Kecamatan</t>
  </si>
  <si>
    <t>Kode Pos</t>
  </si>
  <si>
    <t>RT</t>
  </si>
  <si>
    <t>RW</t>
  </si>
  <si>
    <t>Jumlah Anggota Keluarga</t>
  </si>
  <si>
    <t>Orang</t>
  </si>
  <si>
    <t>Kode - Nama Desa/Kelurahan</t>
  </si>
  <si>
    <t>Telepon</t>
  </si>
  <si>
    <t>Kode Dusun/Dukuh/Kampung/</t>
  </si>
  <si>
    <t>Lingkungan/Banjar/Nagari</t>
  </si>
  <si>
    <t>DATA KELUARGA</t>
  </si>
  <si>
    <t>No</t>
  </si>
  <si>
    <t>Nomor KTP/Nopen</t>
  </si>
  <si>
    <t>Nama Lengkap Ibu</t>
  </si>
  <si>
    <t>NIK Ayah</t>
  </si>
  <si>
    <t>Nama Lengkap Ayah</t>
  </si>
  <si>
    <t>Tanggal/Bulan/   Tahun Lahir</t>
  </si>
  <si>
    <t>Akta Lahir/     Surat Lahir</t>
  </si>
  <si>
    <t>Nomor Akta Kelahiran Surat Kenal Lahir</t>
  </si>
  <si>
    <t>Golongan Darah</t>
  </si>
  <si>
    <t>Akta Perkwn/    Buku Nikah*)</t>
  </si>
  <si>
    <t>Nomor Akta Perkawinan/    Buku Nikah*)</t>
  </si>
  <si>
    <t>Tanggal Perkawinan</t>
  </si>
  <si>
    <t>Akta Cerai/   Surat Cerai*)</t>
  </si>
  <si>
    <t>Nomor Akta Perceraian/   Surat Cerai*)</t>
  </si>
  <si>
    <t>Tanggal Perceraian</t>
  </si>
  <si>
    <t xml:space="preserve">Status Hub.      Dlm Keluarga </t>
  </si>
  <si>
    <t>Kelainan Fisik &amp; Mental</t>
  </si>
  <si>
    <t>Penyandang Cacat</t>
  </si>
  <si>
    <t>Pendidikan Terakhir</t>
  </si>
  <si>
    <t>NIK Ibu</t>
  </si>
  <si>
    <t>Nama Ketua RT</t>
  </si>
  <si>
    <t>Petugas</t>
  </si>
  <si>
    <t>Tambi,...............................................</t>
  </si>
  <si>
    <t>(Kabupaten /Kota atau Kecamatan atau Desa/Kelurahan</t>
  </si>
  <si>
    <t>Nama Ketua RW</t>
  </si>
  <si>
    <t>.........................................</t>
  </si>
  <si>
    <t>........................................</t>
  </si>
  <si>
    <t>FORMAT ISIAN DATA</t>
  </si>
  <si>
    <t>LEMBAGA SOSIIAL KEMASYARAKATAN</t>
  </si>
  <si>
    <t>Rukun Warga (RW) Dan Rukun Tetangga (RT)</t>
  </si>
  <si>
    <t xml:space="preserve">Jumlah RW : 4 (Empat)  </t>
  </si>
  <si>
    <t>Jumlah RT  : 16  (Enam belas)</t>
  </si>
  <si>
    <t>DESA :</t>
  </si>
  <si>
    <t>KECAMATAN :</t>
  </si>
  <si>
    <t>Dengan Rincian Sebagai Berikut:</t>
  </si>
  <si>
    <t>No.RW</t>
  </si>
  <si>
    <t>No.RT</t>
  </si>
  <si>
    <t>RW.001</t>
  </si>
  <si>
    <t>NUROKIB</t>
  </si>
  <si>
    <t>RT 001</t>
  </si>
  <si>
    <t>DUROJAT</t>
  </si>
  <si>
    <t>RT 002</t>
  </si>
  <si>
    <t>MUNASROH</t>
  </si>
  <si>
    <t>RT 003</t>
  </si>
  <si>
    <t>RASMADI</t>
  </si>
  <si>
    <t>RT 014</t>
  </si>
  <si>
    <t>ALI MUSTAKIM</t>
  </si>
  <si>
    <t>RW .002</t>
  </si>
  <si>
    <t>TURI</t>
  </si>
  <si>
    <t>RT.010</t>
  </si>
  <si>
    <t>MARSONO</t>
  </si>
  <si>
    <t>RT.011</t>
  </si>
  <si>
    <t>SANARDI</t>
  </si>
  <si>
    <t>RT.012</t>
  </si>
  <si>
    <t>RASID</t>
  </si>
  <si>
    <t>ab</t>
  </si>
  <si>
    <t>RT.016</t>
  </si>
  <si>
    <t>RISWANTO</t>
  </si>
  <si>
    <t>RW.003</t>
  </si>
  <si>
    <t>ROBIL</t>
  </si>
  <si>
    <t>RT.004</t>
  </si>
  <si>
    <t>DIRIN</t>
  </si>
  <si>
    <t>RT.005</t>
  </si>
  <si>
    <t>SUPARJO</t>
  </si>
  <si>
    <t>RT.006</t>
  </si>
  <si>
    <t>SURURI</t>
  </si>
  <si>
    <t>RT.008</t>
  </si>
  <si>
    <t>SURAHMAN</t>
  </si>
  <si>
    <t>RW.004</t>
  </si>
  <si>
    <t>TOHIR</t>
  </si>
  <si>
    <t>RT.007</t>
  </si>
  <si>
    <t>WARSO</t>
  </si>
  <si>
    <t>RT.009</t>
  </si>
  <si>
    <t>SUNARSO</t>
  </si>
  <si>
    <t>RT.013</t>
  </si>
  <si>
    <t>DIRSO</t>
  </si>
  <si>
    <t>RT.015</t>
  </si>
  <si>
    <t>RASMINTO</t>
  </si>
  <si>
    <t>SOBIYAH</t>
  </si>
  <si>
    <t>Tambi,18 Maret  2018</t>
  </si>
  <si>
    <t>WARYONO</t>
  </si>
  <si>
    <t>UR</t>
  </si>
  <si>
    <t>Tambi,13 Maret  2018</t>
  </si>
  <si>
    <t>NASOR</t>
  </si>
  <si>
    <t>a</t>
  </si>
  <si>
    <t>F.1 - 29</t>
  </si>
  <si>
    <t>PROVINSI</t>
  </si>
  <si>
    <t>DESA/KELURAHAN</t>
  </si>
  <si>
    <t>DUSUN/DUKUH/KAMPUNG</t>
  </si>
  <si>
    <t>DUSUN TAMBI</t>
  </si>
  <si>
    <t>SURAT KETERANGAN PINDAH WNI</t>
  </si>
  <si>
    <t>Antar Kecamatan Dalam Satu Kabupaten/Kota</t>
  </si>
  <si>
    <t>Nomor : 475.2 / 16/ X / 2024</t>
  </si>
  <si>
    <t>DATA DAERAH ASAL</t>
  </si>
  <si>
    <t>TARSONO</t>
  </si>
  <si>
    <t>Dusun/Dukuh/Kampung</t>
  </si>
  <si>
    <t>NIK pemohon</t>
  </si>
  <si>
    <t>IAN MASRURI</t>
  </si>
  <si>
    <t>DATA DAERAH TUJUAN</t>
  </si>
  <si>
    <t>Status KK Bagi Yang Pindah</t>
  </si>
  <si>
    <t>1. Numpang KK  2.Membuat KK Baru  3.Nomor KK Tetap</t>
  </si>
  <si>
    <t>NIK Kepala Keluarga</t>
  </si>
  <si>
    <t>Tanggal Kedatangan</t>
  </si>
  <si>
    <t>BADAK</t>
  </si>
  <si>
    <t xml:space="preserve">   III (Tiga)</t>
  </si>
  <si>
    <t>BELIK</t>
  </si>
  <si>
    <t>Keluarga Yang Pindah</t>
  </si>
  <si>
    <t>NAMA</t>
  </si>
  <si>
    <t>MASA BERLAKU KTP S/D</t>
  </si>
  <si>
    <t>SHDK</t>
  </si>
  <si>
    <t>3327041405990002</t>
  </si>
  <si>
    <t>ANAK</t>
  </si>
  <si>
    <t>Tambi,31 Januari 2024</t>
  </si>
  <si>
    <t>Petugas Registrasi</t>
  </si>
  <si>
    <t xml:space="preserve">Kepala Desa Tambi </t>
  </si>
  <si>
    <t>Pemohon</t>
  </si>
  <si>
    <t>F.1 - 31</t>
  </si>
  <si>
    <t>Nomor : 475.2 / 36 / V / 2024</t>
  </si>
  <si>
    <t>KASIRI</t>
  </si>
  <si>
    <t>SIGIT RIYANTO</t>
  </si>
  <si>
    <t>DK.KOPI JEMI</t>
  </si>
  <si>
    <t>GUNUNGJAYA</t>
  </si>
  <si>
    <t>3327030203970008</t>
  </si>
  <si>
    <t>Tambi,6 Mei 2024</t>
  </si>
  <si>
    <t>an.Kepala Desa / Kelurahan</t>
  </si>
  <si>
    <t>Nomor : 475.2 / 415/ XII / 2023</t>
  </si>
  <si>
    <t>SEFUDIN</t>
  </si>
  <si>
    <t>DUKUH PETE</t>
  </si>
  <si>
    <t>KUTA</t>
  </si>
  <si>
    <t>3303170909940001</t>
  </si>
  <si>
    <t>KK</t>
  </si>
  <si>
    <t>3327044204010005</t>
  </si>
  <si>
    <t>FARAH HANIFATUNISA</t>
  </si>
  <si>
    <t>ISTRI</t>
  </si>
  <si>
    <t>3327046411200001</t>
  </si>
  <si>
    <t>NEZKIA ANNAHIZA ANJANI</t>
  </si>
  <si>
    <t>Tambi,27 Desember 2023</t>
  </si>
  <si>
    <t>F.1 - 23</t>
  </si>
  <si>
    <t>SURAT KETERANGAN PINDAH DATANG WNI</t>
  </si>
  <si>
    <t>Nomor : 475.2 / 361 / XI / 2023</t>
  </si>
  <si>
    <t>SOIM</t>
  </si>
  <si>
    <t>DUSUN SAMBO</t>
  </si>
  <si>
    <t>PAGUNDAN</t>
  </si>
  <si>
    <t>PETARUKAN</t>
  </si>
  <si>
    <t>3327101202850048</t>
  </si>
  <si>
    <t>3327104408890087</t>
  </si>
  <si>
    <t>LAFIFATUL ULIYAH</t>
  </si>
  <si>
    <t>3327104906110001</t>
  </si>
  <si>
    <t>SALSABILA TUSIFA</t>
  </si>
  <si>
    <t>3327104704230005</t>
  </si>
  <si>
    <t>NAURA APRILIONA KHALISA</t>
  </si>
  <si>
    <t>Tambi,30 November 2023</t>
  </si>
  <si>
    <t>F.1 - 27</t>
  </si>
  <si>
    <t>Antar Desa/Kelurahan Dalam Satu Kecamatan</t>
  </si>
  <si>
    <t>Nomor : 475.2 / 300 / IX / 2023</t>
  </si>
  <si>
    <t>CASMIN</t>
  </si>
  <si>
    <t>MAJALANGU</t>
  </si>
  <si>
    <t>PRINGAMBA</t>
  </si>
  <si>
    <t>RISKI SAEFULOH</t>
  </si>
  <si>
    <t>Tambi,30 September 2023</t>
  </si>
  <si>
    <t>F.1 - 25</t>
  </si>
  <si>
    <t>Nomor : 475.2 / 317 / XI / 2023</t>
  </si>
  <si>
    <t>DAROJAH</t>
  </si>
  <si>
    <t>DUKUH JAMBU WETAN</t>
  </si>
  <si>
    <t>RATNA SIFA</t>
  </si>
  <si>
    <t>KHAFID ABDUL MUHNI</t>
  </si>
  <si>
    <t>TANGGAL LAHIR</t>
  </si>
  <si>
    <t>3327044701020001</t>
  </si>
  <si>
    <t>Tambi,1 November 2023</t>
  </si>
  <si>
    <t>Antar Kabupaten / Kota atau Antar Provinsi</t>
  </si>
  <si>
    <t>Nomor : 475.2 / 37 / XII / 2024</t>
  </si>
  <si>
    <t>SAMSIAH</t>
  </si>
  <si>
    <t>WAMIN</t>
  </si>
  <si>
    <t>ROHYANI</t>
  </si>
  <si>
    <t>SANGUWATANG</t>
  </si>
  <si>
    <t>JAKI DUSUN II</t>
  </si>
  <si>
    <t>PURBALINGGA</t>
  </si>
  <si>
    <t>KARANGJAMBU</t>
  </si>
  <si>
    <t>3327040112970003</t>
  </si>
  <si>
    <t>Tambi,20 November 2024</t>
  </si>
  <si>
    <t>Nomor : 475.2 / 416 / XII / 2023</t>
  </si>
  <si>
    <t>JUNAEDI</t>
  </si>
  <si>
    <t>INDAH YUNI SAEVILAH</t>
  </si>
  <si>
    <t>PURNOMO FEBRI PRASETYO</t>
  </si>
  <si>
    <t>GEDANGAN</t>
  </si>
  <si>
    <t>PANJANGREJO</t>
  </si>
  <si>
    <t>BANTUL</t>
  </si>
  <si>
    <t>PUNDONG</t>
  </si>
  <si>
    <t>DAERAH ISTIMEWA YOGYAKARTA</t>
  </si>
  <si>
    <t>3327044111950003</t>
  </si>
  <si>
    <t>.Kepala Desa / Kelurahan</t>
  </si>
  <si>
    <t>Nomor : 475.2 / 10 /I / 2024</t>
  </si>
  <si>
    <t>KARIM</t>
  </si>
  <si>
    <t>TAMBAH REJO</t>
  </si>
  <si>
    <t>RUJITO</t>
  </si>
  <si>
    <t>JAMILAH</t>
  </si>
  <si>
    <t>KARANGASEM</t>
  </si>
  <si>
    <t>Dusun/Dukuh/Kampung :</t>
  </si>
  <si>
    <t>KERTANEGARA</t>
  </si>
  <si>
    <t>3327041505000002</t>
  </si>
  <si>
    <t>Tambi,24 Januari 2024</t>
  </si>
  <si>
    <t>a.n.Kepala Desa / Kelurahan</t>
  </si>
  <si>
    <t>SURAT KETERANGAN PINDAH  WNI</t>
  </si>
  <si>
    <t>Nomor : 475.2 / 6 / I / 2024</t>
  </si>
  <si>
    <t>KISWOYO</t>
  </si>
  <si>
    <t>MUHAMMAD ILHAM DWI ATMAJA</t>
  </si>
  <si>
    <t>DUSUN BENTANG</t>
  </si>
  <si>
    <t>Nomor : 475.2 / 401 / XII / 2023</t>
  </si>
  <si>
    <t>AHMAD</t>
  </si>
  <si>
    <t>DUKUH WIYORO</t>
  </si>
  <si>
    <t>GARUNGWIYORO</t>
  </si>
  <si>
    <t>PEKALONGAN</t>
  </si>
  <si>
    <t>KANDANGSERANG</t>
  </si>
  <si>
    <t>DUKUH TAMBI</t>
  </si>
  <si>
    <t>3326010705910001</t>
  </si>
  <si>
    <t>3327044902930005</t>
  </si>
  <si>
    <t>KUSRIAH</t>
  </si>
  <si>
    <t>ISRTI</t>
  </si>
  <si>
    <t>3326010405140001</t>
  </si>
  <si>
    <t>ADITYA AINURROHMAN</t>
  </si>
  <si>
    <t>3326016203190002</t>
  </si>
  <si>
    <t>NADIRA CAYLA RAHMANI</t>
  </si>
  <si>
    <t>Tambi,8 Desember 2023</t>
  </si>
  <si>
    <t>Nomor : 475.2 / 205 / IX / 2023</t>
  </si>
  <si>
    <t>SIKUN</t>
  </si>
  <si>
    <t xml:space="preserve">TAMBI </t>
  </si>
  <si>
    <t>DIAN SAFITRI</t>
  </si>
  <si>
    <t>EKO NURIMAN</t>
  </si>
  <si>
    <t>SIRAU</t>
  </si>
  <si>
    <t>KARANGMONCOL</t>
  </si>
  <si>
    <t>3327045811030003</t>
  </si>
  <si>
    <t>Tambi,5 September 2023</t>
  </si>
  <si>
    <t>F.1 - 38</t>
  </si>
  <si>
    <t>FORMULIR PERMOHONAN PINDAH DATANG WNI</t>
  </si>
  <si>
    <t>Nomor : 475.2 / 331 /XI / 2023</t>
  </si>
  <si>
    <t>SALIM</t>
  </si>
  <si>
    <t>JL.CIPINANG CEMPEDAK IV/86</t>
  </si>
  <si>
    <t>CIPINANG CEMPEDAK</t>
  </si>
  <si>
    <t>JAKARTA TIMUR</t>
  </si>
  <si>
    <t>JATINEGARA</t>
  </si>
  <si>
    <t>DKI JAKARTA</t>
  </si>
  <si>
    <t>DUKUH JAMBU LOR</t>
  </si>
  <si>
    <t>Keluarga Yang Datang</t>
  </si>
  <si>
    <t>3175032906990007</t>
  </si>
  <si>
    <t>3327046504970003</t>
  </si>
  <si>
    <t>NURUL KHASANAH</t>
  </si>
  <si>
    <t>3175032608220003</t>
  </si>
  <si>
    <t>MUHAMMAD ABYAN SHAKIEL</t>
  </si>
  <si>
    <t>a.n.  KEPALA DESA TAMBI</t>
  </si>
  <si>
    <t>FORMULIR PERMOHONAN PINDAH WNI</t>
  </si>
  <si>
    <t>Nomor : 475.2 /  197 /VIII / 2023</t>
  </si>
  <si>
    <t>MUKSIN</t>
  </si>
  <si>
    <t>ZAINUN NADIF</t>
  </si>
  <si>
    <t>KARANG BAWANG</t>
  </si>
  <si>
    <t>REMBANG</t>
  </si>
  <si>
    <t>TGL LAHIR</t>
  </si>
  <si>
    <t>3327043011020004</t>
  </si>
  <si>
    <t>Tambi,21 Agustus 2023</t>
  </si>
  <si>
    <t>DUKUH BENTANG</t>
  </si>
  <si>
    <t>Nomor : 475.2 /  295 /X / 2023</t>
  </si>
  <si>
    <t>ISA ANSHORI</t>
  </si>
  <si>
    <t>SLINGA</t>
  </si>
  <si>
    <t>SLINGA DUSUN 1</t>
  </si>
  <si>
    <t>KALIGONDANG</t>
  </si>
  <si>
    <t>BANU ARLI</t>
  </si>
  <si>
    <t>3303041302960003</t>
  </si>
  <si>
    <t>Tambi,09 Oktober 2023</t>
  </si>
  <si>
    <t>Nomor : 475.2 /  195 /VII / 2023</t>
  </si>
  <si>
    <t>DARYO</t>
  </si>
  <si>
    <t>DANAREJA</t>
  </si>
  <si>
    <t>DANASARI</t>
  </si>
  <si>
    <t>IRHAS FISIGIT</t>
  </si>
  <si>
    <t>3303171209980001</t>
  </si>
  <si>
    <t>Tambi,21 Juli 2023</t>
  </si>
  <si>
    <t>Nomor : 475.2 /  103 / IV / 2023</t>
  </si>
  <si>
    <t>WAID</t>
  </si>
  <si>
    <t>KIKI YANTI</t>
  </si>
  <si>
    <t>JAROT TRIYANTO</t>
  </si>
  <si>
    <t>3327024309010005</t>
  </si>
  <si>
    <t>Tambi,17 April 2023</t>
  </si>
  <si>
    <t>PURWO SAUGIARTO</t>
  </si>
  <si>
    <t>Nomor : 475.2 / 182 / VII / 2023</t>
  </si>
  <si>
    <t>ROSALIA DEA DEVI NIKENSARI</t>
  </si>
  <si>
    <t>FITRIAWAN HARRIS PRASETYO</t>
  </si>
  <si>
    <t>PAGENTAN</t>
  </si>
  <si>
    <t>BANJARNEGARA</t>
  </si>
  <si>
    <t>3327046811970004</t>
  </si>
  <si>
    <t>Tambi,12 JUNI 2023</t>
  </si>
  <si>
    <t>Nomor : 475.2 / 180 / VII / 2023</t>
  </si>
  <si>
    <t>Nomor : 475.2 / 176 / VI / 2023</t>
  </si>
  <si>
    <t>KASROH</t>
  </si>
  <si>
    <t>MISWATI</t>
  </si>
  <si>
    <t>3303174408960001</t>
  </si>
  <si>
    <t>Kepala Desa / Kelurahan</t>
  </si>
  <si>
    <t>Nomor : 475.2 /  76 / V / 2023</t>
  </si>
  <si>
    <t>RIZKI PRATAMA</t>
  </si>
  <si>
    <t>CIKINI KRAMAT</t>
  </si>
  <si>
    <t>PEGANGSAAN</t>
  </si>
  <si>
    <t>JAKARTA PUSAT</t>
  </si>
  <si>
    <t>MENTENG</t>
  </si>
  <si>
    <t xml:space="preserve">DKI JAKARTA </t>
  </si>
  <si>
    <t>3327042809980003</t>
  </si>
  <si>
    <t>Tambi,12 Mei 2023</t>
  </si>
  <si>
    <t>Nomor : 475.2 /  73 / III / 2023</t>
  </si>
  <si>
    <t>TOHA</t>
  </si>
  <si>
    <t>LOSBABA WEJANG ASI</t>
  </si>
  <si>
    <t>BATU CERMIN</t>
  </si>
  <si>
    <t>MANGGARAI BARAT</t>
  </si>
  <si>
    <t>KOMODO</t>
  </si>
  <si>
    <t>NUSA TENGGARA TIMUR</t>
  </si>
  <si>
    <t>3327042203890001</t>
  </si>
  <si>
    <t>3327044503980003</t>
  </si>
  <si>
    <t>DEWI IKA SARI</t>
  </si>
  <si>
    <t>Tambi,13 Maret 2023</t>
  </si>
  <si>
    <t>DUKUH JAMBU TENGAH</t>
  </si>
  <si>
    <t>Nomor : 475.2 /   75 /III / 2023</t>
  </si>
  <si>
    <t>KATINI</t>
  </si>
  <si>
    <t>LIMBANSARI</t>
  </si>
  <si>
    <t>KARANGJOHO</t>
  </si>
  <si>
    <t>LIMBASARI</t>
  </si>
  <si>
    <t>BOBOTSARI</t>
  </si>
  <si>
    <t>ARDANIA PUTRI OKTAVIA</t>
  </si>
  <si>
    <t>3674066210020005</t>
  </si>
  <si>
    <t>CUCU</t>
  </si>
  <si>
    <t>Tambi,16 Maret 2023</t>
  </si>
  <si>
    <t>3327041108080000</t>
  </si>
  <si>
    <t>Nomor : 475.2 /  3 /I / 2023</t>
  </si>
  <si>
    <t>SUMADI</t>
  </si>
  <si>
    <t>WATRI</t>
  </si>
  <si>
    <t>JL.CEMPAKA PUTIH TENGAH 33</t>
  </si>
  <si>
    <t>CEMPAKA PUTIH TIMUR</t>
  </si>
  <si>
    <t>KOTA JAKARTA PUSAT</t>
  </si>
  <si>
    <t>CEMPAKA PUTIH</t>
  </si>
  <si>
    <t>3327045506780006</t>
  </si>
  <si>
    <t>Tambi,07 November 2022</t>
  </si>
  <si>
    <t>SUSUNAN PENGURUS RANTING NU TAMBI</t>
  </si>
  <si>
    <t>MWC WATUKUMPUL 1</t>
  </si>
  <si>
    <t>MASA KHIDMAT TAHUN 2019 - 2024</t>
  </si>
  <si>
    <t>MUHTASYAR</t>
  </si>
  <si>
    <t>1.Bp.SUTONO ,BA</t>
  </si>
  <si>
    <t>2.Bp.TARYO HADI PRANOTO</t>
  </si>
  <si>
    <t>3.Bp.JURI</t>
  </si>
  <si>
    <t>SURIYAH</t>
  </si>
  <si>
    <t>Rais</t>
  </si>
  <si>
    <t>1.Ky.NASIRUDIN</t>
  </si>
  <si>
    <t>Wakil Rais</t>
  </si>
  <si>
    <t>2.KH.A.KARNOTO</t>
  </si>
  <si>
    <t>3.Ky.MUSTOFA</t>
  </si>
  <si>
    <t>4.Ust.ROHMAT HIDAYAT</t>
  </si>
  <si>
    <t>III.</t>
  </si>
  <si>
    <t>KATIB</t>
  </si>
  <si>
    <t>1.SARYONO</t>
  </si>
  <si>
    <t>Wakil Katib</t>
  </si>
  <si>
    <t>2.IMAM SHOLEH,S.Pd</t>
  </si>
  <si>
    <t>3.Ust.WAHURI</t>
  </si>
  <si>
    <t>4.ABD KHALIM</t>
  </si>
  <si>
    <t>IV.</t>
  </si>
  <si>
    <t>A'WAN</t>
  </si>
  <si>
    <t>1.M.DAIMAN</t>
  </si>
  <si>
    <t>2.EKO PUJIANTO</t>
  </si>
  <si>
    <t>3.WALUYO</t>
  </si>
  <si>
    <t>4.ALI MUSTAKIM</t>
  </si>
  <si>
    <t>5.IMAM ROFI'I</t>
  </si>
  <si>
    <t>V.</t>
  </si>
  <si>
    <t>TANFIDZIYAH</t>
  </si>
  <si>
    <t>Ketua</t>
  </si>
  <si>
    <t>Ust.A.ROHIM</t>
  </si>
  <si>
    <t>Wakil Ketua</t>
  </si>
  <si>
    <t>Ust.ABD.HOPUR</t>
  </si>
  <si>
    <t>Sekretaris</t>
  </si>
  <si>
    <t>SRIYONO</t>
  </si>
  <si>
    <t>Wakil Sekretaris</t>
  </si>
  <si>
    <t>Bendahara</t>
  </si>
  <si>
    <t>IMAM ABDUL MUFTI</t>
  </si>
  <si>
    <t>Wakil Bendahara</t>
  </si>
  <si>
    <t>SUSUNAN LEMBAGA RANTING NU TAMBI</t>
  </si>
  <si>
    <t xml:space="preserve">Lembaga Dakwah NU (LDNU) </t>
  </si>
  <si>
    <t>1.Ust.AKHMAD ROMADI,S.Pd.</t>
  </si>
  <si>
    <t>2.Ust.ALI MUSTAKIM</t>
  </si>
  <si>
    <t>3.Ust.KHOIRUL DAWAM</t>
  </si>
  <si>
    <t>Lembaga Perekonomian</t>
  </si>
  <si>
    <t>1. Ust.ROHMAT HIDAYAT</t>
  </si>
  <si>
    <t>2.Ust. SUHARNO</t>
  </si>
  <si>
    <t>3.NURUDIN</t>
  </si>
  <si>
    <t>Lembaga Pendidikan Ma'arif</t>
  </si>
  <si>
    <t>1.Ust.CHALIM MUCHTAROM,S.Pdi</t>
  </si>
  <si>
    <t>2.Ust.FASIUL ROZAK</t>
  </si>
  <si>
    <t>Lembaga Bahtsul Masail dan Wakaf</t>
  </si>
  <si>
    <t>(LBMNU )</t>
  </si>
  <si>
    <t>Lembaga  Pengembangan Pertanian</t>
  </si>
  <si>
    <t>VI.</t>
  </si>
  <si>
    <t>Lembaga Zakat NU (LAZISNU)</t>
  </si>
  <si>
    <t>VII.</t>
  </si>
  <si>
    <t>Lembaga Takmir</t>
  </si>
  <si>
    <t>VIII.</t>
  </si>
  <si>
    <t>Lembaga Seni Budaya Muslimin Indonesia</t>
  </si>
  <si>
    <t>(LESBUMI)</t>
  </si>
  <si>
    <t>IX.</t>
  </si>
  <si>
    <t>Lembaga Sosial</t>
  </si>
  <si>
    <t>1. H.TAID NUROKIB</t>
  </si>
  <si>
    <t>2. SUYITNO</t>
  </si>
  <si>
    <t>3. ALI KHUSNI</t>
  </si>
  <si>
    <t>SUSUNAN PENGURUS ANSOR RANTING NU TAMBI</t>
  </si>
  <si>
    <t>DEWAN PENASEHAT</t>
  </si>
  <si>
    <r>
      <rPr>
        <sz val="12"/>
        <color theme="1"/>
        <rFont val="Bookman Old Style"/>
        <family val="1"/>
      </rPr>
      <t>1.</t>
    </r>
    <r>
      <rPr>
        <sz val="11"/>
        <color theme="1"/>
        <rFont val="Bookman Old Style"/>
        <family val="1"/>
      </rPr>
      <t>PENGURUS RANTING NU TAMBI</t>
    </r>
  </si>
  <si>
    <t>2.Ust.A.ROHIM</t>
  </si>
  <si>
    <t>3.Ust.ABD.HOPUR</t>
  </si>
  <si>
    <t>PENGURUS HARIAN</t>
  </si>
  <si>
    <t>Ketua I</t>
  </si>
  <si>
    <t>UNTUNG FUJIANTO,S.Kom</t>
  </si>
  <si>
    <t>Ketua II</t>
  </si>
  <si>
    <t>CHOLID</t>
  </si>
  <si>
    <t>Sekretaris  I</t>
  </si>
  <si>
    <t>CHALIM MUCHTAROM,S.Pdi</t>
  </si>
  <si>
    <t>Sekretaris  II</t>
  </si>
  <si>
    <t>SALIMIN</t>
  </si>
  <si>
    <t>Sekretaris  III</t>
  </si>
  <si>
    <t>MUSTAFID</t>
  </si>
  <si>
    <t>Bendahara  I</t>
  </si>
  <si>
    <t>SUYITNO</t>
  </si>
  <si>
    <t>Bendahara  II</t>
  </si>
  <si>
    <t>ALI KHUSNI</t>
  </si>
  <si>
    <t>Bendahara  III</t>
  </si>
  <si>
    <t>FASIUL ROZAK</t>
  </si>
  <si>
    <t>DEPARTEMEN-DEPARTEMEN</t>
  </si>
  <si>
    <t>a.</t>
  </si>
  <si>
    <t>Departemen Pendidikan</t>
  </si>
  <si>
    <t>1.CAHYONO</t>
  </si>
  <si>
    <t>2.SRIYONO</t>
  </si>
  <si>
    <t>b.</t>
  </si>
  <si>
    <t>Departemen Informasi,Iptek    dan Humas</t>
  </si>
  <si>
    <t>1.KHARIS</t>
  </si>
  <si>
    <t>2.KASRIN</t>
  </si>
  <si>
    <t>3.KHOTIM</t>
  </si>
  <si>
    <t>c.</t>
  </si>
  <si>
    <t>Departemen ekonomi, olahraga dan kebudayaan</t>
  </si>
  <si>
    <t>1.KUJEN</t>
  </si>
  <si>
    <t>2.TOHARUN</t>
  </si>
  <si>
    <t>FATAYAT</t>
  </si>
  <si>
    <t>DAMIRAH</t>
  </si>
  <si>
    <t>ROMA KULSUM</t>
  </si>
  <si>
    <t>MAISATUL FADLILLAH</t>
  </si>
  <si>
    <t>BADRIYAH</t>
  </si>
  <si>
    <t>APRILIA LINDAYANI</t>
  </si>
  <si>
    <t>SITI MUZAROH</t>
  </si>
  <si>
    <t>MUSLIMAT</t>
  </si>
  <si>
    <t>SITI SOWEBAH</t>
  </si>
  <si>
    <t>SITI ROKHIMAH</t>
  </si>
  <si>
    <t>SUJIROH</t>
  </si>
  <si>
    <t>MUINAH</t>
  </si>
  <si>
    <t>TOYIBAH</t>
  </si>
  <si>
    <t>IPNU &amp; IPPNU</t>
  </si>
  <si>
    <t>MISBAHUL MUNIR</t>
  </si>
  <si>
    <t>MA'MUR</t>
  </si>
  <si>
    <t>RIZAL FAHMI</t>
  </si>
  <si>
    <t>A.FAUZI</t>
  </si>
  <si>
    <t>FATHUL AZIZ</t>
  </si>
  <si>
    <t>MUHAMAD HANIF</t>
  </si>
  <si>
    <t>F.1-32</t>
  </si>
  <si>
    <t>SURAT PENGANTAR PINDAH</t>
  </si>
  <si>
    <t>ANTAR KABUPATEN/KOTA ATAU ANTAR PROVINSI</t>
  </si>
  <si>
    <t>Nomor : 475.2 /27 / IV  / 2024</t>
  </si>
  <si>
    <t>Yang bertanda tangan dibawah ini,menerangkan Permohonan</t>
  </si>
  <si>
    <t xml:space="preserve"> Pindah WNI dengan data sebagai berikut :</t>
  </si>
  <si>
    <t>'3327040307960004</t>
  </si>
  <si>
    <t>Nama Kartu Keluarga</t>
  </si>
  <si>
    <t>3327040202110009</t>
  </si>
  <si>
    <t>Alamat Sekarang</t>
  </si>
  <si>
    <t>RT 009 RW 002 Desa Tambi</t>
  </si>
  <si>
    <t>Kec. Watukumpul Kab.Pemalang</t>
  </si>
  <si>
    <t>Alamat Tujuan Pindah</t>
  </si>
  <si>
    <t xml:space="preserve">RT 004/RW 002 </t>
  </si>
  <si>
    <t>DESA SIRAU KECAMATAN KARANGMONCOL</t>
  </si>
  <si>
    <t>KAB.PURBALINGGA,PROV.JAWA TENGAH</t>
  </si>
  <si>
    <t>Jumlah Keluarga Yang Pindah</t>
  </si>
  <si>
    <t>1 (satu)</t>
  </si>
  <si>
    <t xml:space="preserve">Adapun    Permohonan   Pindah   Penduduk   WNI   yang bersangkutan </t>
  </si>
  <si>
    <t>sebagaimana terlampir.</t>
  </si>
  <si>
    <t xml:space="preserve">Demikian  Surat  Pengantar  Pindah  ini   dibuat   agar    digunakan </t>
  </si>
  <si>
    <t>sebagaimana mestinya.</t>
  </si>
  <si>
    <t>Tambi,23 April 2024</t>
  </si>
  <si>
    <t>F.1-33</t>
  </si>
  <si>
    <t>Nomor : 475.2 /417 / XlI  / 2023</t>
  </si>
  <si>
    <t>3327041908070040</t>
  </si>
  <si>
    <t>RT 006 RW 001 Desa Tambi</t>
  </si>
  <si>
    <t>Kec.Watukumpul Kab.Pemalang</t>
  </si>
  <si>
    <t>GEDANGAN RT 003 /RW</t>
  </si>
  <si>
    <t>DESA PANJANGREJO KEC.PUNDONG KAB.BANTUL,</t>
  </si>
  <si>
    <t>Prov.DAERAH ISTIMEWA YOGYAKARTA</t>
  </si>
  <si>
    <t>1 (Satu)</t>
  </si>
  <si>
    <t>Nomor : 475.2 /177 / VI  / 2023</t>
  </si>
  <si>
    <t>3327042405220002</t>
  </si>
  <si>
    <t>RT 011 RW 002 Desa Tambi</t>
  </si>
  <si>
    <t xml:space="preserve">SANGUWATANG RT 007/ RW 002  </t>
  </si>
  <si>
    <t>Kec.Karangjambu Kab.Purbalingga ,</t>
  </si>
  <si>
    <t>Prov.Jawa Tengah</t>
  </si>
  <si>
    <t>Tambi,12Juni 2023</t>
  </si>
  <si>
    <t>Nomor : 475.2 /36/ lll / 2020</t>
  </si>
  <si>
    <t>3313092003900002</t>
  </si>
  <si>
    <t>MARYANTO</t>
  </si>
  <si>
    <t>3376020801200003</t>
  </si>
  <si>
    <t>Jl.Panggung Timur RT 009 RW 005</t>
  </si>
  <si>
    <t>Kelurahan Panggung Kota Tegal</t>
  </si>
  <si>
    <t>Tambi,2 Maret 2020</t>
  </si>
  <si>
    <t>03</t>
  </si>
  <si>
    <t>09</t>
  </si>
  <si>
    <t>BUDIANTO</t>
  </si>
  <si>
    <t>3327042311210005</t>
  </si>
  <si>
    <t>2022</t>
  </si>
  <si>
    <t>3327047103960002</t>
  </si>
  <si>
    <t>KHAFSOH</t>
  </si>
  <si>
    <t>31</t>
  </si>
  <si>
    <t>RT 004 / 004 DESA TAMBI</t>
  </si>
  <si>
    <t>3327042511940003</t>
  </si>
  <si>
    <t>25</t>
  </si>
  <si>
    <t>11</t>
  </si>
  <si>
    <t>1994</t>
  </si>
  <si>
    <t>10</t>
  </si>
  <si>
    <t>2020</t>
  </si>
  <si>
    <t>32</t>
  </si>
  <si>
    <t>No : 400.12.3.1/003/VII/2026</t>
  </si>
  <si>
    <t>KHALIFA SYAKILA RAMADHANI</t>
  </si>
  <si>
    <t>Tambi, 16 Juli 2026</t>
  </si>
  <si>
    <t>Tanggal 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</si>
</sst>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??_);_(@_)"/>
    <numFmt numFmtId="165" formatCode="[$-421]dd\ mmmm\ yyyy"/>
  </numFmts>
  <fonts count="35">
    <font>
      <sz val="10"/>
      <color rgb="FF000000"/>
      <name val="Arial"/>
      <scheme val="minor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i/>
      <sz val="8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u/>
      <sz val="14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8"/>
      <color theme="1"/>
      <name val="Arial"/>
      <family val="2"/>
    </font>
    <font>
      <i/>
      <sz val="9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Libre Baskerville"/>
    </font>
    <font>
      <b/>
      <sz val="10"/>
      <color theme="1"/>
      <name val="Libre Baskerville"/>
    </font>
    <font>
      <sz val="12"/>
      <color theme="1"/>
      <name val="Libre Baskerville"/>
    </font>
    <font>
      <b/>
      <u/>
      <sz val="12"/>
      <color theme="1"/>
      <name val="Libre Baskerville"/>
    </font>
    <font>
      <b/>
      <sz val="14"/>
      <color theme="1"/>
      <name val="Bookman Old Style"/>
      <family val="1"/>
    </font>
    <font>
      <b/>
      <i/>
      <sz val="12"/>
      <color theme="1"/>
      <name val="Bookman Old Style"/>
      <family val="1"/>
    </font>
    <font>
      <b/>
      <u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0"/>
      <color theme="0"/>
      <name val="Arial"/>
      <family val="2"/>
    </font>
    <font>
      <sz val="12"/>
      <color rgb="FFFF0000"/>
      <name val="Arial"/>
      <family val="2"/>
    </font>
    <font>
      <b/>
      <sz val="12"/>
      <color theme="1"/>
      <name val="Bookman Old Style"/>
      <family val="1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2D69B"/>
        <bgColor rgb="FFC2D69B"/>
      </patternFill>
    </fill>
    <fill>
      <patternFill patternType="solid">
        <fgColor rgb="FF7F7F7F"/>
        <bgColor rgb="FF7F7F7F"/>
      </patternFill>
    </fill>
  </fills>
  <borders count="7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6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3" fontId="5" fillId="0" borderId="1" xfId="0" applyNumberFormat="1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11" fillId="2" borderId="4" xfId="0" applyFont="1" applyFill="1" applyBorder="1"/>
    <xf numFmtId="0" fontId="5" fillId="2" borderId="11" xfId="0" applyFont="1" applyFill="1" applyBorder="1"/>
    <xf numFmtId="0" fontId="11" fillId="2" borderId="4" xfId="0" applyFont="1" applyFill="1" applyBorder="1" applyAlignment="1">
      <alignment vertical="center"/>
    </xf>
    <xf numFmtId="0" fontId="13" fillId="2" borderId="4" xfId="0" applyFont="1" applyFill="1" applyBorder="1"/>
    <xf numFmtId="0" fontId="5" fillId="3" borderId="4" xfId="0" applyFont="1" applyFill="1" applyBorder="1"/>
    <xf numFmtId="0" fontId="7" fillId="2" borderId="4" xfId="0" applyFont="1" applyFill="1" applyBorder="1"/>
    <xf numFmtId="0" fontId="7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/>
    </xf>
    <xf numFmtId="0" fontId="3" fillId="2" borderId="4" xfId="0" applyFont="1" applyFill="1" applyBorder="1"/>
    <xf numFmtId="164" fontId="7" fillId="2" borderId="4" xfId="0" applyNumberFormat="1" applyFont="1" applyFill="1" applyBorder="1"/>
    <xf numFmtId="0" fontId="16" fillId="2" borderId="4" xfId="0" applyFont="1" applyFill="1" applyBorder="1"/>
    <xf numFmtId="164" fontId="7" fillId="2" borderId="4" xfId="0" applyNumberFormat="1" applyFont="1" applyFill="1" applyBorder="1" applyAlignment="1">
      <alignment horizontal="center"/>
    </xf>
    <xf numFmtId="0" fontId="5" fillId="4" borderId="4" xfId="0" applyFont="1" applyFill="1" applyBorder="1"/>
    <xf numFmtId="0" fontId="7" fillId="4" borderId="4" xfId="0" applyFont="1" applyFill="1" applyBorder="1"/>
    <xf numFmtId="0" fontId="16" fillId="4" borderId="4" xfId="0" applyFont="1" applyFill="1" applyBorder="1"/>
    <xf numFmtId="0" fontId="7" fillId="4" borderId="4" xfId="0" applyFont="1" applyFill="1" applyBorder="1" applyAlignment="1">
      <alignment horizontal="center"/>
    </xf>
    <xf numFmtId="0" fontId="11" fillId="4" borderId="4" xfId="0" applyFont="1" applyFill="1" applyBorder="1"/>
    <xf numFmtId="0" fontId="5" fillId="2" borderId="4" xfId="0" applyFont="1" applyFill="1" applyBorder="1" applyAlignment="1">
      <alignment vertical="center" textRotation="90"/>
    </xf>
    <xf numFmtId="0" fontId="17" fillId="2" borderId="4" xfId="0" applyFont="1" applyFill="1" applyBorder="1"/>
    <xf numFmtId="0" fontId="7" fillId="0" borderId="0" xfId="0" applyFont="1"/>
    <xf numFmtId="0" fontId="15" fillId="2" borderId="4" xfId="0" applyFont="1" applyFill="1" applyBorder="1"/>
    <xf numFmtId="0" fontId="18" fillId="2" borderId="4" xfId="0" applyFont="1" applyFill="1" applyBorder="1"/>
    <xf numFmtId="0" fontId="2" fillId="2" borderId="4" xfId="0" applyFont="1" applyFill="1" applyBorder="1"/>
    <xf numFmtId="0" fontId="3" fillId="2" borderId="4" xfId="0" applyFont="1" applyFill="1" applyBorder="1" applyAlignment="1">
      <alignment horizontal="left"/>
    </xf>
    <xf numFmtId="164" fontId="3" fillId="2" borderId="4" xfId="0" applyNumberFormat="1" applyFont="1" applyFill="1" applyBorder="1"/>
    <xf numFmtId="0" fontId="3" fillId="2" borderId="4" xfId="0" applyFont="1" applyFill="1" applyBorder="1" applyAlignment="1">
      <alignment horizontal="center"/>
    </xf>
    <xf numFmtId="0" fontId="5" fillId="2" borderId="20" xfId="0" applyFont="1" applyFill="1" applyBorder="1"/>
    <xf numFmtId="0" fontId="5" fillId="2" borderId="21" xfId="0" applyFont="1" applyFill="1" applyBorder="1"/>
    <xf numFmtId="0" fontId="5" fillId="2" borderId="22" xfId="0" applyFont="1" applyFill="1" applyBorder="1"/>
    <xf numFmtId="0" fontId="19" fillId="0" borderId="0" xfId="0" applyFont="1"/>
    <xf numFmtId="0" fontId="14" fillId="0" borderId="0" xfId="0" applyFont="1" applyAlignment="1">
      <alignment horizontal="center"/>
    </xf>
    <xf numFmtId="0" fontId="3" fillId="0" borderId="3" xfId="0" applyFont="1" applyBorder="1"/>
    <xf numFmtId="0" fontId="3" fillId="0" borderId="23" xfId="0" applyFont="1" applyBorder="1"/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/>
    <xf numFmtId="0" fontId="5" fillId="0" borderId="31" xfId="0" applyFont="1" applyBorder="1"/>
    <xf numFmtId="0" fontId="21" fillId="0" borderId="0" xfId="0" applyFont="1"/>
    <xf numFmtId="0" fontId="5" fillId="0" borderId="30" xfId="0" applyFont="1" applyBorder="1" applyAlignment="1">
      <alignment horizontal="center"/>
    </xf>
    <xf numFmtId="0" fontId="22" fillId="0" borderId="0" xfId="0" applyFont="1"/>
    <xf numFmtId="0" fontId="22" fillId="0" borderId="0" xfId="0" quotePrefix="1" applyFont="1"/>
    <xf numFmtId="0" fontId="23" fillId="0" borderId="0" xfId="0" applyFont="1"/>
    <xf numFmtId="0" fontId="11" fillId="0" borderId="0" xfId="0" applyFont="1"/>
    <xf numFmtId="0" fontId="24" fillId="0" borderId="0" xfId="0" applyFont="1"/>
    <xf numFmtId="0" fontId="11" fillId="0" borderId="0" xfId="0" applyFont="1" applyAlignment="1">
      <alignment horizontal="center"/>
    </xf>
    <xf numFmtId="0" fontId="5" fillId="0" borderId="0" xfId="0" quotePrefix="1" applyFont="1"/>
    <xf numFmtId="0" fontId="27" fillId="0" borderId="0" xfId="0" applyFont="1" applyAlignment="1">
      <alignment vertical="center"/>
    </xf>
    <xf numFmtId="0" fontId="20" fillId="0" borderId="0" xfId="0" applyFont="1"/>
    <xf numFmtId="165" fontId="5" fillId="0" borderId="0" xfId="0" applyNumberFormat="1" applyFont="1" applyAlignment="1">
      <alignment horizontal="left"/>
    </xf>
    <xf numFmtId="0" fontId="5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35" xfId="0" applyFont="1" applyBorder="1" applyAlignment="1">
      <alignment horizontal="center"/>
    </xf>
    <xf numFmtId="0" fontId="5" fillId="0" borderId="36" xfId="0" applyFont="1" applyBorder="1"/>
    <xf numFmtId="0" fontId="7" fillId="0" borderId="23" xfId="0" applyFont="1" applyBorder="1"/>
    <xf numFmtId="0" fontId="7" fillId="0" borderId="25" xfId="0" applyFont="1" applyBorder="1"/>
    <xf numFmtId="49" fontId="5" fillId="0" borderId="0" xfId="0" applyNumberFormat="1" applyFont="1" applyAlignment="1">
      <alignment horizontal="left"/>
    </xf>
    <xf numFmtId="0" fontId="5" fillId="0" borderId="27" xfId="0" applyFont="1" applyBorder="1" applyAlignment="1">
      <alignment horizontal="center"/>
    </xf>
    <xf numFmtId="0" fontId="7" fillId="0" borderId="37" xfId="0" applyFont="1" applyBorder="1"/>
    <xf numFmtId="0" fontId="5" fillId="0" borderId="38" xfId="0" applyFont="1" applyBorder="1"/>
    <xf numFmtId="0" fontId="5" fillId="0" borderId="38" xfId="0" applyFont="1" applyBorder="1" applyAlignment="1">
      <alignment horizontal="center"/>
    </xf>
    <xf numFmtId="0" fontId="5" fillId="0" borderId="39" xfId="0" applyFont="1" applyBorder="1"/>
    <xf numFmtId="0" fontId="5" fillId="0" borderId="40" xfId="0" applyFont="1" applyBorder="1" applyAlignment="1">
      <alignment horizontal="center"/>
    </xf>
    <xf numFmtId="0" fontId="5" fillId="0" borderId="41" xfId="0" applyFont="1" applyBorder="1"/>
    <xf numFmtId="0" fontId="7" fillId="0" borderId="28" xfId="0" applyFont="1" applyBorder="1"/>
    <xf numFmtId="0" fontId="5" fillId="0" borderId="35" xfId="0" applyFont="1" applyBorder="1"/>
    <xf numFmtId="0" fontId="7" fillId="0" borderId="42" xfId="0" applyFont="1" applyBorder="1"/>
    <xf numFmtId="49" fontId="30" fillId="0" borderId="35" xfId="0" applyNumberFormat="1" applyFont="1" applyBorder="1" applyAlignment="1">
      <alignment horizontal="center"/>
    </xf>
    <xf numFmtId="0" fontId="5" fillId="0" borderId="42" xfId="0" applyFont="1" applyBorder="1"/>
    <xf numFmtId="0" fontId="5" fillId="0" borderId="23" xfId="0" applyFont="1" applyBorder="1" applyAlignment="1">
      <alignment horizontal="center"/>
    </xf>
    <xf numFmtId="1" fontId="5" fillId="0" borderId="0" xfId="0" applyNumberFormat="1" applyFont="1"/>
    <xf numFmtId="0" fontId="7" fillId="0" borderId="31" xfId="0" applyFont="1" applyBorder="1"/>
    <xf numFmtId="0" fontId="7" fillId="0" borderId="3" xfId="0" applyFont="1" applyBorder="1"/>
    <xf numFmtId="0" fontId="5" fillId="0" borderId="43" xfId="0" applyFont="1" applyBorder="1"/>
    <xf numFmtId="0" fontId="5" fillId="0" borderId="44" xfId="0" applyFont="1" applyBorder="1"/>
    <xf numFmtId="0" fontId="7" fillId="0" borderId="40" xfId="0" applyFont="1" applyBorder="1"/>
    <xf numFmtId="0" fontId="5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40" xfId="0" applyFont="1" applyBorder="1"/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left"/>
    </xf>
    <xf numFmtId="0" fontId="11" fillId="0" borderId="35" xfId="0" applyFont="1" applyBorder="1" applyAlignment="1">
      <alignment horizontal="center"/>
    </xf>
    <xf numFmtId="0" fontId="11" fillId="0" borderId="35" xfId="0" applyFont="1" applyBorder="1"/>
    <xf numFmtId="0" fontId="5" fillId="0" borderId="45" xfId="0" applyFont="1" applyBorder="1"/>
    <xf numFmtId="0" fontId="5" fillId="0" borderId="46" xfId="0" applyFont="1" applyBorder="1"/>
    <xf numFmtId="0" fontId="5" fillId="0" borderId="47" xfId="0" applyFont="1" applyBorder="1"/>
    <xf numFmtId="49" fontId="5" fillId="0" borderId="0" xfId="0" applyNumberFormat="1" applyFont="1"/>
    <xf numFmtId="0" fontId="5" fillId="0" borderId="48" xfId="0" applyFont="1" applyBorder="1"/>
    <xf numFmtId="0" fontId="5" fillId="0" borderId="49" xfId="0" applyFont="1" applyBorder="1"/>
    <xf numFmtId="0" fontId="5" fillId="0" borderId="50" xfId="0" applyFont="1" applyBorder="1"/>
    <xf numFmtId="0" fontId="5" fillId="0" borderId="51" xfId="0" applyFont="1" applyBorder="1"/>
    <xf numFmtId="0" fontId="5" fillId="0" borderId="52" xfId="0" applyFont="1" applyBorder="1"/>
    <xf numFmtId="0" fontId="5" fillId="0" borderId="53" xfId="0" applyFont="1" applyBorder="1"/>
    <xf numFmtId="0" fontId="5" fillId="0" borderId="54" xfId="0" applyFont="1" applyBorder="1"/>
    <xf numFmtId="0" fontId="11" fillId="0" borderId="38" xfId="0" applyFont="1" applyBorder="1"/>
    <xf numFmtId="0" fontId="11" fillId="0" borderId="41" xfId="0" applyFont="1" applyBorder="1"/>
    <xf numFmtId="0" fontId="11" fillId="0" borderId="35" xfId="0" applyFont="1" applyBorder="1" applyAlignment="1">
      <alignment horizontal="center" vertical="center"/>
    </xf>
    <xf numFmtId="0" fontId="11" fillId="0" borderId="39" xfId="0" applyFont="1" applyBorder="1"/>
    <xf numFmtId="0" fontId="11" fillId="0" borderId="46" xfId="0" applyFont="1" applyBorder="1"/>
    <xf numFmtId="0" fontId="11" fillId="0" borderId="46" xfId="0" applyFont="1" applyBorder="1" applyAlignment="1">
      <alignment horizontal="center"/>
    </xf>
    <xf numFmtId="0" fontId="11" fillId="0" borderId="47" xfId="0" applyFont="1" applyBorder="1"/>
    <xf numFmtId="0" fontId="2" fillId="0" borderId="0" xfId="0" applyFont="1"/>
    <xf numFmtId="0" fontId="11" fillId="0" borderId="23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25" xfId="0" applyFont="1" applyBorder="1"/>
    <xf numFmtId="0" fontId="11" fillId="0" borderId="36" xfId="0" applyFont="1" applyBorder="1"/>
    <xf numFmtId="0" fontId="11" fillId="0" borderId="29" xfId="0" applyFont="1" applyBorder="1"/>
    <xf numFmtId="0" fontId="11" fillId="0" borderId="30" xfId="0" applyFont="1" applyBorder="1"/>
    <xf numFmtId="49" fontId="15" fillId="0" borderId="0" xfId="0" applyNumberFormat="1" applyFont="1"/>
    <xf numFmtId="0" fontId="11" fillId="0" borderId="23" xfId="0" applyFont="1" applyBorder="1"/>
    <xf numFmtId="0" fontId="11" fillId="0" borderId="45" xfId="0" applyFont="1" applyBorder="1"/>
    <xf numFmtId="0" fontId="14" fillId="0" borderId="35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35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3" fontId="5" fillId="0" borderId="0" xfId="0" applyNumberFormat="1" applyFont="1"/>
    <xf numFmtId="0" fontId="11" fillId="0" borderId="0" xfId="0" quotePrefix="1" applyFont="1"/>
    <xf numFmtId="0" fontId="14" fillId="0" borderId="0" xfId="0" applyFont="1"/>
    <xf numFmtId="0" fontId="5" fillId="5" borderId="35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55" xfId="0" applyFont="1" applyBorder="1"/>
    <xf numFmtId="0" fontId="5" fillId="0" borderId="0" xfId="0" quotePrefix="1" applyFont="1" applyAlignment="1">
      <alignment horizontal="center"/>
    </xf>
    <xf numFmtId="0" fontId="29" fillId="0" borderId="0" xfId="0" applyFont="1"/>
    <xf numFmtId="0" fontId="33" fillId="0" borderId="0" xfId="0" applyFont="1"/>
    <xf numFmtId="0" fontId="33" fillId="0" borderId="0" xfId="0" applyFont="1" applyAlignment="1">
      <alignment horizontal="center"/>
    </xf>
    <xf numFmtId="20" fontId="33" fillId="0" borderId="0" xfId="0" quotePrefix="1" applyNumberFormat="1" applyFont="1"/>
    <xf numFmtId="0" fontId="33" fillId="0" borderId="0" xfId="0" quotePrefix="1" applyFont="1"/>
    <xf numFmtId="0" fontId="29" fillId="0" borderId="0" xfId="0" applyFont="1" applyAlignment="1">
      <alignment vertical="top"/>
    </xf>
    <xf numFmtId="0" fontId="29" fillId="0" borderId="0" xfId="0" applyFont="1" applyAlignment="1">
      <alignment wrapText="1"/>
    </xf>
    <xf numFmtId="0" fontId="29" fillId="0" borderId="35" xfId="0" applyFont="1" applyBorder="1"/>
    <xf numFmtId="0" fontId="5" fillId="0" borderId="56" xfId="0" applyFont="1" applyBorder="1"/>
    <xf numFmtId="0" fontId="29" fillId="0" borderId="0" xfId="0" applyFont="1" applyAlignment="1">
      <alignment horizontal="center"/>
    </xf>
    <xf numFmtId="0" fontId="29" fillId="0" borderId="0" xfId="0" quotePrefix="1" applyFont="1" applyAlignment="1">
      <alignment horizontal="center"/>
    </xf>
    <xf numFmtId="0" fontId="29" fillId="0" borderId="0" xfId="0" quotePrefix="1" applyFont="1"/>
    <xf numFmtId="0" fontId="0" fillId="0" borderId="0" xfId="0" applyFont="1" applyAlignment="1"/>
    <xf numFmtId="0" fontId="0" fillId="0" borderId="0" xfId="0" applyFont="1" applyAlignment="1"/>
    <xf numFmtId="0" fontId="5" fillId="0" borderId="0" xfId="0" applyFont="1"/>
    <xf numFmtId="0" fontId="5" fillId="0" borderId="57" xfId="0" applyFont="1" applyBorder="1"/>
    <xf numFmtId="0" fontId="5" fillId="0" borderId="58" xfId="0" applyFont="1" applyBorder="1"/>
    <xf numFmtId="0" fontId="11" fillId="0" borderId="58" xfId="0" applyFont="1" applyBorder="1"/>
    <xf numFmtId="0" fontId="5" fillId="0" borderId="62" xfId="0" applyFont="1" applyBorder="1"/>
    <xf numFmtId="0" fontId="11" fillId="0" borderId="63" xfId="0" applyFont="1" applyBorder="1"/>
    <xf numFmtId="0" fontId="11" fillId="0" borderId="12" xfId="0" applyFont="1" applyBorder="1"/>
    <xf numFmtId="0" fontId="11" fillId="0" borderId="12" xfId="0" applyFont="1" applyBorder="1" applyAlignment="1">
      <alignment horizontal="center"/>
    </xf>
    <xf numFmtId="0" fontId="11" fillId="0" borderId="64" xfId="0" applyFont="1" applyBorder="1"/>
    <xf numFmtId="0" fontId="2" fillId="0" borderId="6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6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1" fillId="0" borderId="12" xfId="0" applyFont="1" applyBorder="1" applyAlignment="1">
      <alignment horizontal="center" vertical="center"/>
    </xf>
    <xf numFmtId="0" fontId="2" fillId="0" borderId="65" xfId="0" applyFont="1" applyBorder="1"/>
    <xf numFmtId="0" fontId="11" fillId="0" borderId="66" xfId="0" applyFont="1" applyBorder="1"/>
    <xf numFmtId="0" fontId="5" fillId="0" borderId="12" xfId="0" applyFont="1" applyBorder="1"/>
    <xf numFmtId="0" fontId="11" fillId="0" borderId="67" xfId="0" applyFont="1" applyBorder="1"/>
    <xf numFmtId="0" fontId="11" fillId="0" borderId="68" xfId="0" applyFont="1" applyBorder="1"/>
    <xf numFmtId="0" fontId="2" fillId="0" borderId="63" xfId="0" applyFont="1" applyBorder="1"/>
    <xf numFmtId="0" fontId="11" fillId="0" borderId="12" xfId="0" applyFont="1" applyBorder="1" applyAlignment="1">
      <alignment horizontal="left"/>
    </xf>
    <xf numFmtId="0" fontId="11" fillId="0" borderId="69" xfId="0" applyFont="1" applyBorder="1"/>
    <xf numFmtId="0" fontId="11" fillId="0" borderId="70" xfId="0" applyFont="1" applyBorder="1"/>
    <xf numFmtId="0" fontId="11" fillId="0" borderId="71" xfId="0" applyFont="1" applyBorder="1"/>
    <xf numFmtId="0" fontId="5" fillId="0" borderId="63" xfId="0" applyFont="1" applyBorder="1"/>
    <xf numFmtId="0" fontId="14" fillId="0" borderId="12" xfId="0" applyFont="1" applyBorder="1" applyAlignment="1">
      <alignment horizontal="center"/>
    </xf>
    <xf numFmtId="0" fontId="5" fillId="0" borderId="64" xfId="0" applyFont="1" applyBorder="1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2" fillId="0" borderId="10" xfId="0" applyFont="1" applyBorder="1"/>
    <xf numFmtId="0" fontId="14" fillId="3" borderId="9" xfId="0" applyFont="1" applyFill="1" applyBorder="1" applyAlignment="1">
      <alignment horizontal="center"/>
    </xf>
    <xf numFmtId="0" fontId="12" fillId="0" borderId="12" xfId="0" applyFont="1" applyBorder="1"/>
    <xf numFmtId="0" fontId="7" fillId="3" borderId="9" xfId="0" applyFont="1" applyFill="1" applyBorder="1" applyAlignment="1">
      <alignment horizontal="center"/>
    </xf>
    <xf numFmtId="0" fontId="15" fillId="3" borderId="9" xfId="0" applyFont="1" applyFill="1" applyBorder="1" applyAlignment="1">
      <alignment horizontal="center"/>
    </xf>
    <xf numFmtId="164" fontId="7" fillId="2" borderId="9" xfId="0" applyNumberFormat="1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 vertical="center"/>
    </xf>
    <xf numFmtId="0" fontId="12" fillId="0" borderId="13" xfId="0" applyFont="1" applyBorder="1"/>
    <xf numFmtId="0" fontId="5" fillId="2" borderId="9" xfId="0" applyFont="1" applyFill="1" applyBorder="1" applyAlignment="1">
      <alignment horizontal="left"/>
    </xf>
    <xf numFmtId="0" fontId="18" fillId="2" borderId="9" xfId="0" applyFont="1" applyFill="1" applyBorder="1" applyAlignment="1">
      <alignment horizontal="left"/>
    </xf>
    <xf numFmtId="164" fontId="7" fillId="2" borderId="17" xfId="0" applyNumberFormat="1" applyFont="1" applyFill="1" applyBorder="1" applyAlignment="1">
      <alignment horizontal="center"/>
    </xf>
    <xf numFmtId="0" fontId="12" fillId="0" borderId="18" xfId="0" applyFont="1" applyBorder="1"/>
    <xf numFmtId="0" fontId="12" fillId="0" borderId="19" xfId="0" applyFont="1" applyBorder="1"/>
    <xf numFmtId="164" fontId="7" fillId="2" borderId="14" xfId="0" applyNumberFormat="1" applyFont="1" applyFill="1" applyBorder="1" applyAlignment="1">
      <alignment horizontal="center"/>
    </xf>
    <xf numFmtId="0" fontId="12" fillId="0" borderId="15" xfId="0" applyFont="1" applyBorder="1"/>
    <xf numFmtId="0" fontId="12" fillId="0" borderId="16" xfId="0" applyFont="1" applyBorder="1"/>
    <xf numFmtId="0" fontId="7" fillId="2" borderId="9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12" fillId="0" borderId="24" xfId="0" applyFont="1" applyBorder="1"/>
    <xf numFmtId="0" fontId="12" fillId="0" borderId="25" xfId="0" applyFont="1" applyBorder="1"/>
    <xf numFmtId="0" fontId="3" fillId="0" borderId="1" xfId="0" applyFont="1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0" borderId="32" xfId="0" applyFont="1" applyBorder="1" applyAlignment="1">
      <alignment horizontal="center"/>
    </xf>
    <xf numFmtId="0" fontId="12" fillId="0" borderId="33" xfId="0" applyFont="1" applyBorder="1"/>
    <xf numFmtId="0" fontId="12" fillId="0" borderId="34" xfId="0" applyFont="1" applyBorder="1"/>
    <xf numFmtId="0" fontId="5" fillId="0" borderId="0" xfId="0" applyFont="1"/>
    <xf numFmtId="0" fontId="12" fillId="0" borderId="42" xfId="0" applyFont="1" applyBorder="1"/>
    <xf numFmtId="0" fontId="5" fillId="0" borderId="36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12" fillId="0" borderId="27" xfId="0" applyFont="1" applyBorder="1"/>
    <xf numFmtId="0" fontId="12" fillId="0" borderId="28" xfId="0" applyFont="1" applyBorder="1"/>
    <xf numFmtId="49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/>
    <xf numFmtId="0" fontId="5" fillId="0" borderId="1" xfId="0" applyFont="1" applyBorder="1"/>
    <xf numFmtId="0" fontId="5" fillId="0" borderId="0" xfId="0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49" fontId="5" fillId="0" borderId="27" xfId="0" applyNumberFormat="1" applyFont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9" xfId="0" applyFont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" fillId="0" borderId="6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4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49" fontId="11" fillId="0" borderId="12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5" fillId="5" borderId="23" xfId="0" applyFont="1" applyFill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12" fillId="0" borderId="29" xfId="0" applyFont="1" applyBorder="1"/>
    <xf numFmtId="0" fontId="12" fillId="0" borderId="30" xfId="0" applyFont="1" applyBorder="1"/>
    <xf numFmtId="0" fontId="12" fillId="0" borderId="3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5" fillId="2" borderId="26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0" borderId="26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/>
    </xf>
    <xf numFmtId="0" fontId="5" fillId="0" borderId="1" xfId="0" quotePrefix="1" applyFont="1" applyBorder="1" applyAlignment="1">
      <alignment horizontal="left"/>
    </xf>
    <xf numFmtId="0" fontId="32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48" xfId="0" applyFont="1" applyBorder="1" applyAlignment="1">
      <alignment horizontal="center"/>
    </xf>
    <xf numFmtId="0" fontId="12" fillId="0" borderId="48" xfId="0" applyFont="1" applyBorder="1"/>
    <xf numFmtId="0" fontId="29" fillId="0" borderId="0" xfId="0" applyFont="1" applyAlignment="1">
      <alignment horizontal="center"/>
    </xf>
    <xf numFmtId="0" fontId="11" fillId="0" borderId="72" xfId="0" applyFont="1" applyBorder="1"/>
    <xf numFmtId="0" fontId="5" fillId="0" borderId="72" xfId="0" applyFont="1" applyBorder="1"/>
    <xf numFmtId="0" fontId="0" fillId="0" borderId="72" xfId="0" applyFont="1" applyBorder="1" applyAlignment="1"/>
    <xf numFmtId="49" fontId="5" fillId="0" borderId="72" xfId="0" applyNumberFormat="1" applyFont="1" applyBorder="1"/>
    <xf numFmtId="0" fontId="2" fillId="0" borderId="72" xfId="0" applyFont="1" applyBorder="1"/>
    <xf numFmtId="0" fontId="31" fillId="0" borderId="72" xfId="0" applyFont="1" applyBorder="1"/>
    <xf numFmtId="0" fontId="0" fillId="0" borderId="12" xfId="0" applyFont="1" applyBorder="1" applyAlignment="1"/>
    <xf numFmtId="0" fontId="5" fillId="0" borderId="72" xfId="0" applyNumberFormat="1" applyFont="1" applyBorder="1"/>
    <xf numFmtId="0" fontId="2" fillId="0" borderId="12" xfId="0" applyFont="1" applyBorder="1" applyAlignment="1"/>
    <xf numFmtId="0" fontId="2" fillId="0" borderId="73" xfId="0" applyFont="1" applyBorder="1"/>
    <xf numFmtId="0" fontId="11" fillId="0" borderId="73" xfId="0" applyFont="1" applyBorder="1"/>
    <xf numFmtId="0" fontId="0" fillId="0" borderId="74" xfId="0" applyFont="1" applyBorder="1" applyAlignment="1"/>
    <xf numFmtId="0" fontId="11" fillId="0" borderId="74" xfId="0" applyFont="1" applyBorder="1"/>
    <xf numFmtId="49" fontId="5" fillId="0" borderId="74" xfId="0" applyNumberFormat="1" applyFont="1" applyBorder="1"/>
    <xf numFmtId="0" fontId="5" fillId="0" borderId="75" xfId="0" applyFont="1" applyBorder="1"/>
    <xf numFmtId="0" fontId="5" fillId="0" borderId="76" xfId="0" applyFont="1" applyBorder="1"/>
    <xf numFmtId="49" fontId="5" fillId="0" borderId="77" xfId="0" applyNumberFormat="1" applyFont="1" applyBorder="1"/>
    <xf numFmtId="0" fontId="5" fillId="0" borderId="77" xfId="0" applyFont="1" applyBorder="1"/>
    <xf numFmtId="0" fontId="5" fillId="0" borderId="77" xfId="0" applyFont="1" applyBorder="1" applyAlignment="1">
      <alignment horizontal="left"/>
    </xf>
    <xf numFmtId="14" fontId="6" fillId="0" borderId="77" xfId="0" applyNumberFormat="1" applyFont="1" applyBorder="1"/>
    <xf numFmtId="14" fontId="5" fillId="0" borderId="77" xfId="0" applyNumberFormat="1" applyFont="1" applyBorder="1"/>
    <xf numFmtId="0" fontId="11" fillId="0" borderId="35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6.xml"/><Relationship Id="rId41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-19050</xdr:colOff>
      <xdr:row>31</xdr:row>
      <xdr:rowOff>0</xdr:rowOff>
    </xdr:from>
    <xdr:ext cx="38100" cy="0"/>
    <xdr:sp macro="" textlink="">
      <xdr:nvSpPr>
        <xdr:cNvPr id="3" name="Shape 3"/>
        <xdr:cNvSpPr/>
      </xdr:nvSpPr>
      <xdr:spPr>
        <a:xfrm>
          <a:off x="5346000" y="37800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152400</xdr:colOff>
      <xdr:row>2</xdr:row>
      <xdr:rowOff>-9525</xdr:rowOff>
    </xdr:from>
    <xdr:ext cx="5943600" cy="38100"/>
    <xdr:grpSp>
      <xdr:nvGrpSpPr>
        <xdr:cNvPr id="2" name="Shape 2"/>
        <xdr:cNvGrpSpPr/>
      </xdr:nvGrpSpPr>
      <xdr:grpSpPr>
        <a:xfrm>
          <a:off x="2374200" y="3780000"/>
          <a:ext cx="5943600" cy="0"/>
          <a:chOff x="2374200" y="3780000"/>
          <a:chExt cx="5943600" cy="0"/>
        </a:xfrm>
      </xdr:grpSpPr>
      <xdr:cxnSp macro="">
        <xdr:nvCxnSpPr>
          <xdr:cNvPr id="4" name="Shape 4"/>
          <xdr:cNvCxnSpPr/>
        </xdr:nvCxnSpPr>
        <xdr:spPr>
          <a:xfrm>
            <a:off x="2374200" y="3780000"/>
            <a:ext cx="5943600" cy="0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35</xdr:col>
      <xdr:colOff>-9525</xdr:colOff>
      <xdr:row>3</xdr:row>
      <xdr:rowOff>142875</xdr:rowOff>
    </xdr:from>
    <xdr:ext cx="38100" cy="4105275"/>
    <xdr:grpSp>
      <xdr:nvGrpSpPr>
        <xdr:cNvPr id="5" name="Shape 2"/>
        <xdr:cNvGrpSpPr/>
      </xdr:nvGrpSpPr>
      <xdr:grpSpPr>
        <a:xfrm>
          <a:off x="5346000" y="1727363"/>
          <a:ext cx="0" cy="4105275"/>
          <a:chOff x="5346000" y="1727363"/>
          <a:chExt cx="0" cy="4105275"/>
        </a:xfrm>
      </xdr:grpSpPr>
      <xdr:cxnSp macro="">
        <xdr:nvCxnSpPr>
          <xdr:cNvPr id="6" name="Shape 5"/>
          <xdr:cNvCxnSpPr/>
        </xdr:nvCxnSpPr>
        <xdr:spPr>
          <a:xfrm>
            <a:off x="5346000" y="1727363"/>
            <a:ext cx="0" cy="4105275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34</xdr:col>
      <xdr:colOff>57150</xdr:colOff>
      <xdr:row>4</xdr:row>
      <xdr:rowOff>-19050</xdr:rowOff>
    </xdr:from>
    <xdr:ext cx="295275" cy="38100"/>
    <xdr:grpSp>
      <xdr:nvGrpSpPr>
        <xdr:cNvPr id="7" name="Shape 2"/>
        <xdr:cNvGrpSpPr/>
      </xdr:nvGrpSpPr>
      <xdr:grpSpPr>
        <a:xfrm>
          <a:off x="5198363" y="3780000"/>
          <a:ext cx="295275" cy="0"/>
          <a:chOff x="5198363" y="3780000"/>
          <a:chExt cx="295275" cy="0"/>
        </a:xfrm>
      </xdr:grpSpPr>
      <xdr:cxnSp macro="">
        <xdr:nvCxnSpPr>
          <xdr:cNvPr id="8" name="Shape 6"/>
          <xdr:cNvCxnSpPr/>
        </xdr:nvCxnSpPr>
        <xdr:spPr>
          <a:xfrm rot="10800000">
            <a:off x="5198363" y="3780000"/>
            <a:ext cx="295275" cy="0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34</xdr:col>
      <xdr:colOff>76200</xdr:colOff>
      <xdr:row>24</xdr:row>
      <xdr:rowOff>-19050</xdr:rowOff>
    </xdr:from>
    <xdr:ext cx="276225" cy="38100"/>
    <xdr:grpSp>
      <xdr:nvGrpSpPr>
        <xdr:cNvPr id="9" name="Shape 2"/>
        <xdr:cNvGrpSpPr/>
      </xdr:nvGrpSpPr>
      <xdr:grpSpPr>
        <a:xfrm>
          <a:off x="5207888" y="3780000"/>
          <a:ext cx="276225" cy="0"/>
          <a:chOff x="5207888" y="3780000"/>
          <a:chExt cx="276225" cy="0"/>
        </a:xfrm>
      </xdr:grpSpPr>
      <xdr:cxnSp macro="">
        <xdr:nvCxnSpPr>
          <xdr:cNvPr id="10" name="Shape 7"/>
          <xdr:cNvCxnSpPr/>
        </xdr:nvCxnSpPr>
        <xdr:spPr>
          <a:xfrm rot="10800000">
            <a:off x="5207888" y="3780000"/>
            <a:ext cx="276225" cy="0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</xdr:col>
      <xdr:colOff>-9525</xdr:colOff>
      <xdr:row>1</xdr:row>
      <xdr:rowOff>114300</xdr:rowOff>
    </xdr:from>
    <xdr:ext cx="38100" cy="152400"/>
    <xdr:grpSp>
      <xdr:nvGrpSpPr>
        <xdr:cNvPr id="11" name="Shape 2"/>
        <xdr:cNvGrpSpPr/>
      </xdr:nvGrpSpPr>
      <xdr:grpSpPr>
        <a:xfrm>
          <a:off x="5346000" y="3703800"/>
          <a:ext cx="0" cy="152400"/>
          <a:chOff x="5346000" y="3703800"/>
          <a:chExt cx="0" cy="152400"/>
        </a:xfrm>
      </xdr:grpSpPr>
      <xdr:cxnSp macro="">
        <xdr:nvCxnSpPr>
          <xdr:cNvPr id="12" name="Shape 8"/>
          <xdr:cNvCxnSpPr/>
        </xdr:nvCxnSpPr>
        <xdr:spPr>
          <a:xfrm>
            <a:off x="5346000" y="3703800"/>
            <a:ext cx="0" cy="152400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33</xdr:col>
      <xdr:colOff>-19050</xdr:colOff>
      <xdr:row>1</xdr:row>
      <xdr:rowOff>123825</xdr:rowOff>
    </xdr:from>
    <xdr:ext cx="38100" cy="152400"/>
    <xdr:grpSp>
      <xdr:nvGrpSpPr>
        <xdr:cNvPr id="13" name="Shape 2"/>
        <xdr:cNvGrpSpPr/>
      </xdr:nvGrpSpPr>
      <xdr:grpSpPr>
        <a:xfrm>
          <a:off x="5346000" y="3703800"/>
          <a:ext cx="0" cy="152400"/>
          <a:chOff x="5346000" y="3703800"/>
          <a:chExt cx="0" cy="152400"/>
        </a:xfrm>
      </xdr:grpSpPr>
      <xdr:cxnSp macro="">
        <xdr:nvCxnSpPr>
          <xdr:cNvPr id="14" name="Shape 8"/>
          <xdr:cNvCxnSpPr/>
        </xdr:nvCxnSpPr>
        <xdr:spPr>
          <a:xfrm>
            <a:off x="5346000" y="3703800"/>
            <a:ext cx="0" cy="152400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37</xdr:col>
      <xdr:colOff>-19050</xdr:colOff>
      <xdr:row>7</xdr:row>
      <xdr:rowOff>0</xdr:rowOff>
    </xdr:from>
    <xdr:ext cx="38100" cy="9525"/>
    <xdr:grpSp>
      <xdr:nvGrpSpPr>
        <xdr:cNvPr id="15" name="Shape 2"/>
        <xdr:cNvGrpSpPr/>
      </xdr:nvGrpSpPr>
      <xdr:grpSpPr>
        <a:xfrm>
          <a:off x="5346000" y="3775238"/>
          <a:ext cx="0" cy="9525"/>
          <a:chOff x="5346000" y="3775238"/>
          <a:chExt cx="0" cy="9525"/>
        </a:xfrm>
      </xdr:grpSpPr>
      <xdr:cxnSp macro="">
        <xdr:nvCxnSpPr>
          <xdr:cNvPr id="16" name="Shape 9"/>
          <xdr:cNvCxnSpPr/>
        </xdr:nvCxnSpPr>
        <xdr:spPr>
          <a:xfrm rot="10800000">
            <a:off x="5346000" y="3775238"/>
            <a:ext cx="0" cy="9525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4</xdr:col>
      <xdr:colOff>9525</xdr:colOff>
      <xdr:row>9</xdr:row>
      <xdr:rowOff>0</xdr:rowOff>
    </xdr:from>
    <xdr:ext cx="5848350" cy="38100"/>
    <xdr:grpSp>
      <xdr:nvGrpSpPr>
        <xdr:cNvPr id="17" name="Shape 2"/>
        <xdr:cNvGrpSpPr/>
      </xdr:nvGrpSpPr>
      <xdr:grpSpPr>
        <a:xfrm>
          <a:off x="2421825" y="3780000"/>
          <a:ext cx="5848350" cy="0"/>
          <a:chOff x="2421825" y="3780000"/>
          <a:chExt cx="5848350" cy="0"/>
        </a:xfrm>
      </xdr:grpSpPr>
      <xdr:cxnSp macro="">
        <xdr:nvCxnSpPr>
          <xdr:cNvPr id="18" name="Shape 10"/>
          <xdr:cNvCxnSpPr/>
        </xdr:nvCxnSpPr>
        <xdr:spPr>
          <a:xfrm>
            <a:off x="2421825" y="3780000"/>
            <a:ext cx="5848350" cy="0"/>
          </a:xfrm>
          <a:prstGeom prst="straightConnector1">
            <a:avLst/>
          </a:prstGeom>
          <a:noFill/>
          <a:ln w="2857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18</xdr:col>
      <xdr:colOff>19050</xdr:colOff>
      <xdr:row>31</xdr:row>
      <xdr:rowOff>0</xdr:rowOff>
    </xdr:from>
    <xdr:ext cx="38100" cy="0"/>
    <xdr:grpSp>
      <xdr:nvGrpSpPr>
        <xdr:cNvPr id="19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 macro="">
        <xdr:nvCxnSpPr>
          <xdr:cNvPr id="20" name="Shape 11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37</xdr:col>
      <xdr:colOff>-19050</xdr:colOff>
      <xdr:row>31</xdr:row>
      <xdr:rowOff>0</xdr:rowOff>
    </xdr:from>
    <xdr:ext cx="38100" cy="0"/>
    <xdr:sp macro="" textlink="">
      <xdr:nvSpPr>
        <xdr:cNvPr id="21" name="Shape 12" descr="Sphere"/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21600" h="21600" extrusionOk="0">
              <a:moveTo>
                <a:pt x="0" y="0"/>
              </a:moveTo>
              <a:lnTo>
                <a:pt x="0" y="0"/>
              </a:lnTo>
              <a:lnTo>
                <a:pt x="0" y="0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blipFill rotWithShape="1">
          <a:blip xmlns:r="http://schemas.openxmlformats.org/officeDocument/2006/relationships" r:embed="rId1">
            <a:alphaModFix/>
          </a:blip>
          <a:tile tx="0" ty="0" sx="100000" sy="100000" flip="none" algn="tl"/>
        </a:blip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</xdr:sp>
    <xdr:clientData fLocksWithSheet="0"/>
  </xdr:oneCellAnchor>
  <xdr:oneCellAnchor>
    <xdr:from>
      <xdr:col>3</xdr:col>
      <xdr:colOff>152400</xdr:colOff>
      <xdr:row>4</xdr:row>
      <xdr:rowOff>0</xdr:rowOff>
    </xdr:from>
    <xdr:ext cx="5895975" cy="4086225"/>
    <xdr:sp macro="" textlink="">
      <xdr:nvSpPr>
        <xdr:cNvPr id="22" name="Shape 13"/>
        <xdr:cNvSpPr/>
      </xdr:nvSpPr>
      <xdr:spPr>
        <a:xfrm>
          <a:off x="2398013" y="1736888"/>
          <a:ext cx="5895975" cy="4086225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36</xdr:col>
      <xdr:colOff>-19050</xdr:colOff>
      <xdr:row>26</xdr:row>
      <xdr:rowOff>0</xdr:rowOff>
    </xdr:from>
    <xdr:ext cx="38100" cy="0"/>
    <xdr:sp macro="" textlink="">
      <xdr:nvSpPr>
        <xdr:cNvPr id="23" name="Shape 3"/>
        <xdr:cNvSpPr/>
      </xdr:nvSpPr>
      <xdr:spPr>
        <a:xfrm>
          <a:off x="5346000" y="3780000"/>
          <a:ext cx="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19050</xdr:colOff>
      <xdr:row>26</xdr:row>
      <xdr:rowOff>0</xdr:rowOff>
    </xdr:from>
    <xdr:ext cx="38100" cy="0"/>
    <xdr:grpSp>
      <xdr:nvGrpSpPr>
        <xdr:cNvPr id="24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 macro="">
        <xdr:nvCxnSpPr>
          <xdr:cNvPr id="25" name="Shape 11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36</xdr:col>
      <xdr:colOff>-19050</xdr:colOff>
      <xdr:row>26</xdr:row>
      <xdr:rowOff>0</xdr:rowOff>
    </xdr:from>
    <xdr:ext cx="38100" cy="0"/>
    <xdr:sp macro="" textlink="">
      <xdr:nvSpPr>
        <xdr:cNvPr id="26" name="Shape 12" descr="Sphere"/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21600" h="21600" extrusionOk="0">
              <a:moveTo>
                <a:pt x="0" y="0"/>
              </a:moveTo>
              <a:lnTo>
                <a:pt x="0" y="0"/>
              </a:lnTo>
              <a:lnTo>
                <a:pt x="0" y="0"/>
              </a:lnTo>
              <a:lnTo>
                <a:pt x="0" y="0"/>
              </a:lnTo>
              <a:lnTo>
                <a:pt x="0" y="0"/>
              </a:lnTo>
              <a:close/>
            </a:path>
          </a:pathLst>
        </a:custGeom>
        <a:blipFill rotWithShape="1">
          <a:blip xmlns:r="http://schemas.openxmlformats.org/officeDocument/2006/relationships" r:embed="rId1">
            <a:alphaModFix/>
          </a:blip>
          <a:tile tx="0" ty="0" sx="100000" sy="100000" flip="none" algn="tl"/>
        </a:blip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</xdr:sp>
    <xdr:clientData fLocksWithSheet="0"/>
  </xdr:oneCellAnchor>
  <xdr:oneCellAnchor>
    <xdr:from>
      <xdr:col>18</xdr:col>
      <xdr:colOff>19050</xdr:colOff>
      <xdr:row>29</xdr:row>
      <xdr:rowOff>0</xdr:rowOff>
    </xdr:from>
    <xdr:ext cx="38100" cy="0"/>
    <xdr:grpSp>
      <xdr:nvGrpSpPr>
        <xdr:cNvPr id="27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 macro="">
        <xdr:nvCxnSpPr>
          <xdr:cNvPr id="28" name="Shape 11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18</xdr:col>
      <xdr:colOff>19050</xdr:colOff>
      <xdr:row>29</xdr:row>
      <xdr:rowOff>0</xdr:rowOff>
    </xdr:from>
    <xdr:ext cx="38100" cy="0"/>
    <xdr:grpSp>
      <xdr:nvGrpSpPr>
        <xdr:cNvPr id="29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 macro="">
        <xdr:nvCxnSpPr>
          <xdr:cNvPr id="30" name="Shape 11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18</xdr:col>
      <xdr:colOff>19050</xdr:colOff>
      <xdr:row>31</xdr:row>
      <xdr:rowOff>0</xdr:rowOff>
    </xdr:from>
    <xdr:ext cx="38100" cy="0"/>
    <xdr:grpSp>
      <xdr:nvGrpSpPr>
        <xdr:cNvPr id="31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 macro="">
        <xdr:nvCxnSpPr>
          <xdr:cNvPr id="32" name="Shape 11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18</xdr:col>
      <xdr:colOff>19050</xdr:colOff>
      <xdr:row>29</xdr:row>
      <xdr:rowOff>0</xdr:rowOff>
    </xdr:from>
    <xdr:ext cx="38100" cy="0"/>
    <xdr:grpSp>
      <xdr:nvGrpSpPr>
        <xdr:cNvPr id="33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 macro="">
        <xdr:nvCxnSpPr>
          <xdr:cNvPr id="34" name="Shape 11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18</xdr:col>
      <xdr:colOff>19050</xdr:colOff>
      <xdr:row>29</xdr:row>
      <xdr:rowOff>0</xdr:rowOff>
    </xdr:from>
    <xdr:ext cx="38100" cy="0"/>
    <xdr:grpSp>
      <xdr:nvGrpSpPr>
        <xdr:cNvPr id="35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 macro="">
        <xdr:nvCxnSpPr>
          <xdr:cNvPr id="36" name="Shape 11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8</xdr:col>
      <xdr:colOff>0</xdr:colOff>
      <xdr:row>24</xdr:row>
      <xdr:rowOff>9525</xdr:rowOff>
    </xdr:from>
    <xdr:ext cx="200025" cy="3743325"/>
    <xdr:sp macro="" textlink="">
      <xdr:nvSpPr>
        <xdr:cNvPr id="37" name="Shape 14"/>
        <xdr:cNvSpPr/>
      </xdr:nvSpPr>
      <xdr:spPr>
        <a:xfrm>
          <a:off x="5245988" y="1913100"/>
          <a:ext cx="200025" cy="3733800"/>
        </a:xfrm>
        <a:prstGeom prst="rect">
          <a:avLst/>
        </a:prstGeom>
        <a:gradFill>
          <a:gsLst>
            <a:gs pos="0">
              <a:srgbClr val="BABABA"/>
            </a:gs>
            <a:gs pos="35000">
              <a:srgbClr val="CFCFCF"/>
            </a:gs>
            <a:gs pos="100000">
              <a:srgbClr val="EDEDED"/>
            </a:gs>
          </a:gsLst>
          <a:lin ang="16200000" scaled="0"/>
        </a:gra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142875</xdr:colOff>
      <xdr:row>6</xdr:row>
      <xdr:rowOff>19050</xdr:rowOff>
    </xdr:from>
    <xdr:ext cx="66675" cy="7620000"/>
    <xdr:grpSp>
      <xdr:nvGrpSpPr>
        <xdr:cNvPr id="38" name="Shape 2"/>
        <xdr:cNvGrpSpPr/>
      </xdr:nvGrpSpPr>
      <xdr:grpSpPr>
        <a:xfrm>
          <a:off x="5317425" y="0"/>
          <a:ext cx="57150" cy="7560000"/>
          <a:chOff x="5317425" y="0"/>
          <a:chExt cx="57150" cy="7560000"/>
        </a:xfrm>
      </xdr:grpSpPr>
      <xdr:cxnSp macro="">
        <xdr:nvCxnSpPr>
          <xdr:cNvPr id="39" name="Shape 15"/>
          <xdr:cNvCxnSpPr/>
        </xdr:nvCxnSpPr>
        <xdr:spPr>
          <a:xfrm rot="10800000" flipH="1">
            <a:off x="5317425" y="0"/>
            <a:ext cx="57150" cy="75600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114300</xdr:colOff>
      <xdr:row>43</xdr:row>
      <xdr:rowOff>85725</xdr:rowOff>
    </xdr:from>
    <xdr:ext cx="895350" cy="838200"/>
    <xdr:sp macro="" textlink="">
      <xdr:nvSpPr>
        <xdr:cNvPr id="40" name="Shape 16"/>
        <xdr:cNvSpPr/>
      </xdr:nvSpPr>
      <xdr:spPr>
        <a:xfrm>
          <a:off x="4912613" y="3370425"/>
          <a:ext cx="866775" cy="819150"/>
        </a:xfrm>
        <a:prstGeom prst="trapezoid">
          <a:avLst>
            <a:gd name="adj" fmla="val 25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85725</xdr:colOff>
      <xdr:row>45</xdr:row>
      <xdr:rowOff>47625</xdr:rowOff>
    </xdr:from>
    <xdr:ext cx="6048375" cy="38100"/>
    <xdr:grpSp>
      <xdr:nvGrpSpPr>
        <xdr:cNvPr id="41" name="Shape 2"/>
        <xdr:cNvGrpSpPr/>
      </xdr:nvGrpSpPr>
      <xdr:grpSpPr>
        <a:xfrm>
          <a:off x="2321813" y="3770475"/>
          <a:ext cx="6048375" cy="19050"/>
          <a:chOff x="2321813" y="3770475"/>
          <a:chExt cx="6048375" cy="19050"/>
        </a:xfrm>
      </xdr:grpSpPr>
      <xdr:cxnSp macro="">
        <xdr:nvCxnSpPr>
          <xdr:cNvPr id="42" name="Shape 17"/>
          <xdr:cNvCxnSpPr/>
        </xdr:nvCxnSpPr>
        <xdr:spPr>
          <a:xfrm>
            <a:off x="2321813" y="3770475"/>
            <a:ext cx="6048375" cy="19050"/>
          </a:xfrm>
          <a:prstGeom prst="straightConnector1">
            <a:avLst/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28</xdr:col>
      <xdr:colOff>38100</xdr:colOff>
      <xdr:row>24</xdr:row>
      <xdr:rowOff>0</xdr:rowOff>
    </xdr:from>
    <xdr:ext cx="200025" cy="3743325"/>
    <xdr:sp macro="" textlink="">
      <xdr:nvSpPr>
        <xdr:cNvPr id="43" name="Shape 14"/>
        <xdr:cNvSpPr/>
      </xdr:nvSpPr>
      <xdr:spPr>
        <a:xfrm>
          <a:off x="5245988" y="1913100"/>
          <a:ext cx="200025" cy="3733800"/>
        </a:xfrm>
        <a:prstGeom prst="rect">
          <a:avLst/>
        </a:prstGeom>
        <a:gradFill>
          <a:gsLst>
            <a:gs pos="0">
              <a:srgbClr val="BABABA"/>
            </a:gs>
            <a:gs pos="35000">
              <a:srgbClr val="CFCFCF"/>
            </a:gs>
            <a:gs pos="100000">
              <a:srgbClr val="EDEDED"/>
            </a:gs>
          </a:gsLst>
          <a:lin ang="16200000" scaled="0"/>
        </a:gra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43</xdr:row>
      <xdr:rowOff>66675</xdr:rowOff>
    </xdr:from>
    <xdr:ext cx="685800" cy="838200"/>
    <xdr:sp macro="" textlink="">
      <xdr:nvSpPr>
        <xdr:cNvPr id="44" name="Shape 18"/>
        <xdr:cNvSpPr/>
      </xdr:nvSpPr>
      <xdr:spPr>
        <a:xfrm>
          <a:off x="5012625" y="3370425"/>
          <a:ext cx="666750" cy="819150"/>
        </a:xfrm>
        <a:prstGeom prst="trapezoid">
          <a:avLst>
            <a:gd name="adj" fmla="val 25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95250</xdr:colOff>
      <xdr:row>4</xdr:row>
      <xdr:rowOff>152400</xdr:rowOff>
    </xdr:from>
    <xdr:ext cx="561975" cy="666750"/>
    <xdr:pic>
      <xdr:nvPicPr>
        <xdr:cNvPr id="45" name="image1.png" descr="Logo PML Warna1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0</xdr:row>
      <xdr:rowOff>104775</xdr:rowOff>
    </xdr:from>
    <xdr:ext cx="733425" cy="209550"/>
    <xdr:sp macro="" textlink="">
      <xdr:nvSpPr>
        <xdr:cNvPr id="19" name="Shape 19"/>
        <xdr:cNvSpPr txBox="1"/>
      </xdr:nvSpPr>
      <xdr:spPr>
        <a:xfrm>
          <a:off x="4979288" y="3679988"/>
          <a:ext cx="733425" cy="200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r>
            <a:rPr lang="en-US" sz="900" b="0" i="0" u="sng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Form.3</a:t>
          </a:r>
          <a:endParaRPr sz="900" b="0" i="0" u="sng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209550</xdr:colOff>
      <xdr:row>0</xdr:row>
      <xdr:rowOff>19050</xdr:rowOff>
    </xdr:from>
    <xdr:ext cx="742950" cy="100965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285750</xdr:colOff>
      <xdr:row>1</xdr:row>
      <xdr:rowOff>123825</xdr:rowOff>
    </xdr:from>
    <xdr:ext cx="1295400" cy="1143000"/>
    <xdr:pic>
      <xdr:nvPicPr>
        <xdr:cNvPr id="2" name="image5.png" descr="PML_L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2KP\Infrastruktur%202011\RAB%20MUSRENBANK\Tambakrejo-Jalan%20ASp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un\Desktop\BINA%20MARGA\KEGIATAN%202007\RAB%20PROPOSAL%20200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un\Desktop\BINA%20MARGA\KEGIATAN%202007\ANALYSA%20BOW%20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NPM-MD\kEC%20UluJAMi\DaTA%20DeSa\hARGA%20sATU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umpulan%20Analis\ANALYSA%20TAHUN%202007%20ANL%20K-PU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AskoroAji\Tahun%202009\DPU\RAB%20B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NPM-MD\KeC%20wARunGPriNG\DaTa%20pnpm%20mD\reNC%20aNggRAN%20bIayAAA\PAKET%20PEMELIHARAAN%20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NALIS\ANALYSA%20TAHUN%202007%20ANL%20K-PU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ibadi\Master%20ANALYSA%20DPU%20TAHUN%20200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un\Desktop\BINA%20MARGA\KEGIATAN%202007\DATA%20FLASH%20DISK\analisa%20BM\ANALISA%20BINA%20MARGA%20UNTUK%20KAB.PM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un\Desktop\BINA%20MARGA\KEGIATAN%202007\DATA%20FLASH%20DISK\analisa%20BM\WIRADESA-KJ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odeh%20desain%20&amp;%20rab%20dadi%2009\hARGA%20sATUa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AB%20PNPM%20INTEGRASI%20th%20%202013%20oke%20revisi\11.%20LAWANGREJO%20PML%20TELFORD%20&amp;%20JBT%20TH%202013-periks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L_EXCAVATOR"/>
      <sheetName val="ANL_EXCAVATOR DPU"/>
      <sheetName val="E_001"/>
      <sheetName val="E_010"/>
      <sheetName val="E_031"/>
      <sheetName val="E_040"/>
      <sheetName val="E_052"/>
      <sheetName val="E_080"/>
      <sheetName val="E_081"/>
      <sheetName val="E_084"/>
      <sheetName val="E_087"/>
      <sheetName val="E_089"/>
      <sheetName val="E_153"/>
      <sheetName val="E_155"/>
      <sheetName val="E_157"/>
      <sheetName val="E_182"/>
      <sheetName val="E_211"/>
      <sheetName val="E_212"/>
      <sheetName val="E_221"/>
      <sheetName val="E_252"/>
      <sheetName val="E_301"/>
      <sheetName val="E_311"/>
      <sheetName val="E_341"/>
      <sheetName val="_E_K_"/>
      <sheetName val="K_011"/>
      <sheetName val="K_013"/>
      <sheetName val="K_016"/>
      <sheetName val="K_026"/>
      <sheetName val="K_035"/>
      <sheetName val="K_040"/>
      <sheetName val="K_110"/>
      <sheetName val="K_111"/>
      <sheetName val="K_224"/>
      <sheetName val="K_310"/>
      <sheetName val="K_320"/>
      <sheetName val="K_410"/>
      <sheetName val="K_420"/>
      <sheetName val="K_511"/>
      <sheetName val="K_513"/>
      <sheetName val="K_515"/>
      <sheetName val="K_516A"/>
      <sheetName val="K_523"/>
      <sheetName val="K_616"/>
      <sheetName val="K_618"/>
      <sheetName val="K_618A"/>
      <sheetName val="K_618B"/>
      <sheetName val="K_636"/>
      <sheetName val="K_636A"/>
      <sheetName val="K_640"/>
      <sheetName val="K_641"/>
      <sheetName val="K_641 4 cm K.040"/>
      <sheetName val="K_641A"/>
      <sheetName val="K_642"/>
      <sheetName val="K_642 4 cm K.026"/>
      <sheetName val="K_642A"/>
      <sheetName val="K_710"/>
      <sheetName val="K_715"/>
      <sheetName val="K_720"/>
      <sheetName val="K_722"/>
      <sheetName val="K_723"/>
      <sheetName val="K_725"/>
      <sheetName val="K_726"/>
      <sheetName val="K_727"/>
      <sheetName val="K_810"/>
      <sheetName val="K_815"/>
      <sheetName val="_K_R_"/>
      <sheetName val="ALAT"/>
      <sheetName val="D6"/>
      <sheetName val="D8"/>
      <sheetName val="ALAT BANTU"/>
      <sheetName val="DATA UMUM"/>
      <sheetName val="K_617"/>
      <sheetName val="K_516"/>
      <sheetName val="K_615"/>
      <sheetName val="K_639A"/>
      <sheetName val="K_024A"/>
      <sheetName val="K_017"/>
      <sheetName val="TS "/>
      <sheetName val="Uz Tmbrj"/>
      <sheetName val="RAB Tmbkrj "/>
      <sheetName val="RAB Lowa"/>
      <sheetName val="Uz Lowa"/>
      <sheetName val="Uz Kebojongan"/>
      <sheetName val="RAB Kebojongan"/>
      <sheetName val="Uz Sarwdd"/>
      <sheetName val="RAB Srwdd"/>
      <sheetName val="BAHAN_UPAH"/>
      <sheetName val="SEWA_ALAT"/>
      <sheetName val="SAT_PEKERJAAN"/>
      <sheetName val="DAFTAR ANALY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L_EXCAVATOR"/>
      <sheetName val="ANL_EXCAVATOR DPU"/>
      <sheetName val="E_001"/>
      <sheetName val="E_010"/>
      <sheetName val="E_031"/>
      <sheetName val="E_040"/>
      <sheetName val="E_052"/>
      <sheetName val="E_080"/>
      <sheetName val="E_081"/>
      <sheetName val="E_084"/>
      <sheetName val="E_087"/>
      <sheetName val="E_089"/>
      <sheetName val="E_153"/>
      <sheetName val="E_155"/>
      <sheetName val="E_157"/>
      <sheetName val="E_182"/>
      <sheetName val="E_211"/>
      <sheetName val="E_212"/>
      <sheetName val="E_221"/>
      <sheetName val="E_252"/>
      <sheetName val="E_301"/>
      <sheetName val="E_341"/>
      <sheetName val="_E_K_"/>
      <sheetName val="K_013"/>
      <sheetName val="K_016"/>
      <sheetName val="K_017"/>
      <sheetName val="K_024A"/>
      <sheetName val="K_024A REV 2005"/>
      <sheetName val="K_026"/>
      <sheetName val="K_035"/>
      <sheetName val="K_040"/>
      <sheetName val="K_110"/>
      <sheetName val="K_111"/>
      <sheetName val="K_224"/>
      <sheetName val="K_310"/>
      <sheetName val="K_320"/>
      <sheetName val="K_410"/>
      <sheetName val="K_420"/>
      <sheetName val="K_511"/>
      <sheetName val="K_513"/>
      <sheetName val="K_515"/>
      <sheetName val="K_516"/>
      <sheetName val="K_523"/>
      <sheetName val="K_615"/>
      <sheetName val="K_615A"/>
      <sheetName val="K_616"/>
      <sheetName val="K_617"/>
      <sheetName val="K_618"/>
      <sheetName val="K_618A"/>
      <sheetName val="K_618B"/>
      <sheetName val="K_636"/>
      <sheetName val="K_636A"/>
      <sheetName val="K_639A"/>
      <sheetName val="K_639A REV07"/>
      <sheetName val="K_639A REV 2005"/>
      <sheetName val="K_640"/>
      <sheetName val="K_641A"/>
      <sheetName val="K_641A K_040"/>
      <sheetName val="K_641 5 cm"/>
      <sheetName val="K_641 5 K_040"/>
      <sheetName val="K_641 4 cm"/>
      <sheetName val="K_641 4 cm K_040"/>
      <sheetName val="K_710"/>
      <sheetName val="K_715"/>
      <sheetName val="K_720"/>
      <sheetName val="K_722"/>
      <sheetName val="K_723"/>
      <sheetName val="K_725"/>
      <sheetName val="K_726"/>
      <sheetName val="K_727"/>
      <sheetName val="K_810"/>
      <sheetName val="K_815"/>
      <sheetName val="_K_R_"/>
      <sheetName val="R_017"/>
      <sheetName val="ALAT"/>
      <sheetName val="D6"/>
      <sheetName val="D8"/>
      <sheetName val="ALAT BANTU"/>
      <sheetName val="DATA UMUM"/>
      <sheetName val="BAHAN_UPAH"/>
      <sheetName val="SEWA_ALAT"/>
      <sheetName val="SAT_PEKERJAAN"/>
      <sheetName val="DAFTAR ANALYSA"/>
      <sheetName val="LUMPSUM"/>
      <sheetName val="TEMBUS TPI ok"/>
      <sheetName val="TEMBUS TPI ok Dokumen"/>
      <sheetName val="TEMBUS TPI GRNG2"/>
      <sheetName val="BJNGBTAT_PADURKSA ok"/>
      <sheetName val="BJNGBTAT_PADURKSA ok _2_"/>
      <sheetName val="MENUR ok"/>
      <sheetName val="MENUR ok Dokumen"/>
      <sheetName val="SULAWESI"/>
      <sheetName val="SULAWESI Dokumen"/>
      <sheetName val="YOS SUDARSO _ TERI"/>
      <sheetName val="KOTA COMAL"/>
      <sheetName val="KOTA COMAL _Dokumen_"/>
      <sheetName val="LING KOTA COMAL"/>
      <sheetName val="LING KOTA COMAL _Dokumen_"/>
      <sheetName val="TERMINAL COMAL"/>
      <sheetName val="TERMINAL COMAL _Dokumen_"/>
      <sheetName val="AMBOKULON_BLENDUNG"/>
      <sheetName val="AMBOKULON_BLENDUNG _Dokumen_"/>
      <sheetName val="COMAL _  BODEH"/>
      <sheetName val="COMAL _  BODEH _Dokumen_"/>
      <sheetName val="TEGALMLATI _ LONING"/>
      <sheetName val="TEGALMLATI _ LONING _Dokumen_"/>
      <sheetName val="WIDODAREN _ KARANG ASEM"/>
      <sheetName val="WIDODAREN _ KARANG ASEM _Dokum_"/>
      <sheetName val="PESUCEN _ SIDOKARE"/>
      <sheetName val="PESUCEN _ SIDOKARE _Dokumen_"/>
      <sheetName val="WARUNGPRING_TEGALHARJA"/>
      <sheetName val="WARUNGPRING_TEGALHARJA _Dokume_"/>
      <sheetName val="XTRNG_RDD"/>
      <sheetName val="XTRNG_RDD _Dokumen_"/>
      <sheetName val="KRNGTNGH_PAKEMBARAN"/>
      <sheetName val="KRNGTNGH_PAKEMBARAN _Dokumen_"/>
      <sheetName val="SIKASUR_XPAKU"/>
      <sheetName val="SIKASUR_XPAKU _Dokumen _"/>
      <sheetName val="TEMBUS TERMINAL RDD"/>
      <sheetName val="TEMBUS TERMINAL RDD _2_"/>
      <sheetName val="K_ ANYER"/>
      <sheetName val="SULAWESI _2_"/>
      <sheetName val="YOS SUDARSO"/>
      <sheetName val="YOS SUDARSO _Alternatip_"/>
      <sheetName val="YOS SUDARSO _Alternatip_ _Doku_"/>
      <sheetName val="K_ ANYER _2_"/>
      <sheetName val="REKAP PAKET 3"/>
      <sheetName val="REKAP PAKET 4"/>
      <sheetName val="REKAP PAKET 5 "/>
      <sheetName val="REKAP PAKET 5 DOKUMEN"/>
      <sheetName val="REKAP PAKET 7"/>
      <sheetName val="REKAP PAKET 7 _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_641A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gA SaT"/>
      <sheetName val="Sheet1"/>
      <sheetName val="Sheet2"/>
      <sheetName val="Sheet3"/>
      <sheetName val="GR Plat"/>
      <sheetName val="Telford"/>
      <sheetName val="Talud"/>
      <sheetName val="Irigasi (2)"/>
      <sheetName val="DENAH GEDUNG"/>
      <sheetName val="Chart1"/>
      <sheetName val="Rekap Total"/>
      <sheetName val="Beton Deuker"/>
      <sheetName val="irigasi"/>
      <sheetName val="RAB"/>
      <sheetName val="RekapRAB"/>
      <sheetName val="Aspal jalan"/>
      <sheetName val="AN TELFORD"/>
      <sheetName val="Ged Kemuning"/>
      <sheetName val="GBR JALAN TELFORD"/>
    </sheetNames>
    <sheetDataSet>
      <sheetData sheetId="0" refreshError="1">
        <row r="3">
          <cell r="C3">
            <v>53000</v>
          </cell>
        </row>
        <row r="4">
          <cell r="C4">
            <v>100000</v>
          </cell>
        </row>
        <row r="5">
          <cell r="C5">
            <v>100000</v>
          </cell>
        </row>
        <row r="6">
          <cell r="C6">
            <v>7000</v>
          </cell>
        </row>
        <row r="7">
          <cell r="C7">
            <v>125000</v>
          </cell>
        </row>
        <row r="8">
          <cell r="C8">
            <v>75000</v>
          </cell>
        </row>
        <row r="9">
          <cell r="C9">
            <v>17500</v>
          </cell>
        </row>
        <row r="10">
          <cell r="C10">
            <v>125000</v>
          </cell>
        </row>
        <row r="11">
          <cell r="C11">
            <v>65000</v>
          </cell>
        </row>
        <row r="12">
          <cell r="C12">
            <v>18000</v>
          </cell>
        </row>
        <row r="13">
          <cell r="C13">
            <v>16000</v>
          </cell>
        </row>
        <row r="14">
          <cell r="C14">
            <v>48000</v>
          </cell>
        </row>
        <row r="15">
          <cell r="C15">
            <v>30000</v>
          </cell>
        </row>
        <row r="16">
          <cell r="C16">
            <v>250000</v>
          </cell>
        </row>
        <row r="18">
          <cell r="C18">
            <v>450</v>
          </cell>
        </row>
        <row r="19">
          <cell r="C19">
            <v>17000</v>
          </cell>
        </row>
        <row r="24">
          <cell r="C24">
            <v>6000</v>
          </cell>
        </row>
        <row r="25">
          <cell r="C25">
            <v>5000</v>
          </cell>
        </row>
        <row r="26">
          <cell r="C26">
            <v>5000</v>
          </cell>
        </row>
        <row r="27">
          <cell r="C27">
            <v>150000</v>
          </cell>
        </row>
        <row r="30">
          <cell r="C30">
            <v>30000</v>
          </cell>
        </row>
        <row r="31">
          <cell r="C31">
            <v>40000</v>
          </cell>
        </row>
        <row r="32">
          <cell r="C32">
            <v>45000</v>
          </cell>
        </row>
        <row r="33">
          <cell r="C33">
            <v>32500</v>
          </cell>
        </row>
        <row r="34">
          <cell r="C34">
            <v>4500000</v>
          </cell>
        </row>
        <row r="35">
          <cell r="C35">
            <v>200000</v>
          </cell>
        </row>
        <row r="36">
          <cell r="C36">
            <v>250000</v>
          </cell>
        </row>
        <row r="37">
          <cell r="C37">
            <v>30000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L_EXCAVATOR"/>
      <sheetName val="ANL_EXCAVATOR DPU"/>
      <sheetName val="E_001"/>
      <sheetName val="E_010"/>
      <sheetName val="E_031"/>
      <sheetName val="E_040"/>
      <sheetName val="E_052"/>
      <sheetName val="E_080"/>
      <sheetName val="E_081"/>
      <sheetName val="E_084"/>
      <sheetName val="E_087"/>
      <sheetName val="E_089"/>
      <sheetName val="E_153"/>
      <sheetName val="E_155"/>
      <sheetName val="E_157"/>
      <sheetName val="E_182"/>
      <sheetName val="E_211"/>
      <sheetName val="E_212"/>
      <sheetName val="E_221"/>
      <sheetName val="E_252"/>
      <sheetName val="E_301"/>
      <sheetName val="E_341"/>
      <sheetName val="_E_K_"/>
      <sheetName val="K_013"/>
      <sheetName val="K_016"/>
      <sheetName val="K_017"/>
      <sheetName val="K_024A"/>
      <sheetName val="K_024A REV 2005"/>
      <sheetName val="K_026"/>
      <sheetName val="K_035"/>
      <sheetName val="K_040"/>
      <sheetName val="K_110"/>
      <sheetName val="K_111"/>
      <sheetName val="K_224"/>
      <sheetName val="K_310"/>
      <sheetName val="K_320"/>
      <sheetName val="K_410"/>
      <sheetName val="K_420"/>
      <sheetName val="K_511"/>
      <sheetName val="K_513"/>
      <sheetName val="K_515"/>
      <sheetName val="K_516"/>
      <sheetName val="K_523"/>
      <sheetName val="K_615"/>
      <sheetName val="K_615A"/>
      <sheetName val="K_616"/>
      <sheetName val="K_617"/>
      <sheetName val="K_618"/>
      <sheetName val="K_618A"/>
      <sheetName val="K_618B"/>
      <sheetName val="K_636"/>
      <sheetName val="K_636A"/>
      <sheetName val="K_639A"/>
      <sheetName val="K_641 "/>
      <sheetName val="K_710"/>
      <sheetName val="K_715"/>
      <sheetName val="K_720"/>
      <sheetName val="K_722"/>
      <sheetName val="K_723"/>
      <sheetName val="K_725"/>
      <sheetName val="K_726"/>
      <sheetName val="K_727"/>
      <sheetName val="K_810"/>
      <sheetName val="K_815"/>
      <sheetName val="_K_R_"/>
      <sheetName val="R_017"/>
      <sheetName val="ALAT"/>
      <sheetName val="D6"/>
      <sheetName val="D8"/>
      <sheetName val="ALAT BANTU"/>
      <sheetName val="DATA UMUM"/>
      <sheetName val="BAHAN_UPAH"/>
      <sheetName val="SEWA_ALAT"/>
      <sheetName val="SAT_PEKERJAAN"/>
      <sheetName val="DAFTAR ANALY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8">
          <cell r="J68">
            <v>104790.39999999999</v>
          </cell>
        </row>
      </sheetData>
      <sheetData sheetId="8"/>
      <sheetData sheetId="9"/>
      <sheetData sheetId="10"/>
      <sheetData sheetId="11"/>
      <sheetData sheetId="12">
        <row r="68">
          <cell r="J68">
            <v>25865.48</v>
          </cell>
        </row>
      </sheetData>
      <sheetData sheetId="13"/>
      <sheetData sheetId="14"/>
      <sheetData sheetId="15"/>
      <sheetData sheetId="16">
        <row r="68">
          <cell r="J68">
            <v>99751.79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9">
          <cell r="F9">
            <v>6362</v>
          </cell>
        </row>
        <row r="11">
          <cell r="F11">
            <v>5200</v>
          </cell>
        </row>
        <row r="23">
          <cell r="F23">
            <v>118700</v>
          </cell>
        </row>
        <row r="24">
          <cell r="F24">
            <v>134500</v>
          </cell>
        </row>
        <row r="25">
          <cell r="F25">
            <v>134500</v>
          </cell>
        </row>
        <row r="29">
          <cell r="F29">
            <v>63000</v>
          </cell>
        </row>
        <row r="37">
          <cell r="F37">
            <v>100000</v>
          </cell>
        </row>
        <row r="90">
          <cell r="F90">
            <v>35000</v>
          </cell>
        </row>
        <row r="92">
          <cell r="F92">
            <v>50000</v>
          </cell>
        </row>
        <row r="94">
          <cell r="F94">
            <v>25000</v>
          </cell>
        </row>
        <row r="96">
          <cell r="F96">
            <v>50000</v>
          </cell>
        </row>
      </sheetData>
      <sheetData sheetId="72"/>
      <sheetData sheetId="73"/>
      <sheetData sheetId="7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_515"/>
      <sheetName val="E_080"/>
      <sheetName val="E_182"/>
      <sheetName val="SEWA_ALAT"/>
      <sheetName val="K.639A"/>
      <sheetName val="K_516"/>
      <sheetName val="Anl"/>
      <sheetName val="BAHAN_UPAH"/>
      <sheetName val="SAT_PEKERJAAN"/>
      <sheetName val="RAB "/>
      <sheetName val="TS "/>
      <sheetName val="K_017"/>
      <sheetName val="K_615"/>
    </sheetNames>
    <sheetDataSet>
      <sheetData sheetId="0"/>
      <sheetData sheetId="1"/>
      <sheetData sheetId="2"/>
      <sheetData sheetId="3"/>
      <sheetData sheetId="4">
        <row r="69">
          <cell r="J69">
            <v>31696.19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L_EXCAVATOR"/>
      <sheetName val="ANL_EXCAVATOR DPU"/>
      <sheetName val="E_001"/>
      <sheetName val="E_010"/>
      <sheetName val="E_031"/>
      <sheetName val="E_040"/>
      <sheetName val="E_052"/>
      <sheetName val="E_080"/>
      <sheetName val="E_081"/>
      <sheetName val="E_084"/>
      <sheetName val="E_087"/>
      <sheetName val="E_089"/>
      <sheetName val="E_153"/>
      <sheetName val="E_155"/>
      <sheetName val="E_157"/>
      <sheetName val="E_182"/>
      <sheetName val="E_211"/>
      <sheetName val="E_212"/>
      <sheetName val="E_221"/>
      <sheetName val="E_252"/>
      <sheetName val="E_301"/>
      <sheetName val="E_311"/>
      <sheetName val="E_341"/>
      <sheetName val="_E_K_"/>
      <sheetName val="K_011"/>
      <sheetName val="K_013"/>
      <sheetName val="K_016"/>
      <sheetName val="K_017"/>
      <sheetName val="K_024A"/>
      <sheetName val="K_024A REV"/>
      <sheetName val="K_026"/>
      <sheetName val="K_035"/>
      <sheetName val="K_040"/>
      <sheetName val="K_110"/>
      <sheetName val="K_111"/>
      <sheetName val="K_224"/>
      <sheetName val="K_310"/>
      <sheetName val="K_320"/>
      <sheetName val="K_410"/>
      <sheetName val="K_420"/>
      <sheetName val="K_511"/>
      <sheetName val="K_513"/>
      <sheetName val="K_515"/>
      <sheetName val="K_516"/>
      <sheetName val="K_516A"/>
      <sheetName val="K_523"/>
      <sheetName val="K_615"/>
      <sheetName val="K_616"/>
      <sheetName val="K_617"/>
      <sheetName val="K_618"/>
      <sheetName val="K_618A"/>
      <sheetName val="K_618B"/>
      <sheetName val="K_636"/>
      <sheetName val="K_636A"/>
      <sheetName val="K_639A"/>
      <sheetName val="K_639A REV07"/>
      <sheetName val="K_639A REV 2005"/>
      <sheetName val="K_640"/>
      <sheetName val="K_641"/>
      <sheetName val="K_641 4 cm K.040"/>
      <sheetName val="K_641A"/>
      <sheetName val="K_642"/>
      <sheetName val="K_642 4 cm K.026"/>
      <sheetName val="K_642A"/>
      <sheetName val="K_710"/>
      <sheetName val="K_715"/>
      <sheetName val="K_720"/>
      <sheetName val="K_722"/>
      <sheetName val="K_723"/>
      <sheetName val="K_725"/>
      <sheetName val="K_726"/>
      <sheetName val="K_727"/>
      <sheetName val="K_810"/>
      <sheetName val="K_815"/>
      <sheetName val="_K_R_"/>
      <sheetName val="ALAT"/>
      <sheetName val="D6"/>
      <sheetName val="D8"/>
      <sheetName val="ALAT BANTU"/>
      <sheetName val="DATA UMUM"/>
      <sheetName val="BAHAN_UPAH"/>
      <sheetName val="SEWA_ALAT"/>
      <sheetName val="SAT_PEKERJAAN"/>
      <sheetName val="DAFTAR ANALYSA"/>
      <sheetName val="LUMPSUM"/>
      <sheetName val="Sheet1"/>
      <sheetName val="Sheet2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25">
          <cell r="F25">
            <v>85000</v>
          </cell>
        </row>
        <row r="88">
          <cell r="F88">
            <v>35000</v>
          </cell>
        </row>
      </sheetData>
      <sheetData sheetId="81"/>
      <sheetData sheetId="82"/>
      <sheetData sheetId="83"/>
      <sheetData sheetId="84"/>
      <sheetData sheetId="85"/>
      <sheetData sheetId="86"/>
      <sheetData sheetId="8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L_EXCAVATOR"/>
      <sheetName val="ANL_EXCAVATOR DPU"/>
      <sheetName val="E_001"/>
      <sheetName val="E_010"/>
      <sheetName val="E_031"/>
      <sheetName val="E_040"/>
      <sheetName val="E_052"/>
      <sheetName val="E_080"/>
      <sheetName val="E_081"/>
      <sheetName val="E_084"/>
      <sheetName val="E_087"/>
      <sheetName val="E_089"/>
      <sheetName val="E_153"/>
      <sheetName val="E_155"/>
      <sheetName val="E_157"/>
      <sheetName val="E_182"/>
      <sheetName val="E_211"/>
      <sheetName val="E_212"/>
      <sheetName val="E_221"/>
      <sheetName val="E_252"/>
      <sheetName val="E_301"/>
      <sheetName val="E_341"/>
      <sheetName val="_E_K_"/>
      <sheetName val="K_013"/>
      <sheetName val="K_016"/>
      <sheetName val="K_017"/>
      <sheetName val="K_024A"/>
      <sheetName val="K_024A REV 2005"/>
      <sheetName val="K_026"/>
      <sheetName val="K_035"/>
      <sheetName val="K_040"/>
      <sheetName val="K_110"/>
      <sheetName val="K_111"/>
      <sheetName val="K_224"/>
      <sheetName val="K_310"/>
      <sheetName val="K_320"/>
      <sheetName val="K_410"/>
      <sheetName val="K_420"/>
      <sheetName val="K_511"/>
      <sheetName val="K_513"/>
      <sheetName val="K_515"/>
      <sheetName val="K_516"/>
      <sheetName val="K_523"/>
      <sheetName val="K_615"/>
      <sheetName val="K_615A"/>
      <sheetName val="K_616"/>
      <sheetName val="K_617"/>
      <sheetName val="K_618"/>
      <sheetName val="K_618A"/>
      <sheetName val="K_618B"/>
      <sheetName val="K_636"/>
      <sheetName val="K_636A"/>
      <sheetName val="K_639A"/>
      <sheetName val="K_641 "/>
      <sheetName val="K_710"/>
      <sheetName val="K_715"/>
      <sheetName val="K_720"/>
      <sheetName val="K_722"/>
      <sheetName val="K_723"/>
      <sheetName val="K_725"/>
      <sheetName val="K_726"/>
      <sheetName val="K_727"/>
      <sheetName val="K_810"/>
      <sheetName val="K_815"/>
      <sheetName val="_K_R_"/>
      <sheetName val="R_017"/>
      <sheetName val="ALAT"/>
      <sheetName val="D6"/>
      <sheetName val="D8"/>
      <sheetName val="ALAT BANTU"/>
      <sheetName val="DATA UMUM"/>
      <sheetName val="BAHAN_UPAH"/>
      <sheetName val="SEWA_ALAT"/>
      <sheetName val="SAT_PEKERJAAN"/>
      <sheetName val="DAFTAR ANALY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>
        <row r="69">
          <cell r="F69">
            <v>15000</v>
          </cell>
        </row>
        <row r="97">
          <cell r="F97">
            <v>30000</v>
          </cell>
        </row>
        <row r="99">
          <cell r="F99">
            <v>40000</v>
          </cell>
        </row>
        <row r="101">
          <cell r="F101">
            <v>50000</v>
          </cell>
        </row>
      </sheetData>
      <sheetData sheetId="72" refreshError="1"/>
      <sheetData sheetId="73" refreshError="1"/>
      <sheetData sheetId="7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L_EXCAVATOR"/>
      <sheetName val="ANL_EXCAVATOR DPU"/>
      <sheetName val="E_001"/>
      <sheetName val="E_010"/>
      <sheetName val="E_031"/>
      <sheetName val="E_040"/>
      <sheetName val="E_052"/>
      <sheetName val="E_080"/>
      <sheetName val="E_081"/>
      <sheetName val="E_084"/>
      <sheetName val="E_087"/>
      <sheetName val="E_089"/>
      <sheetName val="E_153"/>
      <sheetName val="E_155"/>
      <sheetName val="E_157"/>
      <sheetName val="E_182"/>
      <sheetName val="E_211"/>
      <sheetName val="E_212"/>
      <sheetName val="E_221"/>
      <sheetName val="E_252"/>
      <sheetName val="E_301"/>
      <sheetName val="E_311"/>
      <sheetName val="E_341"/>
      <sheetName val="_E_K_"/>
      <sheetName val="K_011"/>
      <sheetName val="K_013"/>
      <sheetName val="K_016"/>
      <sheetName val="K_017"/>
      <sheetName val="K_024A"/>
      <sheetName val="K_026"/>
      <sheetName val="K_035"/>
      <sheetName val="K_040"/>
      <sheetName val="K_110"/>
      <sheetName val="K_111"/>
      <sheetName val="K_224"/>
      <sheetName val="K_310"/>
      <sheetName val="K_320"/>
      <sheetName val="K_410"/>
      <sheetName val="K_420"/>
      <sheetName val="K_511"/>
      <sheetName val="K_513"/>
      <sheetName val="K_515"/>
      <sheetName val="K_516"/>
      <sheetName val="K_516A"/>
      <sheetName val="K_523"/>
      <sheetName val="K_615"/>
      <sheetName val="K_616"/>
      <sheetName val="K_617"/>
      <sheetName val="K_618"/>
      <sheetName val="K_618A"/>
      <sheetName val="K_618B"/>
      <sheetName val="K_636"/>
      <sheetName val="K_636A"/>
      <sheetName val="K_639A"/>
      <sheetName val="K_640"/>
      <sheetName val="K_641"/>
      <sheetName val="K_641 4 cm K.040"/>
      <sheetName val="K_641A"/>
      <sheetName val="K_642"/>
      <sheetName val="K_642 4 cm K.026"/>
      <sheetName val="K_642A"/>
      <sheetName val="K_710"/>
      <sheetName val="K_715"/>
      <sheetName val="K_720"/>
      <sheetName val="K_722"/>
      <sheetName val="K_723"/>
      <sheetName val="K_725"/>
      <sheetName val="K_726"/>
      <sheetName val="K_727"/>
      <sheetName val="K_810"/>
      <sheetName val="K_815"/>
      <sheetName val="_K_R_"/>
      <sheetName val="ALAT"/>
      <sheetName val="D6"/>
      <sheetName val="D8"/>
      <sheetName val="ALAT BANTU"/>
      <sheetName val="DATA UMUM"/>
      <sheetName val="BAHAN_UPAH"/>
      <sheetName val="SEWA_ALAT"/>
      <sheetName val="SAT_PEKERJAAN"/>
      <sheetName val="DAFTAR ANALYS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7"/>
      <sheetName val="_"/>
      <sheetName val="Harga S Dasar"/>
    </sheetNames>
    <sheetDataSet>
      <sheetData sheetId="0"/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t_bnt"/>
      <sheetName val="Summary"/>
      <sheetName val="Estimate"/>
      <sheetName val="D7"/>
      <sheetName val="_"/>
      <sheetName val="Harga S Dasar"/>
      <sheetName val="ala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gA SaT"/>
      <sheetName val="Sheet1"/>
      <sheetName val="Sheet2"/>
      <sheetName val="Sheet3"/>
      <sheetName val="hARGA sATUan"/>
    </sheetNames>
    <sheetDataSet>
      <sheetData sheetId="0" refreshError="1">
        <row r="25">
          <cell r="C25">
            <v>43000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"/>
      <sheetName val="VAP"/>
      <sheetName val="MAP"/>
      <sheetName val="DET JLN"/>
      <sheetName val="tOs TeLfoRD"/>
      <sheetName val="R A B tElForD"/>
      <sheetName val="REG0NE"/>
      <sheetName val="GBR GG"/>
      <sheetName val="TOS GG"/>
      <sheetName val="RAB GG"/>
      <sheetName val="tOs TaluD "/>
      <sheetName val="RAb TaluD"/>
      <sheetName val="TAMPAK"/>
      <sheetName val="POTONGAN"/>
      <sheetName val="DETAIL"/>
      <sheetName val="DETAIL1"/>
      <sheetName val="DETIL"/>
      <sheetName val="Detail Sayap"/>
      <sheetName val="TOS jbt "/>
      <sheetName val="Analisa"/>
      <sheetName val="R A B jbt"/>
      <sheetName val="RekapRAB "/>
      <sheetName val="Schdle"/>
      <sheetName val="Form.26"/>
      <sheetName val="AN. lingk"/>
      <sheetName val="PAPAN PROYE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4">
          <cell r="Q24">
            <v>259102000</v>
          </cell>
          <cell r="R24">
            <v>12000000</v>
          </cell>
        </row>
      </sheetData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6"/>
  <sheetViews>
    <sheetView view="pageLayout" topLeftCell="A61" zoomScale="70" zoomScaleNormal="70" zoomScalePageLayoutView="70" workbookViewId="0">
      <selection activeCell="C73" sqref="C73"/>
    </sheetView>
  </sheetViews>
  <sheetFormatPr defaultColWidth="12.5703125" defaultRowHeight="15" customHeight="1"/>
  <cols>
    <col min="1" max="1" width="4.140625" style="166" customWidth="1"/>
    <col min="2" max="2" width="3.42578125" style="166" customWidth="1"/>
    <col min="3" max="3" width="8.5703125" style="166" customWidth="1"/>
    <col min="4" max="4" width="18.42578125" style="166" customWidth="1"/>
    <col min="5" max="5" width="25" style="166" customWidth="1"/>
    <col min="6" max="6" width="5.5703125" style="166" customWidth="1"/>
    <col min="7" max="8" width="5.7109375" style="166" customWidth="1"/>
    <col min="9" max="9" width="7.85546875" style="166" customWidth="1"/>
    <col min="10" max="10" width="3.28515625" style="166" customWidth="1"/>
    <col min="11" max="11" width="3" style="166" customWidth="1"/>
    <col min="12" max="12" width="2.42578125" style="166" customWidth="1"/>
    <col min="13" max="13" width="2.85546875" style="166" customWidth="1"/>
    <col min="14" max="14" width="3" style="166" customWidth="1"/>
    <col min="15" max="15" width="2.42578125" style="166" customWidth="1"/>
    <col min="16" max="16" width="2.85546875" style="166" customWidth="1"/>
    <col min="17" max="17" width="3" style="166" customWidth="1"/>
    <col min="18" max="18" width="2.42578125" style="166" customWidth="1"/>
    <col min="19" max="19" width="3.28515625" style="166" customWidth="1"/>
    <col min="20" max="20" width="3" style="166" customWidth="1"/>
    <col min="21" max="21" width="3.28515625" style="166" customWidth="1"/>
    <col min="22" max="22" width="2.85546875" style="166" customWidth="1"/>
    <col min="23" max="23" width="2.42578125" style="166" customWidth="1"/>
    <col min="24" max="26" width="3" style="166" customWidth="1"/>
    <col min="27" max="49" width="8.5703125" style="166" customWidth="1"/>
    <col min="50" max="16384" width="12.5703125" style="166"/>
  </cols>
  <sheetData>
    <row r="1" spans="1:29" ht="8.25" customHeight="1">
      <c r="B1" s="79"/>
      <c r="C1" s="167"/>
      <c r="D1" s="69"/>
      <c r="E1" s="94"/>
    </row>
    <row r="2" spans="1:29" ht="12.75" customHeight="1">
      <c r="A2" s="263" t="s">
        <v>1204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302"/>
      <c r="AB2" s="302"/>
      <c r="AC2" s="302"/>
    </row>
    <row r="3" spans="1:29" ht="12.75" customHeight="1">
      <c r="A3" s="179"/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302"/>
      <c r="AB3" s="302"/>
      <c r="AC3" s="302"/>
    </row>
    <row r="4" spans="1:29" ht="3" customHeight="1">
      <c r="B4" s="79"/>
      <c r="C4" s="167"/>
      <c r="D4" s="69"/>
      <c r="E4" s="94"/>
    </row>
    <row r="5" spans="1:29" ht="12.75" customHeight="1" thickBot="1">
      <c r="A5" s="294"/>
      <c r="B5" s="294"/>
      <c r="C5" s="294"/>
      <c r="D5" s="294"/>
      <c r="E5" s="308"/>
      <c r="F5" s="296"/>
      <c r="G5" s="296"/>
      <c r="H5" s="296"/>
      <c r="I5" s="296"/>
    </row>
    <row r="6" spans="1:29" ht="12.75" customHeight="1">
      <c r="A6" s="294"/>
      <c r="B6" s="298" t="s">
        <v>385</v>
      </c>
      <c r="C6" s="298"/>
      <c r="D6" s="303"/>
      <c r="E6" s="309" t="s">
        <v>1190</v>
      </c>
      <c r="F6" s="305"/>
      <c r="G6" s="296"/>
      <c r="H6" s="296"/>
      <c r="I6" s="296"/>
    </row>
    <row r="7" spans="1:29" ht="12.75" customHeight="1">
      <c r="A7" s="294"/>
      <c r="B7" s="294" t="s">
        <v>387</v>
      </c>
      <c r="C7" s="294"/>
      <c r="D7" s="304"/>
      <c r="E7" s="310" t="s">
        <v>1191</v>
      </c>
      <c r="F7" s="305"/>
      <c r="G7" s="296"/>
      <c r="H7" s="296"/>
      <c r="I7" s="296"/>
    </row>
    <row r="8" spans="1:29" ht="12.75" customHeight="1">
      <c r="A8" s="294"/>
      <c r="B8" s="294"/>
      <c r="C8" s="294"/>
      <c r="D8" s="304"/>
      <c r="E8" s="311"/>
      <c r="F8" s="305"/>
      <c r="G8" s="296"/>
      <c r="H8" s="296"/>
      <c r="I8" s="296"/>
    </row>
    <row r="9" spans="1:29" ht="12.75" customHeight="1">
      <c r="A9" s="294"/>
      <c r="B9" s="298" t="s">
        <v>532</v>
      </c>
      <c r="C9" s="294"/>
      <c r="D9" s="304"/>
      <c r="E9" s="311"/>
      <c r="F9" s="305"/>
      <c r="G9" s="296"/>
      <c r="H9" s="296"/>
      <c r="I9" s="296"/>
    </row>
    <row r="10" spans="1:29" ht="12.75" customHeight="1">
      <c r="A10" s="294"/>
      <c r="B10" s="294"/>
      <c r="C10" s="294"/>
      <c r="D10" s="304"/>
      <c r="E10" s="311"/>
      <c r="F10" s="305"/>
      <c r="G10" s="296"/>
      <c r="H10" s="296"/>
      <c r="I10" s="296"/>
    </row>
    <row r="11" spans="1:29" ht="12.75" customHeight="1">
      <c r="A11" s="294"/>
      <c r="B11" s="294" t="s">
        <v>111</v>
      </c>
      <c r="C11" s="294" t="s">
        <v>533</v>
      </c>
      <c r="D11" s="304"/>
      <c r="E11" s="311" t="s">
        <v>1205</v>
      </c>
      <c r="F11" s="305"/>
      <c r="G11" s="296"/>
      <c r="H11" s="296"/>
      <c r="I11" s="296"/>
    </row>
    <row r="12" spans="1:29" ht="12.75" customHeight="1">
      <c r="A12" s="294"/>
      <c r="B12" s="294" t="s">
        <v>115</v>
      </c>
      <c r="C12" s="299" t="s">
        <v>285</v>
      </c>
      <c r="D12" s="304"/>
      <c r="E12" s="312">
        <v>2</v>
      </c>
      <c r="F12" s="305"/>
      <c r="G12" s="296"/>
      <c r="H12" s="296"/>
      <c r="I12" s="296"/>
    </row>
    <row r="13" spans="1:29" ht="12.75" customHeight="1">
      <c r="A13" s="294"/>
      <c r="B13" s="294" t="s">
        <v>118</v>
      </c>
      <c r="C13" s="299" t="s">
        <v>535</v>
      </c>
      <c r="D13" s="304"/>
      <c r="E13" s="311"/>
      <c r="F13" s="305"/>
      <c r="G13" s="296"/>
      <c r="H13" s="296"/>
      <c r="I13" s="296"/>
    </row>
    <row r="14" spans="1:29" ht="12.75" customHeight="1">
      <c r="A14" s="294"/>
      <c r="B14" s="294" t="s">
        <v>121</v>
      </c>
      <c r="C14" s="294" t="s">
        <v>541</v>
      </c>
      <c r="D14" s="304"/>
      <c r="E14" s="311" t="s">
        <v>106</v>
      </c>
      <c r="F14" s="305"/>
      <c r="G14" s="296"/>
      <c r="H14" s="296"/>
      <c r="I14" s="296"/>
    </row>
    <row r="15" spans="1:29" ht="12.75" customHeight="1">
      <c r="A15" s="294"/>
      <c r="B15" s="294" t="s">
        <v>124</v>
      </c>
      <c r="C15" s="294" t="s">
        <v>542</v>
      </c>
      <c r="D15" s="304"/>
      <c r="E15" s="313"/>
      <c r="F15" s="306" t="s">
        <v>575</v>
      </c>
      <c r="G15" s="294" t="s">
        <v>576</v>
      </c>
      <c r="H15" s="294" t="s">
        <v>577</v>
      </c>
      <c r="I15" s="294" t="s">
        <v>578</v>
      </c>
      <c r="J15" s="167"/>
    </row>
    <row r="16" spans="1:29" ht="12.75" customHeight="1">
      <c r="A16" s="294"/>
      <c r="B16" s="294" t="s">
        <v>127</v>
      </c>
      <c r="C16" s="294" t="s">
        <v>425</v>
      </c>
      <c r="D16" s="304"/>
      <c r="E16" s="310" t="s">
        <v>579</v>
      </c>
      <c r="F16" s="307" t="s">
        <v>1188</v>
      </c>
      <c r="G16" s="297" t="s">
        <v>452</v>
      </c>
      <c r="H16" s="297" t="s">
        <v>1192</v>
      </c>
      <c r="I16" s="295">
        <f t="shared" ref="I16:I25" ca="1" si="0">IF(H16="","", YEAR(TODAY())-H16)</f>
        <v>4</v>
      </c>
      <c r="J16" s="167"/>
    </row>
    <row r="17" spans="1:9" ht="12.75" customHeight="1">
      <c r="A17" s="294"/>
      <c r="B17" s="294" t="s">
        <v>130</v>
      </c>
      <c r="C17" s="299" t="s">
        <v>580</v>
      </c>
      <c r="D17" s="304"/>
      <c r="E17" s="314"/>
      <c r="F17" s="305"/>
      <c r="G17" s="296"/>
      <c r="H17" s="296"/>
      <c r="I17" s="295" t="str">
        <f t="shared" ca="1" si="0"/>
        <v/>
      </c>
    </row>
    <row r="18" spans="1:9" ht="12.75" customHeight="1">
      <c r="A18" s="294"/>
      <c r="B18" s="294" t="s">
        <v>134</v>
      </c>
      <c r="C18" s="299" t="s">
        <v>550</v>
      </c>
      <c r="D18" s="304"/>
      <c r="E18" s="312">
        <v>1</v>
      </c>
      <c r="F18" s="305"/>
      <c r="G18" s="296"/>
      <c r="H18" s="296"/>
      <c r="I18" s="295" t="str">
        <f t="shared" ca="1" si="0"/>
        <v/>
      </c>
    </row>
    <row r="19" spans="1:9" ht="12.75" customHeight="1">
      <c r="A19" s="294"/>
      <c r="B19" s="294" t="s">
        <v>137</v>
      </c>
      <c r="C19" s="299" t="s">
        <v>552</v>
      </c>
      <c r="D19" s="304"/>
      <c r="E19" s="311" t="s">
        <v>581</v>
      </c>
      <c r="F19" s="305"/>
      <c r="G19" s="296"/>
      <c r="H19" s="296"/>
      <c r="I19" s="295" t="str">
        <f t="shared" ca="1" si="0"/>
        <v/>
      </c>
    </row>
    <row r="20" spans="1:9" ht="12.75" customHeight="1">
      <c r="A20" s="294"/>
      <c r="B20" s="294" t="s">
        <v>145</v>
      </c>
      <c r="C20" s="294" t="s">
        <v>555</v>
      </c>
      <c r="D20" s="304" t="s">
        <v>582</v>
      </c>
      <c r="E20" s="310" t="s">
        <v>583</v>
      </c>
      <c r="F20" s="305"/>
      <c r="G20" s="296"/>
      <c r="H20" s="296"/>
      <c r="I20" s="295" t="str">
        <f t="shared" ca="1" si="0"/>
        <v/>
      </c>
    </row>
    <row r="21" spans="1:9" ht="12.75" customHeight="1">
      <c r="A21" s="294"/>
      <c r="B21" s="294" t="s">
        <v>424</v>
      </c>
      <c r="C21" s="294" t="s">
        <v>557</v>
      </c>
      <c r="D21" s="304"/>
      <c r="E21" s="312">
        <v>48</v>
      </c>
      <c r="F21" s="305"/>
      <c r="G21" s="296"/>
      <c r="H21" s="296"/>
      <c r="I21" s="295" t="str">
        <f t="shared" ca="1" si="0"/>
        <v/>
      </c>
    </row>
    <row r="22" spans="1:9" ht="12.75" customHeight="1">
      <c r="A22" s="294"/>
      <c r="B22" s="294"/>
      <c r="C22" s="294"/>
      <c r="D22" s="304"/>
      <c r="E22" s="311"/>
      <c r="F22" s="305"/>
      <c r="G22" s="296"/>
      <c r="H22" s="296"/>
      <c r="I22" s="295" t="str">
        <f t="shared" ca="1" si="0"/>
        <v/>
      </c>
    </row>
    <row r="23" spans="1:9" ht="12.75" customHeight="1">
      <c r="A23" s="294"/>
      <c r="B23" s="298" t="s">
        <v>449</v>
      </c>
      <c r="C23" s="294"/>
      <c r="D23" s="304"/>
      <c r="E23" s="311"/>
      <c r="F23" s="305"/>
      <c r="G23" s="296"/>
      <c r="H23" s="296"/>
      <c r="I23" s="295" t="str">
        <f t="shared" ca="1" si="0"/>
        <v/>
      </c>
    </row>
    <row r="24" spans="1:9" ht="12.75" customHeight="1">
      <c r="A24" s="294"/>
      <c r="B24" s="294" t="s">
        <v>111</v>
      </c>
      <c r="C24" s="294" t="s">
        <v>340</v>
      </c>
      <c r="D24" s="304"/>
      <c r="E24" s="310" t="s">
        <v>1193</v>
      </c>
      <c r="F24" s="305"/>
      <c r="G24" s="296"/>
      <c r="H24" s="296"/>
      <c r="I24" s="295" t="str">
        <f t="shared" ca="1" si="0"/>
        <v/>
      </c>
    </row>
    <row r="25" spans="1:9" ht="12.75" customHeight="1">
      <c r="A25" s="294"/>
      <c r="B25" s="294" t="s">
        <v>115</v>
      </c>
      <c r="C25" s="294" t="s">
        <v>391</v>
      </c>
      <c r="D25" s="304"/>
      <c r="E25" s="310" t="s">
        <v>1194</v>
      </c>
      <c r="F25" s="306" t="s">
        <v>575</v>
      </c>
      <c r="G25" s="294" t="s">
        <v>576</v>
      </c>
      <c r="H25" s="294" t="s">
        <v>577</v>
      </c>
      <c r="I25" s="294" t="s">
        <v>578</v>
      </c>
    </row>
    <row r="26" spans="1:9" ht="12.75" customHeight="1">
      <c r="A26" s="294"/>
      <c r="B26" s="294" t="s">
        <v>118</v>
      </c>
      <c r="C26" s="294" t="s">
        <v>559</v>
      </c>
      <c r="D26" s="304"/>
      <c r="E26" s="310"/>
      <c r="F26" s="307" t="s">
        <v>1195</v>
      </c>
      <c r="G26" s="297" t="s">
        <v>1188</v>
      </c>
      <c r="H26" s="295">
        <v>1996</v>
      </c>
      <c r="I26" s="295">
        <f t="shared" ref="I26:I33" ca="1" si="1">IF(H26="","", YEAR(TODAY())-H26)</f>
        <v>30</v>
      </c>
    </row>
    <row r="27" spans="1:9" ht="12.75" customHeight="1">
      <c r="A27" s="294"/>
      <c r="B27" s="294" t="s">
        <v>121</v>
      </c>
      <c r="C27" s="294" t="s">
        <v>128</v>
      </c>
      <c r="D27" s="304"/>
      <c r="E27" s="310" t="s">
        <v>412</v>
      </c>
      <c r="F27" s="305"/>
      <c r="G27" s="296"/>
      <c r="H27" s="296"/>
      <c r="I27" s="295" t="str">
        <f t="shared" ca="1" si="1"/>
        <v/>
      </c>
    </row>
    <row r="28" spans="1:9" ht="12.75" customHeight="1">
      <c r="A28" s="294"/>
      <c r="B28" s="294" t="s">
        <v>124</v>
      </c>
      <c r="C28" s="294" t="s">
        <v>345</v>
      </c>
      <c r="D28" s="304"/>
      <c r="E28" s="311" t="s">
        <v>1196</v>
      </c>
      <c r="F28" s="305"/>
      <c r="G28" s="296"/>
      <c r="H28" s="296"/>
      <c r="I28" s="295" t="str">
        <f t="shared" ca="1" si="1"/>
        <v/>
      </c>
    </row>
    <row r="29" spans="1:9" ht="12.75" customHeight="1">
      <c r="A29" s="294"/>
      <c r="B29" s="294"/>
      <c r="C29" s="294"/>
      <c r="D29" s="304"/>
      <c r="E29" s="311"/>
      <c r="F29" s="305"/>
      <c r="G29" s="296"/>
      <c r="H29" s="296"/>
      <c r="I29" s="295" t="str">
        <f t="shared" ca="1" si="1"/>
        <v/>
      </c>
    </row>
    <row r="30" spans="1:9" ht="12.75" customHeight="1">
      <c r="A30" s="294"/>
      <c r="B30" s="294"/>
      <c r="C30" s="294"/>
      <c r="D30" s="304"/>
      <c r="E30" s="311"/>
      <c r="F30" s="305"/>
      <c r="G30" s="296"/>
      <c r="H30" s="296"/>
      <c r="I30" s="295" t="str">
        <f t="shared" ca="1" si="1"/>
        <v/>
      </c>
    </row>
    <row r="31" spans="1:9" ht="12.75" customHeight="1">
      <c r="A31" s="294"/>
      <c r="B31" s="294" t="s">
        <v>127</v>
      </c>
      <c r="C31" s="299" t="s">
        <v>564</v>
      </c>
      <c r="D31" s="304"/>
      <c r="E31" s="311"/>
      <c r="F31" s="305"/>
      <c r="G31" s="296"/>
      <c r="H31" s="296"/>
      <c r="I31" s="295" t="str">
        <f t="shared" ca="1" si="1"/>
        <v/>
      </c>
    </row>
    <row r="32" spans="1:9" ht="12.75" customHeight="1">
      <c r="A32" s="294"/>
      <c r="B32" s="294" t="s">
        <v>130</v>
      </c>
      <c r="C32" s="294" t="s">
        <v>567</v>
      </c>
      <c r="D32" s="304"/>
      <c r="E32" s="311" t="s">
        <v>568</v>
      </c>
      <c r="F32" s="305"/>
      <c r="G32" s="296"/>
      <c r="H32" s="296"/>
      <c r="I32" s="295" t="str">
        <f t="shared" ca="1" si="1"/>
        <v/>
      </c>
    </row>
    <row r="33" spans="1:26" ht="12.75" customHeight="1">
      <c r="A33" s="294"/>
      <c r="B33" s="294" t="s">
        <v>134</v>
      </c>
      <c r="C33" s="294" t="s">
        <v>569</v>
      </c>
      <c r="D33" s="304"/>
      <c r="E33" s="311"/>
      <c r="F33" s="306" t="s">
        <v>575</v>
      </c>
      <c r="G33" s="294" t="s">
        <v>576</v>
      </c>
      <c r="H33" s="294" t="s">
        <v>577</v>
      </c>
      <c r="I33" s="294" t="s">
        <v>578</v>
      </c>
      <c r="J33" s="167"/>
    </row>
    <row r="34" spans="1:26" ht="12.75" customHeight="1">
      <c r="A34" s="294"/>
      <c r="B34" s="294"/>
      <c r="C34" s="294"/>
      <c r="D34" s="304"/>
      <c r="E34" s="311"/>
      <c r="F34" s="307" t="s">
        <v>1201</v>
      </c>
      <c r="G34" s="297" t="s">
        <v>447</v>
      </c>
      <c r="H34" s="297" t="s">
        <v>1202</v>
      </c>
      <c r="I34" s="295">
        <f ca="1">IF(H34="","", YEAR(TODAY())-H34)</f>
        <v>6</v>
      </c>
      <c r="J34" s="167"/>
    </row>
    <row r="35" spans="1:26" ht="12.75" customHeight="1">
      <c r="A35" s="294"/>
      <c r="B35" s="298" t="s">
        <v>443</v>
      </c>
      <c r="C35" s="294"/>
      <c r="D35" s="304"/>
      <c r="E35" s="311"/>
      <c r="F35" s="305"/>
      <c r="G35" s="296"/>
      <c r="H35" s="296"/>
      <c r="I35" s="295" t="str">
        <f t="shared" ref="I35:I40" ca="1" si="2">IF(H35="","", YEAR(TODAY())-H35)</f>
        <v/>
      </c>
    </row>
    <row r="36" spans="1:26" ht="12.75" customHeight="1">
      <c r="A36" s="294"/>
      <c r="B36" s="294" t="s">
        <v>111</v>
      </c>
      <c r="C36" s="294" t="s">
        <v>340</v>
      </c>
      <c r="D36" s="304"/>
      <c r="E36" s="310" t="s">
        <v>1197</v>
      </c>
      <c r="F36" s="305"/>
      <c r="G36" s="296"/>
      <c r="H36" s="296"/>
      <c r="I36" s="295" t="str">
        <f t="shared" ca="1" si="2"/>
        <v/>
      </c>
    </row>
    <row r="37" spans="1:26" ht="12.75" customHeight="1">
      <c r="A37" s="294"/>
      <c r="B37" s="294" t="s">
        <v>115</v>
      </c>
      <c r="C37" s="294" t="s">
        <v>391</v>
      </c>
      <c r="D37" s="304"/>
      <c r="E37" s="311" t="s">
        <v>1190</v>
      </c>
      <c r="F37" s="305"/>
      <c r="G37" s="296"/>
      <c r="H37" s="296"/>
      <c r="I37" s="295" t="str">
        <f t="shared" ca="1" si="2"/>
        <v/>
      </c>
    </row>
    <row r="38" spans="1:26" ht="12.75" customHeight="1">
      <c r="A38" s="294"/>
      <c r="B38" s="294" t="s">
        <v>118</v>
      </c>
      <c r="C38" s="294" t="s">
        <v>559</v>
      </c>
      <c r="D38" s="304"/>
      <c r="E38" s="314"/>
      <c r="F38" s="306" t="s">
        <v>575</v>
      </c>
      <c r="G38" s="294" t="s">
        <v>576</v>
      </c>
      <c r="H38" s="294" t="s">
        <v>577</v>
      </c>
      <c r="I38" s="294" t="s">
        <v>578</v>
      </c>
      <c r="J38" s="167"/>
    </row>
    <row r="39" spans="1:26" ht="12.75" customHeight="1">
      <c r="A39" s="294"/>
      <c r="B39" s="294" t="s">
        <v>121</v>
      </c>
      <c r="C39" s="294" t="s">
        <v>128</v>
      </c>
      <c r="D39" s="304"/>
      <c r="E39" s="310" t="s">
        <v>1189</v>
      </c>
      <c r="F39" s="307" t="s">
        <v>1198</v>
      </c>
      <c r="G39" s="297" t="s">
        <v>1199</v>
      </c>
      <c r="H39" s="297" t="s">
        <v>1200</v>
      </c>
      <c r="I39" s="295">
        <f t="shared" ca="1" si="2"/>
        <v>32</v>
      </c>
      <c r="J39" s="167"/>
    </row>
    <row r="40" spans="1:26" ht="12.75" customHeight="1">
      <c r="A40" s="294"/>
      <c r="B40" s="294" t="s">
        <v>124</v>
      </c>
      <c r="C40" s="294" t="s">
        <v>345</v>
      </c>
      <c r="D40" s="304"/>
      <c r="E40" s="311" t="s">
        <v>1196</v>
      </c>
      <c r="F40" s="305"/>
      <c r="G40" s="296"/>
      <c r="H40" s="296"/>
      <c r="I40" s="295" t="str">
        <f t="shared" ca="1" si="2"/>
        <v/>
      </c>
    </row>
    <row r="41" spans="1:26" ht="12.75" customHeight="1">
      <c r="A41" s="294"/>
      <c r="B41" s="294"/>
      <c r="C41" s="294"/>
      <c r="D41" s="304"/>
      <c r="E41" s="311"/>
      <c r="F41" s="305"/>
      <c r="G41" s="296"/>
      <c r="H41" s="296"/>
      <c r="I41" s="296"/>
    </row>
    <row r="42" spans="1:26" ht="12.75" customHeight="1">
      <c r="A42" s="294"/>
      <c r="B42" s="294"/>
      <c r="C42" s="294"/>
      <c r="D42" s="304"/>
      <c r="E42" s="311"/>
      <c r="F42" s="305"/>
      <c r="G42" s="296"/>
      <c r="H42" s="296"/>
      <c r="I42" s="296"/>
    </row>
    <row r="43" spans="1:26" ht="12.75" customHeight="1">
      <c r="A43" s="294"/>
      <c r="B43" s="294" t="s">
        <v>127</v>
      </c>
      <c r="C43" s="299" t="s">
        <v>564</v>
      </c>
      <c r="D43" s="304"/>
      <c r="E43" s="311"/>
      <c r="F43" s="305"/>
      <c r="G43" s="296"/>
      <c r="H43" s="296"/>
      <c r="I43" s="296"/>
    </row>
    <row r="44" spans="1:26" ht="12.75" customHeight="1">
      <c r="A44" s="294"/>
      <c r="B44" s="294" t="s">
        <v>130</v>
      </c>
      <c r="C44" s="294" t="s">
        <v>567</v>
      </c>
      <c r="D44" s="304"/>
      <c r="E44" s="311" t="s">
        <v>568</v>
      </c>
      <c r="F44" s="305"/>
      <c r="G44" s="296"/>
      <c r="H44" s="296"/>
      <c r="I44" s="296"/>
    </row>
    <row r="45" spans="1:26" ht="12.75" customHeight="1">
      <c r="A45" s="294"/>
      <c r="B45" s="294"/>
      <c r="C45" s="294"/>
      <c r="D45" s="304"/>
      <c r="E45" s="311"/>
      <c r="F45" s="305"/>
      <c r="G45" s="296"/>
      <c r="H45" s="296"/>
      <c r="I45" s="296"/>
    </row>
    <row r="46" spans="1:26" ht="12.75" customHeight="1">
      <c r="A46" s="294"/>
      <c r="B46" s="298" t="s">
        <v>455</v>
      </c>
      <c r="C46" s="294"/>
      <c r="D46" s="304"/>
      <c r="E46" s="311"/>
      <c r="F46" s="305"/>
      <c r="G46" s="296"/>
      <c r="H46" s="296"/>
      <c r="I46" s="296"/>
    </row>
    <row r="47" spans="1:26" ht="12.75" customHeight="1">
      <c r="A47" s="294"/>
      <c r="B47" s="294" t="s">
        <v>111</v>
      </c>
      <c r="C47" s="294" t="s">
        <v>340</v>
      </c>
      <c r="D47" s="304"/>
      <c r="E47" s="310" t="s">
        <v>1197</v>
      </c>
      <c r="F47" s="305"/>
      <c r="G47" s="295"/>
      <c r="H47" s="295"/>
      <c r="I47" s="295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</row>
    <row r="48" spans="1:26" ht="12.75" customHeight="1">
      <c r="A48" s="294"/>
      <c r="B48" s="294" t="s">
        <v>115</v>
      </c>
      <c r="C48" s="294" t="s">
        <v>391</v>
      </c>
      <c r="D48" s="304"/>
      <c r="E48" s="311" t="s">
        <v>1190</v>
      </c>
      <c r="F48" s="305"/>
      <c r="G48" s="295"/>
      <c r="H48" s="295"/>
      <c r="I48" s="295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</row>
    <row r="49" spans="1:26" ht="12.75" customHeight="1">
      <c r="A49" s="294"/>
      <c r="B49" s="294" t="s">
        <v>118</v>
      </c>
      <c r="C49" s="294" t="s">
        <v>359</v>
      </c>
      <c r="D49" s="304"/>
      <c r="E49" s="310" t="s">
        <v>1203</v>
      </c>
      <c r="F49" s="305"/>
      <c r="G49" s="295"/>
      <c r="H49" s="295"/>
      <c r="I49" s="295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</row>
    <row r="50" spans="1:26" ht="12.75" customHeight="1">
      <c r="A50" s="294"/>
      <c r="B50" s="294" t="s">
        <v>121</v>
      </c>
      <c r="C50" s="294" t="s">
        <v>571</v>
      </c>
      <c r="D50" s="304"/>
      <c r="E50" s="310" t="s">
        <v>452</v>
      </c>
      <c r="F50" s="305"/>
      <c r="G50" s="295"/>
      <c r="H50" s="295"/>
      <c r="I50" s="295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</row>
    <row r="51" spans="1:26" ht="12.75" customHeight="1">
      <c r="A51" s="294"/>
      <c r="B51" s="294" t="s">
        <v>124</v>
      </c>
      <c r="C51" s="294" t="s">
        <v>128</v>
      </c>
      <c r="D51" s="304"/>
      <c r="E51" s="310" t="s">
        <v>1189</v>
      </c>
      <c r="F51" s="305"/>
      <c r="G51" s="295"/>
      <c r="H51" s="295"/>
      <c r="I51" s="295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</row>
    <row r="52" spans="1:26" ht="12.75" customHeight="1">
      <c r="A52" s="294"/>
      <c r="B52" s="294" t="s">
        <v>127</v>
      </c>
      <c r="C52" s="294" t="s">
        <v>345</v>
      </c>
      <c r="D52" s="304"/>
      <c r="E52" s="311" t="s">
        <v>1196</v>
      </c>
      <c r="F52" s="305"/>
      <c r="G52" s="295"/>
      <c r="H52" s="295"/>
      <c r="I52" s="295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</row>
    <row r="53" spans="1:26" ht="12.75" customHeight="1">
      <c r="A53" s="294"/>
      <c r="B53" s="294"/>
      <c r="C53" s="294"/>
      <c r="D53" s="304"/>
      <c r="E53" s="311"/>
      <c r="F53" s="305"/>
      <c r="G53" s="296"/>
      <c r="H53" s="296"/>
      <c r="I53" s="296"/>
    </row>
    <row r="54" spans="1:26" ht="12.75" customHeight="1">
      <c r="A54" s="294"/>
      <c r="B54" s="294"/>
      <c r="C54" s="294"/>
      <c r="D54" s="304"/>
      <c r="E54" s="311"/>
      <c r="F54" s="305"/>
      <c r="G54" s="296"/>
      <c r="H54" s="296"/>
      <c r="I54" s="296"/>
    </row>
    <row r="55" spans="1:26" ht="12.75" customHeight="1">
      <c r="A55" s="294"/>
      <c r="B55" s="294"/>
      <c r="C55" s="294"/>
      <c r="D55" s="304"/>
      <c r="E55" s="311"/>
      <c r="F55" s="305"/>
      <c r="G55" s="296"/>
      <c r="H55" s="296"/>
      <c r="I55" s="296"/>
    </row>
    <row r="56" spans="1:26" ht="12.75" customHeight="1">
      <c r="A56" s="294"/>
      <c r="B56" s="298" t="s">
        <v>572</v>
      </c>
      <c r="C56" s="294"/>
      <c r="D56" s="304"/>
      <c r="E56" s="311"/>
      <c r="F56" s="305"/>
      <c r="G56" s="296"/>
      <c r="H56" s="296"/>
      <c r="I56" s="296"/>
    </row>
    <row r="57" spans="1:26" ht="12.75" customHeight="1">
      <c r="A57" s="294"/>
      <c r="B57" s="294" t="s">
        <v>111</v>
      </c>
      <c r="C57" s="294" t="s">
        <v>340</v>
      </c>
      <c r="D57" s="304"/>
      <c r="E57" s="310" t="s">
        <v>584</v>
      </c>
      <c r="F57" s="305"/>
      <c r="G57" s="296"/>
      <c r="H57" s="296"/>
      <c r="I57" s="296"/>
    </row>
    <row r="58" spans="1:26" ht="12.75" customHeight="1">
      <c r="A58" s="294"/>
      <c r="B58" s="294" t="s">
        <v>115</v>
      </c>
      <c r="C58" s="294" t="s">
        <v>391</v>
      </c>
      <c r="D58" s="304"/>
      <c r="E58" s="311" t="s">
        <v>506</v>
      </c>
      <c r="F58" s="305"/>
      <c r="G58" s="296"/>
      <c r="H58" s="296"/>
      <c r="I58" s="296"/>
    </row>
    <row r="59" spans="1:26" ht="12.75" customHeight="1">
      <c r="A59" s="294"/>
      <c r="B59" s="294" t="s">
        <v>118</v>
      </c>
      <c r="C59" s="294" t="s">
        <v>359</v>
      </c>
      <c r="D59" s="304"/>
      <c r="E59" s="312">
        <v>35</v>
      </c>
      <c r="F59" s="305"/>
      <c r="G59" s="296"/>
      <c r="H59" s="296"/>
      <c r="I59" s="296"/>
    </row>
    <row r="60" spans="1:26" ht="12.75" customHeight="1">
      <c r="A60" s="294"/>
      <c r="B60" s="294" t="s">
        <v>121</v>
      </c>
      <c r="C60" s="299" t="s">
        <v>128</v>
      </c>
      <c r="D60" s="304"/>
      <c r="E60" s="311"/>
      <c r="F60" s="305"/>
      <c r="G60" s="296"/>
      <c r="H60" s="296"/>
      <c r="I60" s="296"/>
    </row>
    <row r="61" spans="1:26" ht="12.75" customHeight="1">
      <c r="A61" s="294"/>
      <c r="B61" s="294" t="s">
        <v>124</v>
      </c>
      <c r="C61" s="294" t="s">
        <v>345</v>
      </c>
      <c r="D61" s="304"/>
      <c r="E61" s="311" t="s">
        <v>585</v>
      </c>
      <c r="F61" s="305"/>
      <c r="G61" s="296"/>
      <c r="H61" s="296"/>
      <c r="I61" s="296"/>
    </row>
    <row r="62" spans="1:26" ht="12.75" customHeight="1">
      <c r="A62" s="294"/>
      <c r="B62" s="294"/>
      <c r="C62" s="294"/>
      <c r="D62" s="304"/>
      <c r="E62" s="311"/>
      <c r="F62" s="305"/>
      <c r="G62" s="296"/>
      <c r="H62" s="296"/>
      <c r="I62" s="296"/>
    </row>
    <row r="63" spans="1:26" ht="12.75" customHeight="1">
      <c r="A63" s="294"/>
      <c r="B63" s="294"/>
      <c r="C63" s="294"/>
      <c r="D63" s="304"/>
      <c r="E63" s="311"/>
      <c r="F63" s="305"/>
      <c r="G63" s="296"/>
      <c r="H63" s="296"/>
      <c r="I63" s="296"/>
    </row>
    <row r="64" spans="1:26" ht="12.75" customHeight="1">
      <c r="A64" s="294"/>
      <c r="B64" s="294"/>
      <c r="C64" s="294"/>
      <c r="D64" s="304"/>
      <c r="E64" s="311"/>
      <c r="F64" s="305"/>
      <c r="G64" s="296"/>
      <c r="H64" s="296"/>
      <c r="I64" s="296"/>
    </row>
    <row r="65" spans="1:15" ht="12.75" customHeight="1">
      <c r="A65" s="294"/>
      <c r="B65" s="298" t="s">
        <v>472</v>
      </c>
      <c r="C65" s="294"/>
      <c r="D65" s="304"/>
      <c r="E65" s="311"/>
      <c r="F65" s="305"/>
      <c r="G65" s="296"/>
      <c r="H65" s="296"/>
      <c r="I65" s="296"/>
    </row>
    <row r="66" spans="1:15" ht="12.75" customHeight="1">
      <c r="A66" s="294"/>
      <c r="B66" s="294" t="s">
        <v>111</v>
      </c>
      <c r="C66" s="294" t="s">
        <v>340</v>
      </c>
      <c r="D66" s="304"/>
      <c r="E66" s="310" t="s">
        <v>586</v>
      </c>
      <c r="F66" s="305"/>
      <c r="G66" s="296"/>
      <c r="H66" s="296"/>
      <c r="I66" s="296"/>
    </row>
    <row r="67" spans="1:15" ht="12.75" customHeight="1">
      <c r="A67" s="294"/>
      <c r="B67" s="294" t="s">
        <v>115</v>
      </c>
      <c r="C67" s="294" t="s">
        <v>391</v>
      </c>
      <c r="D67" s="304"/>
      <c r="E67" s="311" t="s">
        <v>587</v>
      </c>
      <c r="F67" s="305"/>
      <c r="G67" s="296"/>
      <c r="H67" s="296"/>
      <c r="I67" s="296"/>
    </row>
    <row r="68" spans="1:15" ht="12.75" customHeight="1">
      <c r="A68" s="294"/>
      <c r="B68" s="294" t="s">
        <v>118</v>
      </c>
      <c r="C68" s="294" t="s">
        <v>359</v>
      </c>
      <c r="D68" s="304"/>
      <c r="E68" s="312">
        <v>54</v>
      </c>
      <c r="F68" s="305"/>
      <c r="G68" s="296"/>
      <c r="H68" s="296"/>
      <c r="I68" s="296"/>
    </row>
    <row r="69" spans="1:15" ht="12.75" customHeight="1">
      <c r="A69" s="294"/>
      <c r="B69" s="294" t="s">
        <v>121</v>
      </c>
      <c r="C69" s="294" t="s">
        <v>128</v>
      </c>
      <c r="D69" s="304"/>
      <c r="E69" s="311"/>
      <c r="F69" s="305"/>
      <c r="G69" s="296"/>
      <c r="H69" s="296"/>
      <c r="I69" s="296"/>
    </row>
    <row r="70" spans="1:15" ht="12.75" customHeight="1">
      <c r="A70" s="294"/>
      <c r="B70" s="294" t="s">
        <v>124</v>
      </c>
      <c r="C70" s="294" t="s">
        <v>345</v>
      </c>
      <c r="D70" s="304"/>
      <c r="E70" s="311"/>
      <c r="F70" s="305"/>
      <c r="G70" s="296"/>
      <c r="H70" s="296"/>
      <c r="I70" s="296"/>
    </row>
    <row r="71" spans="1:15" ht="12.75" customHeight="1">
      <c r="A71" s="294"/>
      <c r="B71" s="294"/>
      <c r="C71" s="294"/>
      <c r="D71" s="304"/>
      <c r="E71" s="311"/>
      <c r="F71" s="305"/>
      <c r="G71" s="296"/>
      <c r="H71" s="296"/>
      <c r="I71" s="296"/>
    </row>
    <row r="72" spans="1:15" ht="12.75" customHeight="1">
      <c r="A72" s="294"/>
      <c r="B72" s="294">
        <v>1</v>
      </c>
      <c r="C72" s="294" t="s">
        <v>1207</v>
      </c>
      <c r="D72" s="294"/>
      <c r="E72" s="74" t="s">
        <v>1206</v>
      </c>
      <c r="F72" s="296"/>
      <c r="G72" s="296"/>
      <c r="H72" s="296"/>
      <c r="I72" s="296"/>
    </row>
    <row r="73" spans="1:15" ht="12.75" customHeight="1">
      <c r="A73" s="294"/>
      <c r="B73" s="294"/>
      <c r="C73" s="294"/>
      <c r="D73" s="294"/>
      <c r="E73" s="295"/>
      <c r="F73" s="296"/>
      <c r="G73" s="296"/>
      <c r="H73" s="296"/>
      <c r="I73" s="296"/>
      <c r="J73" s="300"/>
      <c r="K73" s="300"/>
      <c r="L73" s="300"/>
      <c r="M73" s="300"/>
      <c r="N73" s="300"/>
      <c r="O73" s="300"/>
    </row>
    <row r="74" spans="1:15" ht="12.75" customHeight="1">
      <c r="A74" s="173"/>
      <c r="B74" s="173"/>
      <c r="C74" s="173"/>
      <c r="D74" s="173"/>
      <c r="E74" s="183"/>
      <c r="F74" s="300"/>
      <c r="G74" s="300"/>
      <c r="H74" s="300"/>
      <c r="I74" s="300"/>
      <c r="J74" s="300"/>
      <c r="K74" s="300"/>
      <c r="L74" s="300"/>
      <c r="M74" s="300"/>
      <c r="N74" s="300"/>
      <c r="O74" s="300"/>
    </row>
    <row r="75" spans="1:15" ht="12.75" customHeight="1">
      <c r="A75" s="173"/>
      <c r="B75" s="173"/>
      <c r="C75" s="173"/>
      <c r="D75" s="173"/>
      <c r="E75" s="183"/>
      <c r="F75" s="300"/>
      <c r="G75" s="300"/>
      <c r="H75" s="300"/>
      <c r="I75" s="300"/>
      <c r="J75" s="300"/>
      <c r="K75" s="300"/>
      <c r="L75" s="300"/>
      <c r="M75" s="300"/>
      <c r="N75" s="300"/>
      <c r="O75" s="300"/>
    </row>
    <row r="76" spans="1:15" ht="12.75" customHeight="1">
      <c r="A76" s="173"/>
      <c r="B76" s="173"/>
      <c r="C76" s="173"/>
      <c r="D76" s="173"/>
      <c r="E76" s="183"/>
      <c r="F76" s="300"/>
      <c r="G76" s="300"/>
      <c r="H76" s="300"/>
      <c r="I76" s="300"/>
      <c r="J76" s="300"/>
      <c r="K76" s="300"/>
      <c r="L76" s="300"/>
      <c r="M76" s="300"/>
      <c r="N76" s="300"/>
      <c r="O76" s="300"/>
    </row>
    <row r="77" spans="1:15" ht="12.75" customHeight="1">
      <c r="A77" s="173"/>
      <c r="B77" s="173"/>
      <c r="C77" s="173"/>
      <c r="D77" s="173"/>
      <c r="E77" s="183"/>
      <c r="F77" s="300"/>
      <c r="G77" s="300"/>
      <c r="H77" s="300"/>
      <c r="I77" s="300"/>
      <c r="J77" s="300"/>
      <c r="K77" s="300"/>
      <c r="L77" s="300"/>
      <c r="M77" s="300"/>
      <c r="N77" s="300"/>
      <c r="O77" s="300"/>
    </row>
    <row r="78" spans="1:15" ht="12.75" customHeight="1">
      <c r="A78" s="173"/>
      <c r="B78" s="173"/>
      <c r="C78" s="173"/>
      <c r="D78" s="173"/>
      <c r="E78" s="183"/>
      <c r="F78" s="300"/>
      <c r="G78" s="300"/>
      <c r="H78" s="300"/>
      <c r="I78" s="300"/>
      <c r="J78" s="300"/>
      <c r="K78" s="300"/>
      <c r="L78" s="300"/>
      <c r="M78" s="300"/>
      <c r="N78" s="300"/>
      <c r="O78" s="300"/>
    </row>
    <row r="79" spans="1:15" ht="12.75" customHeight="1">
      <c r="A79" s="173"/>
      <c r="B79" s="173"/>
      <c r="C79" s="173"/>
      <c r="D79" s="173"/>
      <c r="E79" s="183"/>
      <c r="F79" s="300"/>
      <c r="G79" s="300"/>
      <c r="H79" s="300"/>
      <c r="I79" s="300"/>
      <c r="J79" s="300"/>
      <c r="K79" s="300"/>
      <c r="L79" s="300"/>
      <c r="M79" s="300"/>
      <c r="N79" s="300"/>
      <c r="O79" s="300"/>
    </row>
    <row r="80" spans="1:15" ht="12.75" customHeight="1">
      <c r="A80" s="173"/>
      <c r="B80" s="173"/>
      <c r="C80" s="173"/>
      <c r="D80" s="173"/>
      <c r="E80" s="183"/>
      <c r="F80" s="300"/>
      <c r="G80" s="300"/>
      <c r="H80" s="300"/>
      <c r="I80" s="300"/>
      <c r="J80" s="300"/>
      <c r="K80" s="300"/>
      <c r="L80" s="300"/>
      <c r="M80" s="300"/>
      <c r="N80" s="300"/>
      <c r="O80" s="300"/>
    </row>
    <row r="81" spans="1:49" ht="12.75" customHeight="1">
      <c r="A81" s="173"/>
      <c r="B81" s="173"/>
      <c r="C81" s="173"/>
      <c r="D81" s="173"/>
      <c r="E81" s="183"/>
      <c r="F81" s="300"/>
      <c r="G81" s="300"/>
      <c r="H81" s="300"/>
      <c r="I81" s="300"/>
      <c r="J81" s="300"/>
      <c r="K81" s="300"/>
      <c r="L81" s="300"/>
      <c r="M81" s="300"/>
      <c r="N81" s="300"/>
      <c r="O81" s="300"/>
    </row>
    <row r="82" spans="1:49" ht="12.75" customHeight="1">
      <c r="A82" s="173"/>
      <c r="B82" s="173"/>
      <c r="C82" s="173"/>
      <c r="D82" s="17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7"/>
      <c r="AJ82" s="167"/>
      <c r="AK82" s="167"/>
      <c r="AL82" s="167"/>
      <c r="AM82" s="167"/>
      <c r="AN82" s="167"/>
      <c r="AO82" s="167"/>
      <c r="AP82" s="167"/>
      <c r="AQ82" s="167"/>
      <c r="AR82" s="167"/>
      <c r="AS82" s="167"/>
      <c r="AT82" s="167"/>
      <c r="AU82" s="167"/>
      <c r="AV82" s="167"/>
      <c r="AW82" s="167"/>
    </row>
    <row r="83" spans="1:49" ht="12.75" customHeight="1">
      <c r="A83" s="173"/>
      <c r="B83" s="173"/>
      <c r="C83" s="173"/>
      <c r="D83" s="173"/>
      <c r="E83" s="183"/>
      <c r="F83" s="300"/>
      <c r="G83" s="300"/>
      <c r="H83" s="300"/>
      <c r="I83" s="300"/>
      <c r="J83" s="300"/>
      <c r="K83" s="300"/>
      <c r="L83" s="300"/>
      <c r="M83" s="300"/>
      <c r="N83" s="300"/>
      <c r="O83" s="300"/>
    </row>
    <row r="84" spans="1:49" ht="12.75" customHeight="1">
      <c r="A84" s="173"/>
      <c r="B84" s="173"/>
      <c r="C84" s="173"/>
      <c r="D84" s="173"/>
      <c r="E84" s="183"/>
      <c r="F84" s="300"/>
      <c r="G84" s="300"/>
      <c r="H84" s="300"/>
      <c r="I84" s="300"/>
      <c r="J84" s="300"/>
      <c r="K84" s="300"/>
      <c r="L84" s="300"/>
      <c r="M84" s="300"/>
      <c r="N84" s="300"/>
      <c r="O84" s="300"/>
    </row>
    <row r="85" spans="1:49" ht="12.75" customHeight="1">
      <c r="A85" s="300"/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</row>
    <row r="86" spans="1:49" ht="15" customHeight="1">
      <c r="A86" s="300"/>
      <c r="B86" s="300"/>
      <c r="C86" s="300"/>
      <c r="D86" s="300"/>
      <c r="E86" s="300"/>
      <c r="F86" s="300"/>
      <c r="G86" s="300"/>
      <c r="H86" s="300"/>
      <c r="I86" s="300"/>
      <c r="J86" s="300"/>
      <c r="K86" s="300"/>
      <c r="L86" s="300"/>
      <c r="M86" s="300"/>
      <c r="N86" s="300"/>
      <c r="O86" s="300"/>
    </row>
  </sheetData>
  <mergeCells count="1">
    <mergeCell ref="A2:Z2"/>
  </mergeCells>
  <printOptions horizontalCentered="1"/>
  <pageMargins left="0.25" right="0.25" top="0.15748031496063" bottom="0.15748031496063" header="0" footer="0"/>
  <pageSetup paperSize="256" scale="73" fitToWidth="0" fitToHeight="0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2.5703125" defaultRowHeight="15" customHeight="1"/>
  <cols>
    <col min="1" max="2" width="9.140625" customWidth="1"/>
    <col min="3" max="3" width="1.85546875" customWidth="1"/>
    <col min="4" max="4" width="4" customWidth="1"/>
    <col min="5" max="11" width="9.140625" customWidth="1"/>
    <col min="12" max="26" width="8.5703125" customWidth="1"/>
  </cols>
  <sheetData>
    <row r="1" spans="1:26" ht="1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97" t="s">
        <v>2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197" t="s">
        <v>3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3"/>
      <c r="B6" s="3"/>
      <c r="C6" s="3"/>
      <c r="D6" s="3"/>
      <c r="E6" s="5"/>
      <c r="F6" s="5"/>
      <c r="G6" s="5"/>
      <c r="H6" s="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198" t="s">
        <v>4</v>
      </c>
      <c r="B7" s="194"/>
      <c r="C7" s="194"/>
      <c r="D7" s="194"/>
      <c r="E7" s="194"/>
      <c r="F7" s="194"/>
      <c r="G7" s="194"/>
      <c r="H7" s="194"/>
      <c r="I7" s="194"/>
      <c r="J7" s="194"/>
      <c r="K7" s="19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3" t="s">
        <v>5</v>
      </c>
      <c r="B10" s="3"/>
      <c r="C10" s="3" t="s">
        <v>6</v>
      </c>
      <c r="D10" s="3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3"/>
      <c r="B11" s="3"/>
      <c r="C11" s="3"/>
      <c r="D11" s="3" t="s">
        <v>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3" t="s">
        <v>9</v>
      </c>
      <c r="B13" s="3"/>
      <c r="C13" s="3" t="s">
        <v>10</v>
      </c>
      <c r="D13" s="6" t="s">
        <v>11</v>
      </c>
      <c r="E13" s="7">
        <v>150000</v>
      </c>
      <c r="F13" s="8"/>
      <c r="G13" s="9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3" t="s">
        <v>12</v>
      </c>
      <c r="B16" s="3"/>
      <c r="C16" s="3" t="s">
        <v>10</v>
      </c>
      <c r="D16" s="3" t="s">
        <v>13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3" t="s">
        <v>14</v>
      </c>
      <c r="B19" s="3"/>
      <c r="C19" s="3" t="s">
        <v>10</v>
      </c>
      <c r="D19" s="3" t="s">
        <v>15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>
      <c r="A23" s="3"/>
      <c r="B23" s="3"/>
      <c r="C23" s="3"/>
      <c r="D23" s="3" t="s">
        <v>16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>
      <c r="A24" s="3"/>
      <c r="B24" s="3"/>
      <c r="C24" s="3"/>
      <c r="D24" s="3" t="s">
        <v>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>
      <c r="A25" s="3"/>
      <c r="B25" s="3"/>
      <c r="C25" s="3"/>
      <c r="D25" s="3" t="s">
        <v>18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>
      <c r="A29" s="3"/>
      <c r="B29" s="3"/>
      <c r="C29" s="3"/>
      <c r="D29" s="3" t="s">
        <v>19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customHeight="1">
      <c r="A30" s="3"/>
      <c r="B30" s="3"/>
      <c r="C30" s="3"/>
      <c r="D30" s="3" t="s">
        <v>20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customHeight="1">
      <c r="A32" s="3" t="s">
        <v>21</v>
      </c>
      <c r="B32" s="3"/>
      <c r="C32" s="3" t="s">
        <v>10</v>
      </c>
      <c r="D32" s="3" t="s">
        <v>22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customHeight="1">
      <c r="A36" s="3"/>
      <c r="B36" s="3"/>
      <c r="C36" s="3"/>
      <c r="D36" s="3"/>
      <c r="E36" s="3"/>
      <c r="F36" s="3"/>
      <c r="G36" s="3"/>
      <c r="H36" s="3"/>
      <c r="I36" s="3"/>
      <c r="J36" s="10" t="s">
        <v>23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customHeight="1">
      <c r="A37" s="11"/>
      <c r="B37" s="11" t="s">
        <v>24</v>
      </c>
      <c r="C37" s="11"/>
      <c r="D37" s="11"/>
      <c r="E37" s="11"/>
      <c r="F37" s="11"/>
      <c r="G37" s="11"/>
      <c r="H37" s="11"/>
      <c r="I37" s="11" t="s">
        <v>25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" customHeight="1">
      <c r="A38" s="11"/>
      <c r="B38" s="11" t="s">
        <v>26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" customHeight="1">
      <c r="A42" s="11"/>
      <c r="B42" s="11" t="s">
        <v>27</v>
      </c>
      <c r="C42" s="11"/>
      <c r="D42" s="11"/>
      <c r="E42" s="11"/>
      <c r="F42" s="11"/>
      <c r="G42" s="11"/>
      <c r="H42" s="11"/>
      <c r="I42" s="11" t="s">
        <v>28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" customHeight="1">
      <c r="A44" s="11"/>
      <c r="B44" s="11"/>
      <c r="C44" s="11"/>
      <c r="D44" s="11"/>
      <c r="E44" s="11"/>
      <c r="F44" s="12" t="s">
        <v>29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" customHeight="1">
      <c r="A45" s="11"/>
      <c r="B45" s="11" t="s">
        <v>30</v>
      </c>
      <c r="C45" s="11"/>
      <c r="D45" s="11"/>
      <c r="E45" s="11"/>
      <c r="F45" s="11"/>
      <c r="G45" s="11"/>
      <c r="H45" s="11"/>
      <c r="I45" s="11" t="s">
        <v>31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" customHeight="1">
      <c r="A50" s="11"/>
      <c r="B50" s="11" t="s">
        <v>32</v>
      </c>
      <c r="C50" s="11"/>
      <c r="D50" s="11"/>
      <c r="E50" s="11"/>
      <c r="F50" s="11"/>
      <c r="G50" s="11"/>
      <c r="H50" s="11"/>
      <c r="I50" s="11" t="s">
        <v>33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4:K4"/>
    <mergeCell ref="A5:K5"/>
    <mergeCell ref="A7:K7"/>
  </mergeCells>
  <pageMargins left="1" right="0" top="0.35" bottom="0.25" header="0" footer="0"/>
  <pageSetup paperSize="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0"/>
  <sheetViews>
    <sheetView workbookViewId="0"/>
  </sheetViews>
  <sheetFormatPr defaultColWidth="12.5703125" defaultRowHeight="15" customHeight="1"/>
  <cols>
    <col min="1" max="6" width="2.5703125" customWidth="1"/>
    <col min="7" max="7" width="4.7109375" customWidth="1"/>
    <col min="8" max="26" width="2.5703125" customWidth="1"/>
    <col min="27" max="27" width="1.7109375" customWidth="1"/>
    <col min="28" max="37" width="2.5703125" customWidth="1"/>
    <col min="38" max="41" width="9.140625" customWidth="1"/>
  </cols>
  <sheetData>
    <row r="1" spans="1:41" ht="12.75" customHeight="1">
      <c r="A1" s="13"/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6"/>
      <c r="AL1" s="13"/>
      <c r="AM1" s="13"/>
      <c r="AN1" s="13"/>
      <c r="AO1" s="13"/>
    </row>
    <row r="2" spans="1:41" ht="12.75" customHeight="1">
      <c r="A2" s="13"/>
      <c r="B2" s="17"/>
      <c r="C2" s="13"/>
      <c r="D2" s="13"/>
      <c r="E2" s="18"/>
      <c r="F2" s="18"/>
      <c r="G2" s="13"/>
      <c r="H2" s="13"/>
      <c r="I2" s="13"/>
      <c r="J2" s="13"/>
      <c r="K2" s="13"/>
      <c r="L2" s="13"/>
      <c r="M2" s="13"/>
      <c r="N2" s="13"/>
      <c r="O2" s="13"/>
      <c r="P2" s="13"/>
      <c r="Q2" s="199">
        <v>100</v>
      </c>
      <c r="R2" s="200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9"/>
      <c r="AL2" s="13"/>
      <c r="AM2" s="13"/>
      <c r="AN2" s="13"/>
      <c r="AO2" s="13"/>
    </row>
    <row r="3" spans="1:41" ht="12.75" customHeight="1">
      <c r="A3" s="13"/>
      <c r="B3" s="17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9"/>
      <c r="AL3" s="13"/>
      <c r="AM3" s="13"/>
      <c r="AN3" s="13"/>
      <c r="AO3" s="13"/>
    </row>
    <row r="4" spans="1:41" ht="12.75" customHeight="1">
      <c r="A4" s="20"/>
      <c r="B4" s="17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21"/>
      <c r="AA4" s="21"/>
      <c r="AB4" s="13"/>
      <c r="AC4" s="13"/>
      <c r="AD4" s="13"/>
      <c r="AE4" s="13"/>
      <c r="AF4" s="13"/>
      <c r="AG4" s="13"/>
      <c r="AH4" s="13"/>
      <c r="AI4" s="13"/>
      <c r="AJ4" s="13"/>
      <c r="AK4" s="19"/>
      <c r="AL4" s="13"/>
      <c r="AM4" s="13"/>
      <c r="AN4" s="13"/>
      <c r="AO4" s="13"/>
    </row>
    <row r="5" spans="1:41" ht="13.5" customHeight="1">
      <c r="A5" s="20"/>
      <c r="B5" s="17"/>
      <c r="C5" s="13"/>
      <c r="D5" s="1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13"/>
      <c r="AI5" s="13"/>
      <c r="AJ5" s="13"/>
      <c r="AK5" s="19"/>
      <c r="AL5" s="13"/>
      <c r="AM5" s="13"/>
      <c r="AN5" s="13"/>
      <c r="AO5" s="13"/>
    </row>
    <row r="6" spans="1:41" ht="15" customHeight="1">
      <c r="A6" s="20"/>
      <c r="B6" s="17"/>
      <c r="C6" s="13"/>
      <c r="D6" s="13"/>
      <c r="E6" s="22"/>
      <c r="F6" s="22"/>
      <c r="G6" s="22"/>
      <c r="H6" s="201" t="s">
        <v>34</v>
      </c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  <c r="AC6" s="202"/>
      <c r="AD6" s="202"/>
      <c r="AE6" s="202"/>
      <c r="AF6" s="202"/>
      <c r="AG6" s="200"/>
      <c r="AH6" s="13"/>
      <c r="AI6" s="13"/>
      <c r="AJ6" s="13"/>
      <c r="AK6" s="19"/>
      <c r="AL6" s="13"/>
      <c r="AM6" s="13"/>
      <c r="AN6" s="13"/>
      <c r="AO6" s="13"/>
    </row>
    <row r="7" spans="1:41" ht="15" customHeight="1">
      <c r="A7" s="13"/>
      <c r="B7" s="17"/>
      <c r="C7" s="13"/>
      <c r="D7" s="13"/>
      <c r="E7" s="22"/>
      <c r="F7" s="22"/>
      <c r="G7" s="22"/>
      <c r="H7" s="203" t="s">
        <v>35</v>
      </c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2"/>
      <c r="AF7" s="202"/>
      <c r="AG7" s="200"/>
      <c r="AH7" s="13"/>
      <c r="AI7" s="13"/>
      <c r="AJ7" s="13"/>
      <c r="AK7" s="19"/>
      <c r="AL7" s="13"/>
      <c r="AM7" s="13"/>
      <c r="AN7" s="13"/>
      <c r="AO7" s="13"/>
    </row>
    <row r="8" spans="1:41" ht="15" customHeight="1">
      <c r="A8" s="13"/>
      <c r="B8" s="17"/>
      <c r="C8" s="13"/>
      <c r="D8" s="13"/>
      <c r="E8" s="22"/>
      <c r="F8" s="22"/>
      <c r="G8" s="22"/>
      <c r="H8" s="203" t="s">
        <v>36</v>
      </c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  <c r="AC8" s="202"/>
      <c r="AD8" s="202"/>
      <c r="AE8" s="202"/>
      <c r="AF8" s="202"/>
      <c r="AG8" s="200"/>
      <c r="AH8" s="13"/>
      <c r="AI8" s="13"/>
      <c r="AJ8" s="13"/>
      <c r="AK8" s="19"/>
      <c r="AL8" s="13"/>
      <c r="AM8" s="13"/>
      <c r="AN8" s="13"/>
      <c r="AO8" s="13"/>
    </row>
    <row r="9" spans="1:41" ht="15" customHeight="1">
      <c r="A9" s="20"/>
      <c r="B9" s="17"/>
      <c r="C9" s="13"/>
      <c r="D9" s="13"/>
      <c r="E9" s="22"/>
      <c r="F9" s="22"/>
      <c r="G9" s="22"/>
      <c r="H9" s="204" t="s">
        <v>37</v>
      </c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0"/>
      <c r="AH9" s="13"/>
      <c r="AI9" s="13"/>
      <c r="AJ9" s="13"/>
      <c r="AK9" s="19"/>
      <c r="AL9" s="13"/>
      <c r="AM9" s="13"/>
      <c r="AN9" s="13"/>
      <c r="AO9" s="13"/>
    </row>
    <row r="10" spans="1:41" ht="6.75" customHeight="1">
      <c r="A10" s="13"/>
      <c r="B10" s="17"/>
      <c r="C10" s="13"/>
      <c r="D10" s="13"/>
      <c r="E10" s="13"/>
      <c r="F10" s="13"/>
      <c r="G10" s="1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13"/>
      <c r="AG10" s="13"/>
      <c r="AH10" s="13"/>
      <c r="AI10" s="13"/>
      <c r="AJ10" s="13"/>
      <c r="AK10" s="19"/>
      <c r="AL10" s="13"/>
      <c r="AM10" s="13"/>
      <c r="AN10" s="13"/>
      <c r="AO10" s="13"/>
    </row>
    <row r="11" spans="1:41" ht="17.25" customHeight="1">
      <c r="A11" s="18"/>
      <c r="B11" s="17"/>
      <c r="C11" s="13"/>
      <c r="D11" s="13"/>
      <c r="E11" s="13"/>
      <c r="F11" s="23" t="s">
        <v>38</v>
      </c>
      <c r="G11" s="13"/>
      <c r="H11" s="13"/>
      <c r="I11" s="13"/>
      <c r="J11" s="13"/>
      <c r="K11" s="13"/>
      <c r="L11" s="13"/>
      <c r="M11" s="13"/>
      <c r="N11" s="13"/>
      <c r="O11" s="24" t="s">
        <v>10</v>
      </c>
      <c r="P11" s="23" t="s">
        <v>39</v>
      </c>
      <c r="Q11" s="13"/>
      <c r="R11" s="2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9"/>
      <c r="AL11" s="13"/>
      <c r="AM11" s="13"/>
      <c r="AN11" s="13"/>
      <c r="AO11" s="13"/>
    </row>
    <row r="12" spans="1:41" ht="17.25" customHeight="1">
      <c r="A12" s="18"/>
      <c r="B12" s="17"/>
      <c r="C12" s="13"/>
      <c r="D12" s="13"/>
      <c r="E12" s="13"/>
      <c r="F12" s="23" t="s">
        <v>40</v>
      </c>
      <c r="G12" s="13"/>
      <c r="H12" s="13"/>
      <c r="I12" s="13"/>
      <c r="J12" s="13"/>
      <c r="K12" s="13"/>
      <c r="L12" s="13"/>
      <c r="M12" s="13"/>
      <c r="N12" s="13"/>
      <c r="O12" s="24" t="s">
        <v>10</v>
      </c>
      <c r="P12" s="23" t="s">
        <v>41</v>
      </c>
      <c r="Q12" s="13"/>
      <c r="R12" s="2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9"/>
      <c r="AL12" s="13"/>
      <c r="AM12" s="13"/>
      <c r="AN12" s="13"/>
      <c r="AO12" s="13"/>
    </row>
    <row r="13" spans="1:41" ht="17.25" customHeight="1">
      <c r="A13" s="18"/>
      <c r="B13" s="17"/>
      <c r="C13" s="13"/>
      <c r="D13" s="13"/>
      <c r="E13" s="13"/>
      <c r="F13" s="23"/>
      <c r="G13" s="13"/>
      <c r="H13" s="13"/>
      <c r="I13" s="13"/>
      <c r="J13" s="13"/>
      <c r="K13" s="13"/>
      <c r="L13" s="13"/>
      <c r="M13" s="13"/>
      <c r="N13" s="13"/>
      <c r="O13" s="24" t="s">
        <v>10</v>
      </c>
      <c r="P13" s="23" t="s">
        <v>42</v>
      </c>
      <c r="Q13" s="13"/>
      <c r="R13" s="2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9"/>
      <c r="AL13" s="13"/>
      <c r="AM13" s="13"/>
      <c r="AN13" s="13"/>
      <c r="AO13" s="13"/>
    </row>
    <row r="14" spans="1:41" ht="17.25" customHeight="1">
      <c r="A14" s="18"/>
      <c r="B14" s="17"/>
      <c r="C14" s="13"/>
      <c r="D14" s="13"/>
      <c r="E14" s="13"/>
      <c r="F14" s="23"/>
      <c r="G14" s="13"/>
      <c r="H14" s="13"/>
      <c r="I14" s="13"/>
      <c r="J14" s="13"/>
      <c r="K14" s="13"/>
      <c r="L14" s="13"/>
      <c r="M14" s="13"/>
      <c r="N14" s="13"/>
      <c r="O14" s="24" t="s">
        <v>10</v>
      </c>
      <c r="P14" s="23" t="s">
        <v>43</v>
      </c>
      <c r="Q14" s="13"/>
      <c r="R14" s="2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9"/>
      <c r="AL14" s="13"/>
      <c r="AM14" s="13"/>
      <c r="AN14" s="13"/>
      <c r="AO14" s="13"/>
    </row>
    <row r="15" spans="1:41" ht="17.25" customHeight="1">
      <c r="A15" s="25"/>
      <c r="B15" s="17"/>
      <c r="C15" s="13"/>
      <c r="D15" s="13"/>
      <c r="E15" s="13"/>
      <c r="F15" s="23" t="s">
        <v>44</v>
      </c>
      <c r="G15" s="13"/>
      <c r="H15" s="13"/>
      <c r="I15" s="13"/>
      <c r="J15" s="13"/>
      <c r="K15" s="13"/>
      <c r="L15" s="13"/>
      <c r="M15" s="13"/>
      <c r="N15" s="13"/>
      <c r="O15" s="24" t="s">
        <v>10</v>
      </c>
      <c r="P15" s="26" t="s">
        <v>45</v>
      </c>
      <c r="Q15" s="13"/>
      <c r="R15" s="2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9"/>
      <c r="AL15" s="13"/>
      <c r="AM15" s="13"/>
      <c r="AN15" s="13"/>
      <c r="AO15" s="13"/>
    </row>
    <row r="16" spans="1:41" ht="17.25" customHeight="1">
      <c r="A16" s="25"/>
      <c r="B16" s="17"/>
      <c r="C16" s="13"/>
      <c r="D16" s="13"/>
      <c r="E16" s="13"/>
      <c r="F16" s="23" t="s">
        <v>46</v>
      </c>
      <c r="G16" s="13"/>
      <c r="H16" s="13"/>
      <c r="I16" s="13"/>
      <c r="J16" s="13"/>
      <c r="K16" s="13"/>
      <c r="L16" s="13"/>
      <c r="M16" s="13"/>
      <c r="N16" s="13"/>
      <c r="O16" s="24" t="s">
        <v>10</v>
      </c>
      <c r="P16" s="23" t="s">
        <v>47</v>
      </c>
      <c r="Q16" s="13"/>
      <c r="R16" s="23"/>
      <c r="S16" s="13"/>
      <c r="T16" s="13"/>
      <c r="U16" s="13"/>
      <c r="V16" s="13"/>
      <c r="W16" s="13"/>
      <c r="X16" s="23"/>
      <c r="Y16" s="13"/>
      <c r="Z16" s="23" t="s">
        <v>48</v>
      </c>
      <c r="AA16" s="13"/>
      <c r="AB16" s="205">
        <f>'[13]RekapRAB '!Q24</f>
        <v>259102000</v>
      </c>
      <c r="AC16" s="202"/>
      <c r="AD16" s="202"/>
      <c r="AE16" s="202"/>
      <c r="AF16" s="200"/>
      <c r="AG16" s="13"/>
      <c r="AH16" s="13"/>
      <c r="AI16" s="13"/>
      <c r="AJ16" s="206">
        <v>80</v>
      </c>
      <c r="AK16" s="207"/>
      <c r="AL16" s="13"/>
      <c r="AM16" s="13"/>
      <c r="AN16" s="13"/>
      <c r="AO16" s="13"/>
    </row>
    <row r="17" spans="1:41" ht="17.25" customHeight="1">
      <c r="A17" s="18"/>
      <c r="B17" s="17"/>
      <c r="C17" s="13"/>
      <c r="D17" s="13"/>
      <c r="E17" s="13"/>
      <c r="F17" s="27"/>
      <c r="G17" s="13"/>
      <c r="H17" s="13"/>
      <c r="I17" s="13"/>
      <c r="J17" s="13"/>
      <c r="K17" s="13"/>
      <c r="L17" s="13"/>
      <c r="M17" s="13"/>
      <c r="N17" s="13"/>
      <c r="O17" s="24"/>
      <c r="P17" s="23" t="s">
        <v>49</v>
      </c>
      <c r="Q17" s="13"/>
      <c r="R17" s="23"/>
      <c r="S17" s="13"/>
      <c r="T17" s="13"/>
      <c r="U17" s="13"/>
      <c r="V17" s="13"/>
      <c r="W17" s="13"/>
      <c r="X17" s="23"/>
      <c r="Y17" s="13"/>
      <c r="Z17" s="23" t="s">
        <v>48</v>
      </c>
      <c r="AA17" s="28"/>
      <c r="AB17" s="205">
        <f>AB16*1/100</f>
        <v>2591020</v>
      </c>
      <c r="AC17" s="202"/>
      <c r="AD17" s="202"/>
      <c r="AE17" s="202"/>
      <c r="AF17" s="200"/>
      <c r="AG17" s="13"/>
      <c r="AH17" s="13"/>
      <c r="AI17" s="13"/>
      <c r="AJ17" s="13"/>
      <c r="AK17" s="19"/>
      <c r="AL17" s="13"/>
      <c r="AM17" s="13"/>
      <c r="AN17" s="13"/>
      <c r="AO17" s="13"/>
    </row>
    <row r="18" spans="1:41" ht="17.25" customHeight="1">
      <c r="A18" s="18"/>
      <c r="B18" s="17"/>
      <c r="C18" s="13"/>
      <c r="D18" s="13"/>
      <c r="E18" s="13"/>
      <c r="F18" s="27"/>
      <c r="G18" s="13"/>
      <c r="H18" s="13"/>
      <c r="I18" s="13"/>
      <c r="J18" s="13"/>
      <c r="K18" s="13"/>
      <c r="L18" s="13"/>
      <c r="M18" s="13"/>
      <c r="N18" s="13"/>
      <c r="O18" s="24"/>
      <c r="P18" s="23" t="s">
        <v>50</v>
      </c>
      <c r="Q18" s="13"/>
      <c r="R18" s="23"/>
      <c r="S18" s="13"/>
      <c r="T18" s="13"/>
      <c r="U18" s="13"/>
      <c r="V18" s="13"/>
      <c r="W18" s="13"/>
      <c r="X18" s="23"/>
      <c r="Y18" s="13"/>
      <c r="Z18" s="23" t="s">
        <v>48</v>
      </c>
      <c r="AA18" s="28"/>
      <c r="AB18" s="205">
        <f>AB17*2</f>
        <v>5182040</v>
      </c>
      <c r="AC18" s="202"/>
      <c r="AD18" s="202"/>
      <c r="AE18" s="202"/>
      <c r="AF18" s="200"/>
      <c r="AG18" s="13"/>
      <c r="AH18" s="13"/>
      <c r="AI18" s="13"/>
      <c r="AJ18" s="13"/>
      <c r="AK18" s="19"/>
      <c r="AL18" s="13"/>
      <c r="AM18" s="13"/>
      <c r="AN18" s="13"/>
      <c r="AO18" s="13"/>
    </row>
    <row r="19" spans="1:41" ht="17.25" customHeight="1">
      <c r="A19" s="20"/>
      <c r="B19" s="17"/>
      <c r="C19" s="13"/>
      <c r="D19" s="13"/>
      <c r="E19" s="13"/>
      <c r="F19" s="27"/>
      <c r="G19" s="13"/>
      <c r="H19" s="29"/>
      <c r="I19" s="13"/>
      <c r="J19" s="13"/>
      <c r="K19" s="13"/>
      <c r="L19" s="13"/>
      <c r="M19" s="13"/>
      <c r="N19" s="13"/>
      <c r="O19" s="24"/>
      <c r="P19" s="23" t="s">
        <v>51</v>
      </c>
      <c r="Q19" s="13"/>
      <c r="R19" s="23"/>
      <c r="S19" s="13"/>
      <c r="T19" s="13"/>
      <c r="U19" s="13"/>
      <c r="V19" s="13"/>
      <c r="W19" s="13"/>
      <c r="X19" s="23"/>
      <c r="Y19" s="13"/>
      <c r="Z19" s="23" t="s">
        <v>48</v>
      </c>
      <c r="AA19" s="28"/>
      <c r="AB19" s="205">
        <f>AB17</f>
        <v>2591020</v>
      </c>
      <c r="AC19" s="202"/>
      <c r="AD19" s="202"/>
      <c r="AE19" s="202"/>
      <c r="AF19" s="200"/>
      <c r="AG19" s="13"/>
      <c r="AH19" s="13"/>
      <c r="AI19" s="13"/>
      <c r="AJ19" s="13"/>
      <c r="AK19" s="19"/>
      <c r="AL19" s="13"/>
      <c r="AM19" s="13"/>
      <c r="AN19" s="13"/>
      <c r="AO19" s="13"/>
    </row>
    <row r="20" spans="1:41" ht="17.25" customHeight="1">
      <c r="A20" s="25"/>
      <c r="B20" s="17"/>
      <c r="C20" s="13"/>
      <c r="D20" s="13"/>
      <c r="E20" s="13"/>
      <c r="F20" s="23" t="s">
        <v>52</v>
      </c>
      <c r="G20" s="13"/>
      <c r="H20" s="29"/>
      <c r="I20" s="13"/>
      <c r="J20" s="13"/>
      <c r="K20" s="13"/>
      <c r="L20" s="13"/>
      <c r="M20" s="13"/>
      <c r="N20" s="13"/>
      <c r="O20" s="24" t="s">
        <v>10</v>
      </c>
      <c r="P20" s="24"/>
      <c r="Q20" s="13"/>
      <c r="R20" s="23"/>
      <c r="S20" s="13"/>
      <c r="T20" s="13"/>
      <c r="U20" s="13"/>
      <c r="V20" s="13"/>
      <c r="W20" s="13"/>
      <c r="X20" s="23"/>
      <c r="Y20" s="13"/>
      <c r="Z20" s="23" t="s">
        <v>48</v>
      </c>
      <c r="AA20" s="30"/>
      <c r="AB20" s="213">
        <f>'[13]RekapRAB '!R24</f>
        <v>12000000</v>
      </c>
      <c r="AC20" s="214"/>
      <c r="AD20" s="214"/>
      <c r="AE20" s="214"/>
      <c r="AF20" s="215"/>
      <c r="AG20" s="13"/>
      <c r="AH20" s="13"/>
      <c r="AI20" s="13"/>
      <c r="AJ20" s="13"/>
      <c r="AK20" s="19"/>
      <c r="AL20" s="13"/>
      <c r="AM20" s="13"/>
      <c r="AN20" s="13"/>
      <c r="AO20" s="13"/>
    </row>
    <row r="21" spans="1:41" ht="17.25" customHeight="1">
      <c r="A21" s="13"/>
      <c r="B21" s="17"/>
      <c r="C21" s="13"/>
      <c r="D21" s="13"/>
      <c r="E21" s="13"/>
      <c r="F21" s="23"/>
      <c r="G21" s="13"/>
      <c r="H21" s="13"/>
      <c r="I21" s="13"/>
      <c r="J21" s="13"/>
      <c r="K21" s="13"/>
      <c r="L21" s="13"/>
      <c r="M21" s="13"/>
      <c r="N21" s="13"/>
      <c r="O21" s="24"/>
      <c r="P21" s="23" t="s">
        <v>53</v>
      </c>
      <c r="Q21" s="13"/>
      <c r="R21" s="23"/>
      <c r="S21" s="13"/>
      <c r="T21" s="13"/>
      <c r="U21" s="13"/>
      <c r="V21" s="13"/>
      <c r="W21" s="13"/>
      <c r="X21" s="23"/>
      <c r="Y21" s="13"/>
      <c r="Z21" s="23" t="s">
        <v>48</v>
      </c>
      <c r="AA21" s="28"/>
      <c r="AB21" s="210">
        <f>SUM(AB16:AB20)</f>
        <v>281466080</v>
      </c>
      <c r="AC21" s="211"/>
      <c r="AD21" s="211"/>
      <c r="AE21" s="211"/>
      <c r="AF21" s="212"/>
      <c r="AG21" s="13"/>
      <c r="AH21" s="13"/>
      <c r="AI21" s="13"/>
      <c r="AJ21" s="13"/>
      <c r="AK21" s="19"/>
      <c r="AL21" s="13"/>
      <c r="AM21" s="13"/>
      <c r="AN21" s="13"/>
      <c r="AO21" s="13"/>
    </row>
    <row r="22" spans="1:41" ht="17.25" customHeight="1">
      <c r="A22" s="13"/>
      <c r="B22" s="17"/>
      <c r="C22" s="13"/>
      <c r="D22" s="13"/>
      <c r="E22" s="31"/>
      <c r="F22" s="32" t="s">
        <v>54</v>
      </c>
      <c r="G22" s="31"/>
      <c r="H22" s="33"/>
      <c r="I22" s="31"/>
      <c r="J22" s="31"/>
      <c r="K22" s="31"/>
      <c r="L22" s="31"/>
      <c r="M22" s="31"/>
      <c r="N22" s="31"/>
      <c r="O22" s="34" t="s">
        <v>10</v>
      </c>
      <c r="P22" s="32" t="s">
        <v>55</v>
      </c>
      <c r="Q22" s="31"/>
      <c r="R22" s="32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13"/>
      <c r="AI22" s="13"/>
      <c r="AJ22" s="13"/>
      <c r="AK22" s="19"/>
      <c r="AL22" s="13"/>
      <c r="AM22" s="13"/>
      <c r="AN22" s="13"/>
      <c r="AO22" s="13"/>
    </row>
    <row r="23" spans="1:41" ht="17.25" customHeight="1">
      <c r="A23" s="13"/>
      <c r="B23" s="17"/>
      <c r="C23" s="13"/>
      <c r="D23" s="13"/>
      <c r="E23" s="35"/>
      <c r="F23" s="32" t="s">
        <v>56</v>
      </c>
      <c r="G23" s="31"/>
      <c r="H23" s="33"/>
      <c r="I23" s="31"/>
      <c r="J23" s="31"/>
      <c r="K23" s="31"/>
      <c r="L23" s="31"/>
      <c r="M23" s="31"/>
      <c r="N23" s="31"/>
      <c r="O23" s="34" t="s">
        <v>10</v>
      </c>
      <c r="P23" s="32" t="s">
        <v>57</v>
      </c>
      <c r="Q23" s="31"/>
      <c r="R23" s="32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13"/>
      <c r="AI23" s="13"/>
      <c r="AJ23" s="13"/>
      <c r="AK23" s="19"/>
      <c r="AL23" s="13"/>
      <c r="AM23" s="13"/>
      <c r="AN23" s="13"/>
      <c r="AO23" s="13"/>
    </row>
    <row r="24" spans="1:41" ht="17.25" customHeight="1">
      <c r="A24" s="36"/>
      <c r="B24" s="17"/>
      <c r="C24" s="13"/>
      <c r="D24" s="13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13"/>
      <c r="AI24" s="13"/>
      <c r="AJ24" s="13"/>
      <c r="AK24" s="19"/>
      <c r="AL24" s="13"/>
      <c r="AM24" s="13"/>
      <c r="AN24" s="13"/>
      <c r="AO24" s="13"/>
    </row>
    <row r="25" spans="1:41" ht="12.75" customHeight="1">
      <c r="A25" s="36"/>
      <c r="B25" s="17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9"/>
      <c r="AL25" s="13"/>
      <c r="AM25" s="13"/>
      <c r="AN25" s="13"/>
      <c r="AO25" s="13"/>
    </row>
    <row r="26" spans="1:41" ht="12.75" customHeight="1">
      <c r="A26" s="36"/>
      <c r="B26" s="17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23"/>
      <c r="N26" s="23"/>
      <c r="O26" s="37"/>
      <c r="P26" s="37" t="s">
        <v>58</v>
      </c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9"/>
      <c r="AL26" s="13"/>
      <c r="AM26" s="38" t="s">
        <v>59</v>
      </c>
      <c r="AN26" s="3"/>
      <c r="AO26" s="3"/>
    </row>
    <row r="27" spans="1:41" ht="12.75" customHeight="1">
      <c r="A27" s="36"/>
      <c r="B27" s="17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9"/>
      <c r="AL27" s="13"/>
      <c r="AM27" s="3" t="s">
        <v>60</v>
      </c>
      <c r="AN27" s="3"/>
      <c r="AO27" s="3"/>
    </row>
    <row r="28" spans="1:41" ht="12.75" customHeight="1">
      <c r="A28" s="36"/>
      <c r="B28" s="17"/>
      <c r="C28" s="13"/>
      <c r="D28" s="13"/>
      <c r="E28" s="18"/>
      <c r="F28" s="1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99"/>
      <c r="R28" s="200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9"/>
      <c r="AL28" s="13"/>
      <c r="AM28" s="3" t="s">
        <v>61</v>
      </c>
      <c r="AN28" s="3"/>
      <c r="AO28" s="3"/>
    </row>
    <row r="29" spans="1:41" ht="12.75" customHeight="1">
      <c r="A29" s="36"/>
      <c r="B29" s="17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9"/>
      <c r="AL29" s="13"/>
      <c r="AM29" s="3" t="s">
        <v>62</v>
      </c>
      <c r="AN29" s="3"/>
      <c r="AO29" s="3"/>
    </row>
    <row r="30" spans="1:41" ht="12.75" customHeight="1">
      <c r="A30" s="36"/>
      <c r="B30" s="17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21"/>
      <c r="Y30" s="21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9"/>
      <c r="AL30" s="13"/>
      <c r="AM30" s="3" t="s">
        <v>63</v>
      </c>
      <c r="AN30" s="3"/>
      <c r="AO30" s="3"/>
    </row>
    <row r="31" spans="1:41" ht="16.5" customHeight="1">
      <c r="A31" s="36"/>
      <c r="B31" s="17"/>
      <c r="C31" s="13"/>
      <c r="D31" s="13"/>
      <c r="E31" s="208">
        <v>300</v>
      </c>
      <c r="F31" s="202"/>
      <c r="G31" s="200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9"/>
      <c r="AL31" s="13"/>
      <c r="AM31" s="3" t="s">
        <v>64</v>
      </c>
      <c r="AN31" s="3"/>
      <c r="AO31" s="3"/>
    </row>
    <row r="32" spans="1:41" ht="16.5" customHeight="1">
      <c r="A32" s="13"/>
      <c r="B32" s="17"/>
      <c r="C32" s="13"/>
      <c r="D32" s="13"/>
      <c r="E32" s="13"/>
      <c r="F32" s="13"/>
      <c r="G32" s="13"/>
      <c r="H32" s="39"/>
      <c r="I32" s="39"/>
      <c r="J32" s="216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  <c r="AC32" s="200"/>
      <c r="AD32" s="13"/>
      <c r="AE32" s="13"/>
      <c r="AF32" s="13"/>
      <c r="AG32" s="13"/>
      <c r="AH32" s="13"/>
      <c r="AI32" s="13"/>
      <c r="AJ32" s="13"/>
      <c r="AK32" s="19"/>
      <c r="AL32" s="13"/>
      <c r="AM32" s="13"/>
      <c r="AN32" s="13"/>
      <c r="AO32" s="13"/>
    </row>
    <row r="33" spans="1:41" ht="16.5" customHeight="1">
      <c r="A33" s="13"/>
      <c r="B33" s="17"/>
      <c r="C33" s="13"/>
      <c r="D33" s="13"/>
      <c r="E33" s="13"/>
      <c r="F33" s="209"/>
      <c r="G33" s="202"/>
      <c r="H33" s="202"/>
      <c r="I33" s="200"/>
      <c r="J33" s="216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0"/>
      <c r="AD33" s="13"/>
      <c r="AE33" s="13"/>
      <c r="AF33" s="13"/>
      <c r="AG33" s="13"/>
      <c r="AH33" s="13"/>
      <c r="AI33" s="13"/>
      <c r="AJ33" s="13"/>
      <c r="AK33" s="19"/>
      <c r="AL33" s="13"/>
      <c r="AM33" s="13"/>
      <c r="AN33" s="13"/>
      <c r="AO33" s="13"/>
    </row>
    <row r="34" spans="1:41" ht="12.75" customHeight="1">
      <c r="A34" s="13"/>
      <c r="B34" s="17"/>
      <c r="C34" s="13"/>
      <c r="D34" s="13"/>
      <c r="E34" s="13"/>
      <c r="F34" s="40"/>
      <c r="G34" s="40"/>
      <c r="H34" s="40"/>
      <c r="I34" s="40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23"/>
      <c r="AD34" s="13"/>
      <c r="AE34" s="13"/>
      <c r="AF34" s="13"/>
      <c r="AG34" s="13"/>
      <c r="AH34" s="13"/>
      <c r="AI34" s="13"/>
      <c r="AJ34" s="13"/>
      <c r="AK34" s="19"/>
      <c r="AL34" s="13"/>
      <c r="AM34" s="13"/>
      <c r="AN34" s="13"/>
      <c r="AO34" s="13"/>
    </row>
    <row r="35" spans="1:41" ht="12.75" customHeight="1">
      <c r="A35" s="13"/>
      <c r="B35" s="17"/>
      <c r="C35" s="13"/>
      <c r="D35" s="13"/>
      <c r="E35" s="13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13"/>
      <c r="AF35" s="13"/>
      <c r="AG35" s="13"/>
      <c r="AH35" s="13"/>
      <c r="AI35" s="13"/>
      <c r="AJ35" s="13"/>
      <c r="AK35" s="19"/>
      <c r="AL35" s="13"/>
      <c r="AM35" s="13"/>
      <c r="AN35" s="13"/>
      <c r="AO35" s="13"/>
    </row>
    <row r="36" spans="1:41" ht="12.75" customHeight="1">
      <c r="A36" s="13"/>
      <c r="B36" s="17"/>
      <c r="C36" s="13"/>
      <c r="D36" s="13"/>
      <c r="E36" s="13"/>
      <c r="F36" s="13"/>
      <c r="G36" s="1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13"/>
      <c r="AE36" s="13"/>
      <c r="AF36" s="13"/>
      <c r="AG36" s="13"/>
      <c r="AH36" s="13"/>
      <c r="AI36" s="13"/>
      <c r="AJ36" s="13"/>
      <c r="AK36" s="19"/>
      <c r="AL36" s="13"/>
      <c r="AM36" s="13"/>
      <c r="AN36" s="13"/>
      <c r="AO36" s="13"/>
    </row>
    <row r="37" spans="1:41" ht="12.75" customHeight="1">
      <c r="A37" s="13"/>
      <c r="B37" s="17"/>
      <c r="C37" s="13"/>
      <c r="D37" s="13"/>
      <c r="E37" s="13"/>
      <c r="F37" s="13"/>
      <c r="G37" s="1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13"/>
      <c r="AE37" s="13"/>
      <c r="AF37" s="13"/>
      <c r="AG37" s="13"/>
      <c r="AH37" s="13"/>
      <c r="AI37" s="13"/>
      <c r="AJ37" s="13"/>
      <c r="AK37" s="19"/>
      <c r="AL37" s="13"/>
      <c r="AM37" s="13"/>
      <c r="AN37" s="13"/>
      <c r="AO37" s="13"/>
    </row>
    <row r="38" spans="1:41" ht="12.75" customHeight="1">
      <c r="A38" s="13"/>
      <c r="B38" s="17"/>
      <c r="C38" s="13"/>
      <c r="D38" s="13"/>
      <c r="E38" s="13"/>
      <c r="F38" s="27"/>
      <c r="G38" s="13"/>
      <c r="H38" s="13"/>
      <c r="I38" s="13"/>
      <c r="J38" s="13"/>
      <c r="K38" s="13"/>
      <c r="L38" s="13"/>
      <c r="M38" s="13"/>
      <c r="N38" s="13"/>
      <c r="O38" s="24"/>
      <c r="P38" s="27"/>
      <c r="Q38" s="13"/>
      <c r="R38" s="2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9"/>
      <c r="AL38" s="13"/>
      <c r="AM38" s="13"/>
      <c r="AN38" s="13"/>
      <c r="AO38" s="13"/>
    </row>
    <row r="39" spans="1:41" ht="12.75" customHeight="1">
      <c r="A39" s="13"/>
      <c r="B39" s="17"/>
      <c r="C39" s="13"/>
      <c r="D39" s="13"/>
      <c r="E39" s="13"/>
      <c r="F39" s="27"/>
      <c r="G39" s="13"/>
      <c r="H39" s="13"/>
      <c r="I39" s="13"/>
      <c r="J39" s="13"/>
      <c r="K39" s="13"/>
      <c r="L39" s="13"/>
      <c r="M39" s="13"/>
      <c r="N39" s="13"/>
      <c r="O39" s="24"/>
      <c r="P39" s="27"/>
      <c r="Q39" s="13"/>
      <c r="R39" s="23"/>
      <c r="S39" s="13"/>
      <c r="T39" s="1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13"/>
      <c r="AF39" s="13"/>
      <c r="AG39" s="13"/>
      <c r="AH39" s="13"/>
      <c r="AI39" s="13"/>
      <c r="AJ39" s="13"/>
      <c r="AK39" s="19"/>
      <c r="AL39" s="13"/>
      <c r="AM39" s="13"/>
      <c r="AN39" s="13"/>
      <c r="AO39" s="13"/>
    </row>
    <row r="40" spans="1:41" ht="12.75" customHeight="1">
      <c r="A40" s="13"/>
      <c r="B40" s="17"/>
      <c r="C40" s="13"/>
      <c r="D40" s="13"/>
      <c r="E40" s="13"/>
      <c r="F40" s="27"/>
      <c r="G40" s="13"/>
      <c r="H40" s="13"/>
      <c r="I40" s="13"/>
      <c r="J40" s="13"/>
      <c r="K40" s="13"/>
      <c r="L40" s="13"/>
      <c r="M40" s="13"/>
      <c r="N40" s="13"/>
      <c r="O40" s="24"/>
      <c r="P40" s="42"/>
      <c r="Q40" s="13"/>
      <c r="R40" s="2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9"/>
      <c r="AL40" s="13"/>
      <c r="AM40" s="13"/>
      <c r="AN40" s="13"/>
      <c r="AO40" s="13"/>
    </row>
    <row r="41" spans="1:41" ht="12.75" customHeight="1">
      <c r="A41" s="13"/>
      <c r="B41" s="17"/>
      <c r="C41" s="13"/>
      <c r="D41" s="13"/>
      <c r="E41" s="13"/>
      <c r="F41" s="27"/>
      <c r="G41" s="13"/>
      <c r="H41" s="13"/>
      <c r="I41" s="13"/>
      <c r="J41" s="13"/>
      <c r="K41" s="13"/>
      <c r="L41" s="13"/>
      <c r="M41" s="13"/>
      <c r="N41" s="13"/>
      <c r="O41" s="24"/>
      <c r="P41" s="27"/>
      <c r="Q41" s="13"/>
      <c r="R41" s="23"/>
      <c r="S41" s="13"/>
      <c r="T41" s="13"/>
      <c r="U41" s="13"/>
      <c r="V41" s="23"/>
      <c r="W41" s="13"/>
      <c r="X41" s="27"/>
      <c r="Y41" s="13"/>
      <c r="Z41" s="43"/>
      <c r="AA41" s="43"/>
      <c r="AB41" s="43"/>
      <c r="AC41" s="43"/>
      <c r="AD41" s="43"/>
      <c r="AE41" s="13"/>
      <c r="AF41" s="13"/>
      <c r="AG41" s="13"/>
      <c r="AH41" s="20"/>
      <c r="AI41" s="20"/>
      <c r="AJ41" s="206"/>
      <c r="AK41" s="207"/>
      <c r="AL41" s="13"/>
      <c r="AM41" s="13"/>
      <c r="AN41" s="13"/>
      <c r="AO41" s="13"/>
    </row>
    <row r="42" spans="1:41" ht="12.75" customHeight="1">
      <c r="A42" s="13"/>
      <c r="B42" s="17"/>
      <c r="C42" s="13"/>
      <c r="D42" s="13"/>
      <c r="E42" s="13"/>
      <c r="F42" s="27"/>
      <c r="G42" s="13"/>
      <c r="H42" s="13"/>
      <c r="I42" s="13"/>
      <c r="J42" s="13"/>
      <c r="K42" s="13"/>
      <c r="L42" s="13"/>
      <c r="M42" s="13"/>
      <c r="N42" s="13"/>
      <c r="O42" s="24"/>
      <c r="P42" s="27"/>
      <c r="Q42" s="13"/>
      <c r="R42" s="23"/>
      <c r="S42" s="13"/>
      <c r="T42" s="13"/>
      <c r="U42" s="13"/>
      <c r="V42" s="23"/>
      <c r="W42" s="13"/>
      <c r="X42" s="27"/>
      <c r="Y42" s="28"/>
      <c r="Z42" s="43"/>
      <c r="AA42" s="43"/>
      <c r="AB42" s="43"/>
      <c r="AC42" s="43"/>
      <c r="AD42" s="43"/>
      <c r="AE42" s="13"/>
      <c r="AF42" s="13"/>
      <c r="AG42" s="13"/>
      <c r="AH42" s="13"/>
      <c r="AI42" s="13"/>
      <c r="AJ42" s="13"/>
      <c r="AK42" s="19"/>
      <c r="AL42" s="13"/>
      <c r="AM42" s="13"/>
      <c r="AN42" s="13"/>
      <c r="AO42" s="13"/>
    </row>
    <row r="43" spans="1:41" ht="12.75" customHeight="1">
      <c r="A43" s="13"/>
      <c r="B43" s="17"/>
      <c r="C43" s="13"/>
      <c r="D43" s="13"/>
      <c r="E43" s="13"/>
      <c r="F43" s="27"/>
      <c r="G43" s="13"/>
      <c r="H43" s="13"/>
      <c r="I43" s="13"/>
      <c r="J43" s="13"/>
      <c r="K43" s="13"/>
      <c r="L43" s="13"/>
      <c r="M43" s="13"/>
      <c r="N43" s="13"/>
      <c r="O43" s="24"/>
      <c r="P43" s="27"/>
      <c r="Q43" s="13"/>
      <c r="R43" s="23"/>
      <c r="S43" s="13"/>
      <c r="T43" s="13"/>
      <c r="U43" s="13"/>
      <c r="V43" s="23"/>
      <c r="W43" s="13"/>
      <c r="X43" s="27"/>
      <c r="Y43" s="28"/>
      <c r="Z43" s="43"/>
      <c r="AA43" s="43"/>
      <c r="AB43" s="43"/>
      <c r="AC43" s="43"/>
      <c r="AD43" s="43"/>
      <c r="AE43" s="13"/>
      <c r="AF43" s="13"/>
      <c r="AG43" s="13"/>
      <c r="AH43" s="13"/>
      <c r="AI43" s="13"/>
      <c r="AJ43" s="13"/>
      <c r="AK43" s="19"/>
      <c r="AL43" s="13"/>
      <c r="AM43" s="13"/>
      <c r="AN43" s="13"/>
      <c r="AO43" s="13"/>
    </row>
    <row r="44" spans="1:41" ht="12.75" customHeight="1">
      <c r="A44" s="13"/>
      <c r="B44" s="17"/>
      <c r="C44" s="13"/>
      <c r="D44" s="13"/>
      <c r="E44" s="13"/>
      <c r="F44" s="27"/>
      <c r="G44" s="13"/>
      <c r="H44" s="13"/>
      <c r="I44" s="13"/>
      <c r="J44" s="13"/>
      <c r="K44" s="13"/>
      <c r="L44" s="13"/>
      <c r="M44" s="13"/>
      <c r="N44" s="13"/>
      <c r="O44" s="24"/>
      <c r="P44" s="27"/>
      <c r="Q44" s="13"/>
      <c r="R44" s="23"/>
      <c r="S44" s="13"/>
      <c r="T44" s="13"/>
      <c r="U44" s="13"/>
      <c r="V44" s="23"/>
      <c r="W44" s="13"/>
      <c r="X44" s="27"/>
      <c r="Y44" s="28"/>
      <c r="Z44" s="43"/>
      <c r="AA44" s="43"/>
      <c r="AB44" s="43"/>
      <c r="AC44" s="43"/>
      <c r="AD44" s="43"/>
      <c r="AE44" s="13"/>
      <c r="AF44" s="13"/>
      <c r="AG44" s="13"/>
      <c r="AH44" s="13"/>
      <c r="AI44" s="13"/>
      <c r="AJ44" s="13"/>
      <c r="AK44" s="19"/>
      <c r="AL44" s="13"/>
      <c r="AM44" s="13"/>
      <c r="AN44" s="13"/>
      <c r="AO44" s="13"/>
    </row>
    <row r="45" spans="1:41" ht="12.75" customHeight="1">
      <c r="A45" s="13"/>
      <c r="B45" s="17"/>
      <c r="C45" s="13"/>
      <c r="D45" s="13"/>
      <c r="E45" s="13"/>
      <c r="F45" s="27"/>
      <c r="G45" s="13"/>
      <c r="H45" s="13"/>
      <c r="I45" s="13"/>
      <c r="J45" s="13"/>
      <c r="K45" s="13"/>
      <c r="L45" s="13"/>
      <c r="M45" s="13"/>
      <c r="N45" s="13"/>
      <c r="O45" s="24"/>
      <c r="P45" s="27"/>
      <c r="Q45" s="13"/>
      <c r="R45" s="23"/>
      <c r="S45" s="13"/>
      <c r="T45" s="13"/>
      <c r="U45" s="13"/>
      <c r="V45" s="23"/>
      <c r="W45" s="13"/>
      <c r="X45" s="27"/>
      <c r="Y45" s="28"/>
      <c r="Z45" s="43"/>
      <c r="AA45" s="43"/>
      <c r="AB45" s="43"/>
      <c r="AC45" s="43"/>
      <c r="AD45" s="43"/>
      <c r="AE45" s="13"/>
      <c r="AF45" s="13"/>
      <c r="AG45" s="13"/>
      <c r="AH45" s="13"/>
      <c r="AI45" s="13"/>
      <c r="AJ45" s="13"/>
      <c r="AK45" s="19"/>
      <c r="AL45" s="13"/>
      <c r="AM45" s="13"/>
      <c r="AN45" s="13"/>
      <c r="AO45" s="13"/>
    </row>
    <row r="46" spans="1:41" ht="12.75" customHeight="1">
      <c r="A46" s="13"/>
      <c r="B46" s="17"/>
      <c r="C46" s="13"/>
      <c r="D46" s="13"/>
      <c r="E46" s="13"/>
      <c r="F46" s="27"/>
      <c r="G46" s="13"/>
      <c r="H46" s="29"/>
      <c r="I46" s="13"/>
      <c r="J46" s="13"/>
      <c r="K46" s="13"/>
      <c r="L46" s="13"/>
      <c r="M46" s="13"/>
      <c r="N46" s="13"/>
      <c r="O46" s="24"/>
      <c r="P46" s="27"/>
      <c r="Q46" s="13"/>
      <c r="R46" s="23"/>
      <c r="S46" s="13"/>
      <c r="T46" s="13"/>
      <c r="U46" s="13"/>
      <c r="V46" s="23"/>
      <c r="W46" s="13"/>
      <c r="X46" s="27"/>
      <c r="Y46" s="28"/>
      <c r="Z46" s="43"/>
      <c r="AA46" s="43"/>
      <c r="AB46" s="43"/>
      <c r="AC46" s="43"/>
      <c r="AD46" s="43"/>
      <c r="AE46" s="13"/>
      <c r="AF46" s="13"/>
      <c r="AG46" s="13"/>
      <c r="AH46" s="13"/>
      <c r="AI46" s="13"/>
      <c r="AJ46" s="13"/>
      <c r="AK46" s="19"/>
      <c r="AL46" s="13"/>
      <c r="AM46" s="13"/>
      <c r="AN46" s="13"/>
      <c r="AO46" s="13"/>
    </row>
    <row r="47" spans="1:41" ht="12.75" customHeight="1">
      <c r="A47" s="13"/>
      <c r="B47" s="17"/>
      <c r="C47" s="13"/>
      <c r="D47" s="13"/>
      <c r="E47" s="13"/>
      <c r="F47" s="27"/>
      <c r="G47" s="13"/>
      <c r="H47" s="29"/>
      <c r="I47" s="13"/>
      <c r="J47" s="13"/>
      <c r="K47" s="13"/>
      <c r="L47" s="13"/>
      <c r="M47" s="13"/>
      <c r="N47" s="13"/>
      <c r="O47" s="24"/>
      <c r="P47" s="44"/>
      <c r="Q47" s="13"/>
      <c r="R47" s="23"/>
      <c r="S47" s="13"/>
      <c r="T47" s="13"/>
      <c r="U47" s="13"/>
      <c r="V47" s="23"/>
      <c r="W47" s="13"/>
      <c r="X47" s="27"/>
      <c r="Y47" s="30"/>
      <c r="Z47" s="43"/>
      <c r="AA47" s="43"/>
      <c r="AB47" s="43"/>
      <c r="AC47" s="43"/>
      <c r="AD47" s="43"/>
      <c r="AE47" s="13"/>
      <c r="AF47" s="13"/>
      <c r="AG47" s="13"/>
      <c r="AH47" s="13"/>
      <c r="AI47" s="13"/>
      <c r="AJ47" s="13"/>
      <c r="AK47" s="19"/>
      <c r="AL47" s="13"/>
      <c r="AM47" s="13"/>
      <c r="AN47" s="13"/>
      <c r="AO47" s="13"/>
    </row>
    <row r="48" spans="1:41" ht="12.75" customHeight="1">
      <c r="A48" s="13"/>
      <c r="B48" s="17"/>
      <c r="C48" s="13"/>
      <c r="D48" s="13"/>
      <c r="E48" s="13"/>
      <c r="F48" s="27"/>
      <c r="G48" s="13"/>
      <c r="H48" s="13"/>
      <c r="I48" s="13"/>
      <c r="J48" s="13"/>
      <c r="K48" s="13"/>
      <c r="L48" s="13"/>
      <c r="M48" s="13"/>
      <c r="N48" s="13"/>
      <c r="O48" s="24"/>
      <c r="P48" s="27"/>
      <c r="Q48" s="13"/>
      <c r="R48" s="23"/>
      <c r="S48" s="13"/>
      <c r="T48" s="13"/>
      <c r="U48" s="13"/>
      <c r="V48" s="23"/>
      <c r="W48" s="13"/>
      <c r="X48" s="27"/>
      <c r="Y48" s="28"/>
      <c r="Z48" s="43"/>
      <c r="AA48" s="43"/>
      <c r="AB48" s="43"/>
      <c r="AC48" s="43"/>
      <c r="AD48" s="43"/>
      <c r="AE48" s="13"/>
      <c r="AF48" s="13"/>
      <c r="AG48" s="13"/>
      <c r="AH48" s="13"/>
      <c r="AI48" s="13"/>
      <c r="AJ48" s="13"/>
      <c r="AK48" s="19"/>
      <c r="AL48" s="13"/>
      <c r="AM48" s="13"/>
      <c r="AN48" s="13"/>
      <c r="AO48" s="13"/>
    </row>
    <row r="49" spans="1:41" ht="12.75" customHeight="1">
      <c r="A49" s="13"/>
      <c r="B49" s="17"/>
      <c r="C49" s="13"/>
      <c r="D49" s="13"/>
      <c r="E49" s="13"/>
      <c r="F49" s="27"/>
      <c r="G49" s="13"/>
      <c r="H49" s="13"/>
      <c r="I49" s="13"/>
      <c r="J49" s="13"/>
      <c r="K49" s="13"/>
      <c r="L49" s="13"/>
      <c r="M49" s="13"/>
      <c r="N49" s="13"/>
      <c r="O49" s="24"/>
      <c r="P49" s="27"/>
      <c r="Q49" s="13"/>
      <c r="R49" s="23"/>
      <c r="S49" s="13"/>
      <c r="T49" s="13"/>
      <c r="U49" s="13"/>
      <c r="V49" s="23"/>
      <c r="W49" s="13"/>
      <c r="X49" s="27"/>
      <c r="Y49" s="28"/>
      <c r="Z49" s="43"/>
      <c r="AA49" s="43"/>
      <c r="AB49" s="43"/>
      <c r="AC49" s="43"/>
      <c r="AD49" s="43"/>
      <c r="AE49" s="13"/>
      <c r="AF49" s="13"/>
      <c r="AG49" s="13"/>
      <c r="AH49" s="13"/>
      <c r="AI49" s="13"/>
      <c r="AJ49" s="13"/>
      <c r="AK49" s="19"/>
      <c r="AL49" s="13"/>
      <c r="AM49" s="13"/>
      <c r="AN49" s="13"/>
      <c r="AO49" s="13"/>
    </row>
    <row r="50" spans="1:41" ht="12.75" customHeight="1">
      <c r="A50" s="13"/>
      <c r="B50" s="17"/>
      <c r="C50" s="13"/>
      <c r="D50" s="13"/>
      <c r="E50" s="13"/>
      <c r="F50" s="27"/>
      <c r="G50" s="13"/>
      <c r="H50" s="29"/>
      <c r="I50" s="13"/>
      <c r="J50" s="13"/>
      <c r="K50" s="13"/>
      <c r="L50" s="13"/>
      <c r="M50" s="13"/>
      <c r="N50" s="13"/>
      <c r="O50" s="24"/>
      <c r="P50" s="27"/>
      <c r="Q50" s="13"/>
      <c r="R50" s="2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9"/>
      <c r="AL50" s="13"/>
      <c r="AM50" s="13"/>
      <c r="AN50" s="13"/>
      <c r="AO50" s="13"/>
    </row>
    <row r="51" spans="1:41" ht="12.75" customHeight="1">
      <c r="A51" s="13"/>
      <c r="B51" s="17"/>
      <c r="C51" s="13"/>
      <c r="D51" s="13"/>
      <c r="E51" s="18"/>
      <c r="F51" s="27"/>
      <c r="G51" s="13"/>
      <c r="H51" s="29"/>
      <c r="I51" s="13"/>
      <c r="J51" s="13"/>
      <c r="K51" s="13"/>
      <c r="L51" s="13"/>
      <c r="M51" s="13"/>
      <c r="N51" s="13"/>
      <c r="O51" s="24"/>
      <c r="P51" s="27"/>
      <c r="Q51" s="13"/>
      <c r="R51" s="2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9"/>
      <c r="AL51" s="13"/>
      <c r="AM51" s="13"/>
      <c r="AN51" s="13"/>
      <c r="AO51" s="13"/>
    </row>
    <row r="52" spans="1:41" ht="12.75" customHeight="1">
      <c r="A52" s="13"/>
      <c r="B52" s="17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27"/>
      <c r="Q52" s="13"/>
      <c r="R52" s="2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9"/>
      <c r="AL52" s="13"/>
      <c r="AM52" s="13"/>
      <c r="AN52" s="13"/>
      <c r="AO52" s="13"/>
    </row>
    <row r="53" spans="1:41" ht="12.75" customHeight="1">
      <c r="A53" s="13"/>
      <c r="B53" s="17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9"/>
      <c r="AL53" s="13"/>
      <c r="AM53" s="13"/>
      <c r="AN53" s="13"/>
      <c r="AO53" s="13"/>
    </row>
    <row r="54" spans="1:41" ht="12.75" customHeight="1">
      <c r="A54" s="13"/>
      <c r="B54" s="17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9"/>
      <c r="AL54" s="13"/>
      <c r="AM54" s="13"/>
      <c r="AN54" s="13"/>
      <c r="AO54" s="13"/>
    </row>
    <row r="55" spans="1:41" ht="12.75" customHeight="1">
      <c r="A55" s="13"/>
      <c r="B55" s="17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3"/>
      <c r="N55" s="37"/>
      <c r="O55" s="23"/>
      <c r="P55" s="37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13"/>
      <c r="AE55" s="13"/>
      <c r="AF55" s="13"/>
      <c r="AG55" s="13"/>
      <c r="AH55" s="13"/>
      <c r="AI55" s="13"/>
      <c r="AJ55" s="13"/>
      <c r="AK55" s="19"/>
      <c r="AL55" s="13"/>
      <c r="AM55" s="13"/>
      <c r="AN55" s="13"/>
      <c r="AO55" s="13"/>
    </row>
    <row r="56" spans="1:41" ht="12.75" customHeight="1">
      <c r="A56" s="13"/>
      <c r="B56" s="17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9"/>
      <c r="AL56" s="13"/>
      <c r="AM56" s="13"/>
      <c r="AN56" s="13"/>
      <c r="AO56" s="13"/>
    </row>
    <row r="57" spans="1:41" ht="12.75" customHeight="1">
      <c r="A57" s="13"/>
      <c r="B57" s="45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7"/>
      <c r="AL57" s="13"/>
      <c r="AM57" s="13"/>
      <c r="AN57" s="13"/>
      <c r="AO57" s="13"/>
    </row>
    <row r="58" spans="1:41" ht="12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</row>
    <row r="59" spans="1:41" ht="12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</row>
    <row r="60" spans="1:41" ht="12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</row>
    <row r="61" spans="1:41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</row>
    <row r="62" spans="1:41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</row>
    <row r="63" spans="1:41" ht="12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</row>
    <row r="64" spans="1:41" ht="12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</row>
    <row r="65" spans="1:41" ht="12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</row>
    <row r="66" spans="1:41" ht="12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</row>
    <row r="67" spans="1:41" ht="12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</row>
    <row r="68" spans="1:41" ht="12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</row>
    <row r="69" spans="1:41" ht="12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</row>
    <row r="70" spans="1:41" ht="12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</row>
    <row r="71" spans="1:41" ht="12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</row>
    <row r="72" spans="1:41" ht="12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</row>
    <row r="73" spans="1:41" ht="12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</row>
    <row r="74" spans="1:41" ht="12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</row>
    <row r="75" spans="1:41" ht="12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</row>
    <row r="76" spans="1:41" ht="12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</row>
    <row r="77" spans="1:41" ht="12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</row>
    <row r="78" spans="1:41" ht="12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</row>
    <row r="79" spans="1:41" ht="12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</row>
    <row r="80" spans="1:41" ht="12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</row>
    <row r="81" spans="1:41" ht="12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</row>
    <row r="82" spans="1:41" ht="12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</row>
    <row r="83" spans="1:41" ht="12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</row>
    <row r="84" spans="1:41" ht="12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</row>
    <row r="85" spans="1:41" ht="12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</row>
    <row r="86" spans="1:41" ht="12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</row>
    <row r="87" spans="1:41" ht="12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</row>
    <row r="88" spans="1:41" ht="12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</row>
    <row r="89" spans="1:41" ht="12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</row>
    <row r="90" spans="1:41" ht="12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</row>
    <row r="91" spans="1:41" ht="12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</row>
    <row r="92" spans="1:41" ht="12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</row>
    <row r="93" spans="1:41" ht="12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</row>
    <row r="94" spans="1:41" ht="12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</row>
    <row r="95" spans="1:41" ht="12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</row>
    <row r="96" spans="1:41" ht="12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</row>
    <row r="97" spans="1:41" ht="12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</row>
    <row r="98" spans="1:41" ht="12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</row>
    <row r="99" spans="1:41" ht="12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</row>
    <row r="100" spans="1:41" ht="12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</row>
    <row r="101" spans="1:41" ht="12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</row>
    <row r="102" spans="1:41" ht="12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</row>
    <row r="103" spans="1:41" ht="12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</row>
    <row r="104" spans="1:41" ht="12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 spans="1:41" ht="12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</row>
    <row r="106" spans="1:41" ht="12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</row>
    <row r="107" spans="1:41" ht="12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</row>
    <row r="108" spans="1:41" ht="12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</row>
    <row r="109" spans="1:41" ht="12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</row>
    <row r="110" spans="1:41" ht="12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</row>
    <row r="111" spans="1:41" ht="12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</row>
    <row r="112" spans="1:41" ht="12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</row>
    <row r="113" spans="1:41" ht="12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</row>
    <row r="114" spans="1:41" ht="12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</row>
    <row r="115" spans="1:41" ht="12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</row>
    <row r="116" spans="1:41" ht="12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</row>
    <row r="117" spans="1:41" ht="12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</row>
    <row r="118" spans="1:41" ht="12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</row>
    <row r="119" spans="1:41" ht="12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</row>
    <row r="120" spans="1:41" ht="12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</row>
    <row r="121" spans="1:41" ht="12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</row>
    <row r="122" spans="1:41" ht="12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</row>
    <row r="123" spans="1:41" ht="12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</row>
    <row r="124" spans="1:41" ht="12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</row>
    <row r="125" spans="1:41" ht="12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</row>
    <row r="126" spans="1:41" ht="12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</row>
    <row r="127" spans="1:41" ht="12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</row>
    <row r="128" spans="1:41" ht="12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</row>
    <row r="129" spans="1:41" ht="12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</row>
    <row r="130" spans="1:41" ht="12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</row>
    <row r="131" spans="1:41" ht="12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</row>
    <row r="132" spans="1:41" ht="12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</row>
    <row r="133" spans="1:41" ht="12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</row>
    <row r="134" spans="1:41" ht="12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</row>
    <row r="135" spans="1:41" ht="12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</row>
    <row r="136" spans="1:41" ht="12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</row>
    <row r="137" spans="1:41" ht="12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</row>
    <row r="138" spans="1:41" ht="12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</row>
    <row r="139" spans="1:41" ht="12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</row>
    <row r="140" spans="1:41" ht="12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</row>
    <row r="141" spans="1:41" ht="12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</row>
    <row r="142" spans="1:41" ht="12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</row>
    <row r="143" spans="1:41" ht="12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</row>
    <row r="144" spans="1:41" ht="12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</row>
    <row r="145" spans="1:41" ht="12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</row>
    <row r="146" spans="1:41" ht="12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</row>
    <row r="147" spans="1:41" ht="12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</row>
    <row r="148" spans="1:41" ht="12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</row>
    <row r="149" spans="1:41" ht="12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</row>
    <row r="150" spans="1:41" ht="12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</row>
    <row r="151" spans="1:41" ht="12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</row>
    <row r="152" spans="1:41" ht="12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</row>
    <row r="153" spans="1:41" ht="12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</row>
    <row r="154" spans="1:41" ht="12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</row>
    <row r="155" spans="1:41" ht="12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</row>
    <row r="156" spans="1:41" ht="12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</row>
    <row r="157" spans="1:41" ht="12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</row>
    <row r="158" spans="1:41" ht="12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</row>
    <row r="159" spans="1:41" ht="12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</row>
    <row r="160" spans="1:41" ht="12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</row>
    <row r="161" spans="1:41" ht="12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</row>
    <row r="162" spans="1:41" ht="12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</row>
    <row r="163" spans="1:41" ht="12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</row>
    <row r="164" spans="1:41" ht="12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</row>
    <row r="165" spans="1:41" ht="12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</row>
    <row r="166" spans="1:41" ht="12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</row>
    <row r="167" spans="1:41" ht="12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</row>
    <row r="168" spans="1:41" ht="12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</row>
    <row r="169" spans="1:41" ht="12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</row>
    <row r="170" spans="1:41" ht="12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</row>
    <row r="171" spans="1:41" ht="12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</row>
    <row r="172" spans="1:41" ht="12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</row>
    <row r="173" spans="1:41" ht="12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</row>
    <row r="174" spans="1:41" ht="12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</row>
    <row r="175" spans="1:41" ht="12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</row>
    <row r="176" spans="1:41" ht="12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</row>
    <row r="177" spans="1:41" ht="12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</row>
    <row r="178" spans="1:41" ht="12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</row>
    <row r="179" spans="1:41" ht="12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</row>
    <row r="180" spans="1:41" ht="12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</row>
    <row r="181" spans="1:41" ht="12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</row>
    <row r="182" spans="1:41" ht="12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</row>
    <row r="183" spans="1:41" ht="12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</row>
    <row r="184" spans="1:41" ht="12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</row>
    <row r="185" spans="1:41" ht="12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</row>
    <row r="186" spans="1:41" ht="12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</row>
    <row r="187" spans="1:41" ht="12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</row>
    <row r="188" spans="1:41" ht="12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</row>
    <row r="189" spans="1:41" ht="12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</row>
    <row r="190" spans="1:41" ht="12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</row>
    <row r="191" spans="1:41" ht="12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</row>
    <row r="192" spans="1:41" ht="12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</row>
    <row r="193" spans="1:41" ht="12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</row>
    <row r="194" spans="1:41" ht="12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</row>
    <row r="195" spans="1:41" ht="12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</row>
    <row r="196" spans="1:41" ht="12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</row>
    <row r="197" spans="1:41" ht="12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</row>
    <row r="198" spans="1:41" ht="12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</row>
    <row r="199" spans="1:41" ht="12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</row>
    <row r="200" spans="1:41" ht="12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</row>
    <row r="201" spans="1:41" ht="12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</row>
    <row r="202" spans="1:41" ht="12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</row>
    <row r="203" spans="1:41" ht="12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</row>
    <row r="204" spans="1:41" ht="12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</row>
    <row r="205" spans="1:41" ht="12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</row>
    <row r="206" spans="1:41" ht="12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</row>
    <row r="207" spans="1:41" ht="12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</row>
    <row r="208" spans="1:41" ht="12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</row>
    <row r="209" spans="1:41" ht="12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</row>
    <row r="210" spans="1:41" ht="12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</row>
    <row r="211" spans="1:41" ht="12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</row>
    <row r="212" spans="1:41" ht="12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</row>
    <row r="213" spans="1:41" ht="12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</row>
    <row r="214" spans="1:41" ht="12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</row>
    <row r="215" spans="1:41" ht="12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</row>
    <row r="216" spans="1:41" ht="12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</row>
    <row r="217" spans="1:41" ht="12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</row>
    <row r="218" spans="1:41" ht="12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</row>
    <row r="219" spans="1:41" ht="12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</row>
    <row r="220" spans="1:41" ht="12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</row>
    <row r="221" spans="1:41" ht="12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</row>
    <row r="222" spans="1:41" ht="12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</row>
    <row r="223" spans="1:41" ht="12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</row>
    <row r="224" spans="1:41" ht="12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</row>
    <row r="225" spans="1:41" ht="12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</row>
    <row r="226" spans="1:41" ht="12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</row>
    <row r="227" spans="1:41" ht="12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</row>
    <row r="228" spans="1:41" ht="12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</row>
    <row r="229" spans="1:41" ht="12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</row>
    <row r="230" spans="1:41" ht="12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</row>
    <row r="231" spans="1:41" ht="12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</row>
    <row r="232" spans="1:41" ht="12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</row>
    <row r="233" spans="1:41" ht="12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</row>
    <row r="234" spans="1:41" ht="12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</row>
    <row r="235" spans="1:41" ht="12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</row>
    <row r="236" spans="1:41" ht="12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</row>
    <row r="237" spans="1:41" ht="12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</row>
    <row r="238" spans="1:41" ht="12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</row>
    <row r="239" spans="1:41" ht="12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</row>
    <row r="240" spans="1:41" ht="12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</row>
    <row r="241" spans="1:41" ht="12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</row>
    <row r="242" spans="1:41" ht="12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</row>
    <row r="243" spans="1:41" ht="12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</row>
    <row r="244" spans="1:41" ht="12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</row>
    <row r="245" spans="1:41" ht="12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</row>
    <row r="246" spans="1:41" ht="12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</row>
    <row r="247" spans="1:41" ht="12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</row>
    <row r="248" spans="1:41" ht="12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</row>
    <row r="249" spans="1:41" ht="12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</row>
    <row r="250" spans="1:41" ht="12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</row>
    <row r="251" spans="1:41" ht="12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</row>
    <row r="252" spans="1:41" ht="12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</row>
    <row r="253" spans="1:41" ht="12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</row>
    <row r="254" spans="1:41" ht="12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</row>
    <row r="255" spans="1:41" ht="12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</row>
    <row r="256" spans="1:41" ht="12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</row>
    <row r="257" spans="1:41" ht="12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</row>
    <row r="258" spans="1:41" ht="12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</row>
    <row r="259" spans="1:41" ht="12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</row>
    <row r="260" spans="1:41" ht="12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</row>
    <row r="261" spans="1:41" ht="12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</row>
    <row r="262" spans="1:41" ht="12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</row>
    <row r="263" spans="1:41" ht="12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</row>
    <row r="264" spans="1:41" ht="12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</row>
    <row r="265" spans="1:41" ht="12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</row>
    <row r="266" spans="1:41" ht="12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</row>
    <row r="267" spans="1:41" ht="12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</row>
    <row r="268" spans="1:41" ht="12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</row>
    <row r="269" spans="1:41" ht="12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</row>
    <row r="270" spans="1:41" ht="12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</row>
    <row r="271" spans="1:41" ht="12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</row>
    <row r="272" spans="1:41" ht="12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</row>
    <row r="273" spans="1:41" ht="12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</row>
    <row r="274" spans="1:41" ht="12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</row>
    <row r="275" spans="1:41" ht="12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</row>
    <row r="276" spans="1:41" ht="12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</row>
    <row r="277" spans="1:41" ht="12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</row>
    <row r="278" spans="1:41" ht="12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</row>
    <row r="279" spans="1:41" ht="12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</row>
    <row r="280" spans="1:41" ht="12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</row>
    <row r="281" spans="1:41" ht="12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</row>
    <row r="282" spans="1:41" ht="12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</row>
    <row r="283" spans="1:41" ht="12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</row>
    <row r="284" spans="1:41" ht="12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</row>
    <row r="285" spans="1:41" ht="12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</row>
    <row r="286" spans="1:41" ht="12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</row>
    <row r="287" spans="1:41" ht="12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</row>
    <row r="288" spans="1:41" ht="12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</row>
    <row r="289" spans="1:41" ht="12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</row>
    <row r="290" spans="1:41" ht="12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</row>
    <row r="291" spans="1:41" ht="12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</row>
    <row r="292" spans="1:41" ht="12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</row>
    <row r="293" spans="1:41" ht="12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</row>
    <row r="294" spans="1:41" ht="12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</row>
    <row r="295" spans="1:41" ht="12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</row>
    <row r="296" spans="1:41" ht="12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</row>
    <row r="297" spans="1:41" ht="12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</row>
    <row r="298" spans="1:41" ht="12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</row>
    <row r="299" spans="1:41" ht="12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</row>
    <row r="300" spans="1:41" ht="12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</row>
    <row r="301" spans="1:41" ht="12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</row>
    <row r="302" spans="1:41" ht="12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</row>
    <row r="303" spans="1:41" ht="12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</row>
    <row r="304" spans="1:41" ht="12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</row>
    <row r="305" spans="1:41" ht="12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</row>
    <row r="306" spans="1:41" ht="12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</row>
    <row r="307" spans="1:41" ht="12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</row>
    <row r="308" spans="1:41" ht="12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</row>
    <row r="309" spans="1:41" ht="12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</row>
    <row r="310" spans="1:41" ht="12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</row>
    <row r="311" spans="1:41" ht="12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</row>
    <row r="312" spans="1:41" ht="12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</row>
    <row r="313" spans="1:41" ht="12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</row>
    <row r="314" spans="1:41" ht="12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</row>
    <row r="315" spans="1:41" ht="12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</row>
    <row r="316" spans="1:41" ht="12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</row>
    <row r="317" spans="1:41" ht="12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</row>
    <row r="318" spans="1:41" ht="12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</row>
    <row r="319" spans="1:41" ht="12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</row>
    <row r="320" spans="1:41" ht="12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</row>
    <row r="321" spans="1:41" ht="12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</row>
    <row r="322" spans="1:41" ht="12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</row>
    <row r="323" spans="1:41" ht="12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</row>
    <row r="324" spans="1:41" ht="12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</row>
    <row r="325" spans="1:41" ht="12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</row>
    <row r="326" spans="1:41" ht="12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</row>
    <row r="327" spans="1:41" ht="12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</row>
    <row r="328" spans="1:41" ht="12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</row>
    <row r="329" spans="1:41" ht="12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</row>
    <row r="330" spans="1:41" ht="12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</row>
    <row r="331" spans="1:41" ht="12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</row>
    <row r="332" spans="1:41" ht="12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</row>
    <row r="333" spans="1:41" ht="12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</row>
    <row r="334" spans="1:41" ht="12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</row>
    <row r="335" spans="1:41" ht="12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</row>
    <row r="336" spans="1:41" ht="12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</row>
    <row r="337" spans="1:41" ht="12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</row>
    <row r="338" spans="1:41" ht="12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</row>
    <row r="339" spans="1:41" ht="12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</row>
    <row r="340" spans="1:41" ht="12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</row>
    <row r="341" spans="1:41" ht="12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</row>
    <row r="342" spans="1:41" ht="12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</row>
    <row r="343" spans="1:41" ht="12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</row>
    <row r="344" spans="1:41" ht="12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</row>
    <row r="345" spans="1:41" ht="12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</row>
    <row r="346" spans="1:41" ht="12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</row>
    <row r="347" spans="1:41" ht="12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</row>
    <row r="348" spans="1:41" ht="12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</row>
    <row r="349" spans="1:41" ht="12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</row>
    <row r="350" spans="1:41" ht="12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</row>
    <row r="351" spans="1:41" ht="12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</row>
    <row r="352" spans="1:41" ht="12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</row>
    <row r="353" spans="1:41" ht="12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</row>
    <row r="354" spans="1:41" ht="12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</row>
    <row r="355" spans="1:41" ht="12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</row>
    <row r="356" spans="1:41" ht="12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</row>
    <row r="357" spans="1:41" ht="12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</row>
    <row r="358" spans="1:41" ht="12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</row>
    <row r="359" spans="1:41" ht="12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</row>
    <row r="360" spans="1:41" ht="12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</row>
    <row r="361" spans="1:41" ht="12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</row>
    <row r="362" spans="1:41" ht="12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</row>
    <row r="363" spans="1:41" ht="12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</row>
    <row r="364" spans="1:41" ht="12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</row>
    <row r="365" spans="1:41" ht="12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</row>
    <row r="366" spans="1:41" ht="12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</row>
    <row r="367" spans="1:41" ht="12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</row>
    <row r="368" spans="1:41" ht="12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</row>
    <row r="369" spans="1:41" ht="12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</row>
    <row r="370" spans="1:41" ht="12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</row>
    <row r="371" spans="1:41" ht="12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</row>
    <row r="372" spans="1:41" ht="12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</row>
    <row r="373" spans="1:41" ht="12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</row>
    <row r="374" spans="1:41" ht="12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</row>
    <row r="375" spans="1:41" ht="12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</row>
    <row r="376" spans="1:41" ht="12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</row>
    <row r="377" spans="1:41" ht="12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</row>
    <row r="378" spans="1:41" ht="12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</row>
    <row r="379" spans="1:41" ht="12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</row>
    <row r="380" spans="1:41" ht="12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</row>
    <row r="381" spans="1:41" ht="12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</row>
    <row r="382" spans="1:41" ht="12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</row>
    <row r="383" spans="1:41" ht="12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</row>
    <row r="384" spans="1:41" ht="12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</row>
    <row r="385" spans="1:41" ht="12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</row>
    <row r="386" spans="1:41" ht="12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</row>
    <row r="387" spans="1:41" ht="12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</row>
    <row r="388" spans="1:41" ht="12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</row>
    <row r="389" spans="1:41" ht="12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</row>
    <row r="390" spans="1:41" ht="12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</row>
    <row r="391" spans="1:41" ht="12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</row>
    <row r="392" spans="1:41" ht="12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</row>
    <row r="393" spans="1:41" ht="12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</row>
    <row r="394" spans="1:41" ht="12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</row>
    <row r="395" spans="1:41" ht="12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</row>
    <row r="396" spans="1:41" ht="12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</row>
    <row r="397" spans="1:41" ht="12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</row>
    <row r="398" spans="1:41" ht="12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</row>
    <row r="399" spans="1:41" ht="12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</row>
    <row r="400" spans="1:41" ht="12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</row>
    <row r="401" spans="1:41" ht="12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</row>
    <row r="402" spans="1:41" ht="12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</row>
    <row r="403" spans="1:41" ht="12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</row>
    <row r="404" spans="1:41" ht="12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</row>
    <row r="405" spans="1:41" ht="12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</row>
    <row r="406" spans="1:41" ht="12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</row>
    <row r="407" spans="1:41" ht="12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</row>
    <row r="408" spans="1:41" ht="12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</row>
    <row r="409" spans="1:41" ht="12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</row>
    <row r="410" spans="1:41" ht="12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</row>
    <row r="411" spans="1:41" ht="12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</row>
    <row r="412" spans="1:41" ht="12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</row>
    <row r="413" spans="1:41" ht="12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</row>
    <row r="414" spans="1:41" ht="12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</row>
    <row r="415" spans="1:41" ht="12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</row>
    <row r="416" spans="1:41" ht="12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</row>
    <row r="417" spans="1:41" ht="12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</row>
    <row r="418" spans="1:41" ht="12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</row>
    <row r="419" spans="1:41" ht="12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</row>
    <row r="420" spans="1:41" ht="12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</row>
    <row r="421" spans="1:41" ht="12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</row>
    <row r="422" spans="1:41" ht="12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</row>
    <row r="423" spans="1:41" ht="12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</row>
    <row r="424" spans="1:41" ht="12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</row>
    <row r="425" spans="1:41" ht="12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</row>
    <row r="426" spans="1:41" ht="12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</row>
    <row r="427" spans="1:41" ht="12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</row>
    <row r="428" spans="1:41" ht="12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</row>
    <row r="429" spans="1:41" ht="12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</row>
    <row r="430" spans="1:41" ht="12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</row>
    <row r="431" spans="1:41" ht="12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</row>
    <row r="432" spans="1:41" ht="12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</row>
    <row r="433" spans="1:41" ht="12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</row>
    <row r="434" spans="1:41" ht="12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</row>
    <row r="435" spans="1:41" ht="12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</row>
    <row r="436" spans="1:41" ht="12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</row>
    <row r="437" spans="1:41" ht="12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</row>
    <row r="438" spans="1:41" ht="12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</row>
    <row r="439" spans="1:41" ht="12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</row>
    <row r="440" spans="1:41" ht="12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</row>
    <row r="441" spans="1:41" ht="12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</row>
    <row r="442" spans="1:41" ht="12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</row>
    <row r="443" spans="1:41" ht="12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</row>
    <row r="444" spans="1:41" ht="12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</row>
    <row r="445" spans="1:41" ht="12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</row>
    <row r="446" spans="1:41" ht="12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</row>
    <row r="447" spans="1:41" ht="12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</row>
    <row r="448" spans="1:41" ht="12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</row>
    <row r="449" spans="1:41" ht="12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</row>
    <row r="450" spans="1:41" ht="12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</row>
    <row r="451" spans="1:41" ht="12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</row>
    <row r="452" spans="1:41" ht="12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</row>
    <row r="453" spans="1:41" ht="12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</row>
    <row r="454" spans="1:41" ht="12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</row>
    <row r="455" spans="1:41" ht="12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</row>
    <row r="456" spans="1:41" ht="12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</row>
    <row r="457" spans="1:41" ht="12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</row>
    <row r="458" spans="1:41" ht="12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</row>
    <row r="459" spans="1:41" ht="12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</row>
    <row r="460" spans="1:41" ht="12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</row>
    <row r="461" spans="1:41" ht="12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</row>
    <row r="462" spans="1:41" ht="12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</row>
    <row r="463" spans="1:41" ht="12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</row>
    <row r="464" spans="1:41" ht="12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</row>
    <row r="465" spans="1:41" ht="12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</row>
    <row r="466" spans="1:41" ht="12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</row>
    <row r="467" spans="1:41" ht="12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</row>
    <row r="468" spans="1:41" ht="12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</row>
    <row r="469" spans="1:41" ht="12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</row>
    <row r="470" spans="1:41" ht="12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</row>
    <row r="471" spans="1:41" ht="12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</row>
    <row r="472" spans="1:41" ht="12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</row>
    <row r="473" spans="1:41" ht="12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</row>
    <row r="474" spans="1:41" ht="12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</row>
    <row r="475" spans="1:41" ht="12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</row>
    <row r="476" spans="1:41" ht="12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</row>
    <row r="477" spans="1:41" ht="12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</row>
    <row r="478" spans="1:41" ht="12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</row>
    <row r="479" spans="1:41" ht="12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</row>
    <row r="480" spans="1:41" ht="12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</row>
    <row r="481" spans="1:41" ht="12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</row>
    <row r="482" spans="1:41" ht="12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</row>
    <row r="483" spans="1:41" ht="12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</row>
    <row r="484" spans="1:41" ht="12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</row>
    <row r="485" spans="1:41" ht="12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</row>
    <row r="486" spans="1:41" ht="12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</row>
    <row r="487" spans="1:41" ht="12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</row>
    <row r="488" spans="1:41" ht="12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</row>
    <row r="489" spans="1:41" ht="12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</row>
    <row r="490" spans="1:41" ht="12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</row>
    <row r="491" spans="1:41" ht="12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</row>
    <row r="492" spans="1:41" ht="12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</row>
    <row r="493" spans="1:41" ht="12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</row>
    <row r="494" spans="1:41" ht="12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</row>
    <row r="495" spans="1:41" ht="12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</row>
    <row r="496" spans="1:41" ht="12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</row>
    <row r="497" spans="1:41" ht="12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</row>
    <row r="498" spans="1:41" ht="12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</row>
    <row r="499" spans="1:41" ht="12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</row>
    <row r="500" spans="1:41" ht="12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</row>
    <row r="501" spans="1:41" ht="12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</row>
    <row r="502" spans="1:41" ht="12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</row>
    <row r="503" spans="1:41" ht="12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</row>
    <row r="504" spans="1:41" ht="12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</row>
    <row r="505" spans="1:41" ht="12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</row>
    <row r="506" spans="1:41" ht="12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</row>
    <row r="507" spans="1:41" ht="12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</row>
    <row r="508" spans="1:41" ht="12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</row>
    <row r="509" spans="1:41" ht="12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</row>
    <row r="510" spans="1:41" ht="12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</row>
    <row r="511" spans="1:41" ht="12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</row>
    <row r="512" spans="1:41" ht="12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</row>
    <row r="513" spans="1:41" ht="12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</row>
    <row r="514" spans="1:41" ht="12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</row>
    <row r="515" spans="1:41" ht="12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</row>
    <row r="516" spans="1:41" ht="12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</row>
    <row r="517" spans="1:41" ht="12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</row>
    <row r="518" spans="1:41" ht="12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</row>
    <row r="519" spans="1:41" ht="12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</row>
    <row r="520" spans="1:41" ht="12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</row>
    <row r="521" spans="1:41" ht="12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</row>
    <row r="522" spans="1:41" ht="12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</row>
    <row r="523" spans="1:41" ht="12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</row>
    <row r="524" spans="1:41" ht="12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</row>
    <row r="525" spans="1:41" ht="12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</row>
    <row r="526" spans="1:41" ht="12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</row>
    <row r="527" spans="1:41" ht="12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</row>
    <row r="528" spans="1:41" ht="12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</row>
    <row r="529" spans="1:41" ht="12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</row>
    <row r="530" spans="1:41" ht="12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</row>
    <row r="531" spans="1:41" ht="12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</row>
    <row r="532" spans="1:41" ht="12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</row>
    <row r="533" spans="1:41" ht="12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</row>
    <row r="534" spans="1:41" ht="12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</row>
    <row r="535" spans="1:41" ht="12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</row>
    <row r="536" spans="1:41" ht="12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</row>
    <row r="537" spans="1:41" ht="12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</row>
    <row r="538" spans="1:41" ht="12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</row>
    <row r="539" spans="1:41" ht="12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</row>
    <row r="540" spans="1:41" ht="12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</row>
    <row r="541" spans="1:41" ht="12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</row>
    <row r="542" spans="1:41" ht="12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</row>
    <row r="543" spans="1:41" ht="12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</row>
    <row r="544" spans="1:41" ht="12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</row>
    <row r="545" spans="1:41" ht="12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</row>
    <row r="546" spans="1:41" ht="12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</row>
    <row r="547" spans="1:41" ht="12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</row>
    <row r="548" spans="1:41" ht="12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</row>
    <row r="549" spans="1:41" ht="12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</row>
    <row r="550" spans="1:41" ht="12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</row>
    <row r="551" spans="1:41" ht="12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</row>
    <row r="552" spans="1:41" ht="12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</row>
    <row r="553" spans="1:41" ht="12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</row>
    <row r="554" spans="1:41" ht="12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</row>
    <row r="555" spans="1:41" ht="12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</row>
    <row r="556" spans="1:41" ht="12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</row>
    <row r="557" spans="1:41" ht="12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</row>
    <row r="558" spans="1:41" ht="12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</row>
    <row r="559" spans="1:41" ht="12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</row>
    <row r="560" spans="1:41" ht="12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</row>
    <row r="561" spans="1:41" ht="12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</row>
    <row r="562" spans="1:41" ht="12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</row>
    <row r="563" spans="1:41" ht="12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</row>
    <row r="564" spans="1:41" ht="12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</row>
    <row r="565" spans="1:41" ht="12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</row>
    <row r="566" spans="1:41" ht="12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</row>
    <row r="567" spans="1:41" ht="12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</row>
    <row r="568" spans="1:41" ht="12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</row>
    <row r="569" spans="1:41" ht="12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</row>
    <row r="570" spans="1:41" ht="12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</row>
    <row r="571" spans="1:41" ht="12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</row>
    <row r="572" spans="1:41" ht="12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</row>
    <row r="573" spans="1:41" ht="12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</row>
    <row r="574" spans="1:41" ht="12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</row>
    <row r="575" spans="1:41" ht="12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</row>
    <row r="576" spans="1:41" ht="12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</row>
    <row r="577" spans="1:41" ht="12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</row>
    <row r="578" spans="1:41" ht="12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</row>
    <row r="579" spans="1:41" ht="12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</row>
    <row r="580" spans="1:41" ht="12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</row>
    <row r="581" spans="1:41" ht="12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</row>
    <row r="582" spans="1:41" ht="12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</row>
    <row r="583" spans="1:41" ht="12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</row>
    <row r="584" spans="1:41" ht="12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</row>
    <row r="585" spans="1:41" ht="12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</row>
    <row r="586" spans="1:41" ht="12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</row>
    <row r="587" spans="1:41" ht="12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</row>
    <row r="588" spans="1:41" ht="12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</row>
    <row r="589" spans="1:41" ht="12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</row>
    <row r="590" spans="1:41" ht="12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</row>
    <row r="591" spans="1:41" ht="12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</row>
    <row r="592" spans="1:41" ht="12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</row>
    <row r="593" spans="1:41" ht="12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</row>
    <row r="594" spans="1:41" ht="12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</row>
    <row r="595" spans="1:41" ht="12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</row>
    <row r="596" spans="1:41" ht="12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</row>
    <row r="597" spans="1:41" ht="12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</row>
    <row r="598" spans="1:41" ht="12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</row>
    <row r="599" spans="1:41" ht="12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</row>
    <row r="600" spans="1:41" ht="12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</row>
    <row r="601" spans="1:41" ht="12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</row>
    <row r="602" spans="1:41" ht="12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</row>
    <row r="603" spans="1:41" ht="12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</row>
    <row r="604" spans="1:41" ht="12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</row>
    <row r="605" spans="1:41" ht="12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</row>
    <row r="606" spans="1:41" ht="12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</row>
    <row r="607" spans="1:41" ht="12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</row>
    <row r="608" spans="1:41" ht="12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</row>
    <row r="609" spans="1:41" ht="12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</row>
    <row r="610" spans="1:41" ht="12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</row>
    <row r="611" spans="1:41" ht="12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</row>
    <row r="612" spans="1:41" ht="12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</row>
    <row r="613" spans="1:41" ht="12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</row>
    <row r="614" spans="1:41" ht="12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</row>
    <row r="615" spans="1:41" ht="12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</row>
    <row r="616" spans="1:41" ht="12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</row>
    <row r="617" spans="1:41" ht="12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</row>
    <row r="618" spans="1:41" ht="12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</row>
    <row r="619" spans="1:41" ht="12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</row>
    <row r="620" spans="1:41" ht="12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</row>
    <row r="621" spans="1:41" ht="12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</row>
    <row r="622" spans="1:41" ht="12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</row>
    <row r="623" spans="1:41" ht="12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</row>
    <row r="624" spans="1:41" ht="12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</row>
    <row r="625" spans="1:41" ht="12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</row>
    <row r="626" spans="1:41" ht="12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</row>
    <row r="627" spans="1:41" ht="12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</row>
    <row r="628" spans="1:41" ht="12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</row>
    <row r="629" spans="1:41" ht="12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</row>
    <row r="630" spans="1:41" ht="12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</row>
    <row r="631" spans="1:41" ht="12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</row>
    <row r="632" spans="1:41" ht="12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</row>
    <row r="633" spans="1:41" ht="12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</row>
    <row r="634" spans="1:41" ht="12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</row>
    <row r="635" spans="1:41" ht="12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</row>
    <row r="636" spans="1:41" ht="12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</row>
    <row r="637" spans="1:41" ht="12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</row>
    <row r="638" spans="1:41" ht="12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</row>
    <row r="639" spans="1:41" ht="12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</row>
    <row r="640" spans="1:41" ht="12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</row>
    <row r="641" spans="1:41" ht="12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</row>
    <row r="642" spans="1:41" ht="12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</row>
    <row r="643" spans="1:41" ht="12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</row>
    <row r="644" spans="1:41" ht="12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</row>
    <row r="645" spans="1:41" ht="12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</row>
    <row r="646" spans="1:41" ht="12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</row>
    <row r="647" spans="1:41" ht="12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</row>
    <row r="648" spans="1:41" ht="12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</row>
    <row r="649" spans="1:41" ht="12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</row>
    <row r="650" spans="1:41" ht="12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</row>
    <row r="651" spans="1:41" ht="12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</row>
    <row r="652" spans="1:41" ht="12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</row>
    <row r="653" spans="1:41" ht="12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</row>
    <row r="654" spans="1:41" ht="12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</row>
    <row r="655" spans="1:41" ht="12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</row>
    <row r="656" spans="1:41" ht="12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</row>
    <row r="657" spans="1:41" ht="12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</row>
    <row r="658" spans="1:41" ht="12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</row>
    <row r="659" spans="1:41" ht="12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</row>
    <row r="660" spans="1:41" ht="12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</row>
    <row r="661" spans="1:41" ht="12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</row>
    <row r="662" spans="1:41" ht="12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</row>
    <row r="663" spans="1:41" ht="12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</row>
    <row r="664" spans="1:41" ht="12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</row>
    <row r="665" spans="1:41" ht="12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</row>
    <row r="666" spans="1:41" ht="12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</row>
    <row r="667" spans="1:41" ht="12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</row>
    <row r="668" spans="1:41" ht="12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</row>
    <row r="669" spans="1:41" ht="12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</row>
    <row r="670" spans="1:41" ht="12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</row>
    <row r="671" spans="1:41" ht="12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</row>
    <row r="672" spans="1:41" ht="12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</row>
    <row r="673" spans="1:41" ht="12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</row>
    <row r="674" spans="1:41" ht="12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</row>
    <row r="675" spans="1:41" ht="12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</row>
    <row r="676" spans="1:41" ht="12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</row>
    <row r="677" spans="1:41" ht="12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</row>
    <row r="678" spans="1:41" ht="12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</row>
    <row r="679" spans="1:41" ht="12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</row>
    <row r="680" spans="1:41" ht="12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</row>
    <row r="681" spans="1:41" ht="12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</row>
    <row r="682" spans="1:41" ht="12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</row>
    <row r="683" spans="1:41" ht="12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</row>
    <row r="684" spans="1:41" ht="12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</row>
    <row r="685" spans="1:41" ht="12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</row>
    <row r="686" spans="1:41" ht="12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</row>
    <row r="687" spans="1:41" ht="12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</row>
    <row r="688" spans="1:41" ht="12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</row>
    <row r="689" spans="1:41" ht="12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</row>
    <row r="690" spans="1:41" ht="12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</row>
    <row r="691" spans="1:41" ht="12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</row>
    <row r="692" spans="1:41" ht="12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</row>
    <row r="693" spans="1:41" ht="12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</row>
    <row r="694" spans="1:41" ht="12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</row>
    <row r="695" spans="1:41" ht="12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</row>
    <row r="696" spans="1:41" ht="12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</row>
    <row r="697" spans="1:41" ht="12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</row>
    <row r="698" spans="1:41" ht="12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</row>
    <row r="699" spans="1:41" ht="12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</row>
    <row r="700" spans="1:41" ht="12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</row>
    <row r="701" spans="1:41" ht="12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</row>
    <row r="702" spans="1:41" ht="12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</row>
    <row r="703" spans="1:41" ht="12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</row>
    <row r="704" spans="1:41" ht="12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</row>
    <row r="705" spans="1:41" ht="12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</row>
    <row r="706" spans="1:41" ht="12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</row>
    <row r="707" spans="1:41" ht="12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</row>
    <row r="708" spans="1:41" ht="12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</row>
    <row r="709" spans="1:41" ht="12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</row>
    <row r="710" spans="1:41" ht="12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</row>
    <row r="711" spans="1:41" ht="12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</row>
    <row r="712" spans="1:41" ht="12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</row>
    <row r="713" spans="1:41" ht="12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</row>
    <row r="714" spans="1:41" ht="12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</row>
    <row r="715" spans="1:41" ht="12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</row>
    <row r="716" spans="1:41" ht="12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</row>
    <row r="717" spans="1:41" ht="12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</row>
    <row r="718" spans="1:41" ht="12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</row>
    <row r="719" spans="1:41" ht="12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</row>
    <row r="720" spans="1:41" ht="12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</row>
    <row r="721" spans="1:41" ht="12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</row>
    <row r="722" spans="1:41" ht="12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</row>
    <row r="723" spans="1:41" ht="12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</row>
    <row r="724" spans="1:41" ht="12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</row>
    <row r="725" spans="1:41" ht="12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</row>
    <row r="726" spans="1:41" ht="12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</row>
    <row r="727" spans="1:41" ht="12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</row>
    <row r="728" spans="1:41" ht="12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</row>
    <row r="729" spans="1:41" ht="12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</row>
    <row r="730" spans="1:41" ht="12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</row>
    <row r="731" spans="1:41" ht="12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</row>
    <row r="732" spans="1:41" ht="12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</row>
    <row r="733" spans="1:41" ht="12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</row>
    <row r="734" spans="1:41" ht="12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</row>
    <row r="735" spans="1:41" ht="12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</row>
    <row r="736" spans="1:41" ht="12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</row>
    <row r="737" spans="1:41" ht="12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</row>
    <row r="738" spans="1:41" ht="12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</row>
    <row r="739" spans="1:41" ht="12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</row>
    <row r="740" spans="1:41" ht="12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</row>
    <row r="741" spans="1:41" ht="12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</row>
    <row r="742" spans="1:41" ht="12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</row>
    <row r="743" spans="1:41" ht="12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</row>
    <row r="744" spans="1:41" ht="12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</row>
    <row r="745" spans="1:41" ht="12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</row>
    <row r="746" spans="1:41" ht="12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</row>
    <row r="747" spans="1:41" ht="12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</row>
    <row r="748" spans="1:41" ht="12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</row>
    <row r="749" spans="1:41" ht="12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</row>
    <row r="750" spans="1:41" ht="12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</row>
    <row r="751" spans="1:41" ht="12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</row>
    <row r="752" spans="1:41" ht="12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</row>
    <row r="753" spans="1:41" ht="12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</row>
    <row r="754" spans="1:41" ht="12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</row>
    <row r="755" spans="1:41" ht="12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</row>
    <row r="756" spans="1:41" ht="12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</row>
    <row r="757" spans="1:41" ht="12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</row>
    <row r="758" spans="1:41" ht="12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</row>
    <row r="759" spans="1:41" ht="12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</row>
    <row r="760" spans="1:41" ht="12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</row>
    <row r="761" spans="1:41" ht="12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</row>
    <row r="762" spans="1:41" ht="12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</row>
    <row r="763" spans="1:41" ht="12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</row>
    <row r="764" spans="1:41" ht="12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</row>
    <row r="765" spans="1:41" ht="12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</row>
    <row r="766" spans="1:41" ht="12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</row>
    <row r="767" spans="1:41" ht="12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</row>
    <row r="768" spans="1:41" ht="12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</row>
    <row r="769" spans="1:41" ht="12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</row>
    <row r="770" spans="1:41" ht="12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</row>
    <row r="771" spans="1:41" ht="12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</row>
    <row r="772" spans="1:41" ht="12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</row>
    <row r="773" spans="1:41" ht="12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</row>
    <row r="774" spans="1:41" ht="12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</row>
    <row r="775" spans="1:41" ht="12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</row>
    <row r="776" spans="1:41" ht="12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</row>
    <row r="777" spans="1:41" ht="12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</row>
    <row r="778" spans="1:41" ht="12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</row>
    <row r="779" spans="1:41" ht="12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</row>
    <row r="780" spans="1:41" ht="12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</row>
    <row r="781" spans="1:41" ht="12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</row>
    <row r="782" spans="1:41" ht="12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</row>
    <row r="783" spans="1:41" ht="12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</row>
    <row r="784" spans="1:41" ht="12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</row>
    <row r="785" spans="1:41" ht="12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</row>
    <row r="786" spans="1:41" ht="12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</row>
    <row r="787" spans="1:41" ht="12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</row>
    <row r="788" spans="1:41" ht="12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</row>
    <row r="789" spans="1:41" ht="12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</row>
    <row r="790" spans="1:41" ht="12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</row>
    <row r="791" spans="1:41" ht="12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</row>
    <row r="792" spans="1:41" ht="12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</row>
    <row r="793" spans="1:41" ht="12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</row>
    <row r="794" spans="1:41" ht="12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</row>
    <row r="795" spans="1:41" ht="12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</row>
    <row r="796" spans="1:41" ht="12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</row>
    <row r="797" spans="1:41" ht="12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</row>
    <row r="798" spans="1:41" ht="12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</row>
    <row r="799" spans="1:41" ht="12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</row>
    <row r="800" spans="1:41" ht="12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</row>
    <row r="801" spans="1:41" ht="12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</row>
    <row r="802" spans="1:41" ht="12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</row>
    <row r="803" spans="1:41" ht="12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</row>
    <row r="804" spans="1:41" ht="12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</row>
    <row r="805" spans="1:41" ht="12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</row>
    <row r="806" spans="1:41" ht="12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</row>
    <row r="807" spans="1:41" ht="12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</row>
    <row r="808" spans="1:41" ht="12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</row>
    <row r="809" spans="1:41" ht="12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</row>
    <row r="810" spans="1:41" ht="12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</row>
    <row r="811" spans="1:41" ht="12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</row>
    <row r="812" spans="1:41" ht="12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</row>
    <row r="813" spans="1:41" ht="12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</row>
    <row r="814" spans="1:41" ht="12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</row>
    <row r="815" spans="1:41" ht="12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</row>
    <row r="816" spans="1:41" ht="12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</row>
    <row r="817" spans="1:41" ht="12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</row>
    <row r="818" spans="1:41" ht="12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</row>
    <row r="819" spans="1:41" ht="12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</row>
    <row r="820" spans="1:41" ht="12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</row>
    <row r="821" spans="1:41" ht="12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</row>
    <row r="822" spans="1:41" ht="12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</row>
    <row r="823" spans="1:41" ht="12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</row>
    <row r="824" spans="1:41" ht="12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</row>
    <row r="825" spans="1:41" ht="12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</row>
    <row r="826" spans="1:41" ht="12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</row>
    <row r="827" spans="1:41" ht="12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</row>
    <row r="828" spans="1:41" ht="12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</row>
    <row r="829" spans="1:41" ht="12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</row>
    <row r="830" spans="1:41" ht="12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</row>
    <row r="831" spans="1:41" ht="12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</row>
    <row r="832" spans="1:41" ht="12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</row>
    <row r="833" spans="1:41" ht="12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</row>
    <row r="834" spans="1:41" ht="12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</row>
    <row r="835" spans="1:41" ht="12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</row>
    <row r="836" spans="1:41" ht="12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</row>
    <row r="837" spans="1:41" ht="12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</row>
    <row r="838" spans="1:41" ht="12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</row>
    <row r="839" spans="1:41" ht="12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</row>
    <row r="840" spans="1:41" ht="12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</row>
    <row r="841" spans="1:41" ht="12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</row>
    <row r="842" spans="1:41" ht="12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</row>
    <row r="843" spans="1:41" ht="12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</row>
    <row r="844" spans="1:41" ht="12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</row>
    <row r="845" spans="1:41" ht="12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</row>
    <row r="846" spans="1:41" ht="12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</row>
    <row r="847" spans="1:41" ht="12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</row>
    <row r="848" spans="1:41" ht="12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</row>
    <row r="849" spans="1:41" ht="12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</row>
    <row r="850" spans="1:41" ht="12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</row>
    <row r="851" spans="1:41" ht="12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</row>
    <row r="852" spans="1:41" ht="12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</row>
    <row r="853" spans="1:41" ht="12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</row>
    <row r="854" spans="1:41" ht="12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</row>
    <row r="855" spans="1:41" ht="12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</row>
    <row r="856" spans="1:41" ht="12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</row>
    <row r="857" spans="1:41" ht="12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</row>
    <row r="858" spans="1:41" ht="12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</row>
    <row r="859" spans="1:41" ht="12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</row>
    <row r="860" spans="1:41" ht="12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</row>
    <row r="861" spans="1:41" ht="12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</row>
    <row r="862" spans="1:41" ht="12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</row>
    <row r="863" spans="1:41" ht="12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</row>
    <row r="864" spans="1:41" ht="12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</row>
    <row r="865" spans="1:41" ht="12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</row>
    <row r="866" spans="1:41" ht="12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</row>
    <row r="867" spans="1:41" ht="12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</row>
    <row r="868" spans="1:41" ht="12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</row>
    <row r="869" spans="1:41" ht="12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</row>
    <row r="870" spans="1:41" ht="12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</row>
    <row r="871" spans="1:41" ht="12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</row>
    <row r="872" spans="1:41" ht="12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</row>
    <row r="873" spans="1:41" ht="12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</row>
    <row r="874" spans="1:41" ht="12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</row>
    <row r="875" spans="1:41" ht="12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</row>
    <row r="876" spans="1:41" ht="12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</row>
    <row r="877" spans="1:41" ht="12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</row>
    <row r="878" spans="1:41" ht="12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</row>
    <row r="879" spans="1:41" ht="12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</row>
    <row r="880" spans="1:41" ht="12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</row>
    <row r="881" spans="1:41" ht="12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</row>
    <row r="882" spans="1:41" ht="12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</row>
    <row r="883" spans="1:41" ht="12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</row>
    <row r="884" spans="1:41" ht="12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</row>
    <row r="885" spans="1:41" ht="12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</row>
    <row r="886" spans="1:41" ht="12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</row>
    <row r="887" spans="1:41" ht="12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</row>
    <row r="888" spans="1:41" ht="12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</row>
    <row r="889" spans="1:41" ht="12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</row>
    <row r="890" spans="1:41" ht="12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</row>
    <row r="891" spans="1:41" ht="12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</row>
    <row r="892" spans="1:41" ht="12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</row>
    <row r="893" spans="1:41" ht="12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</row>
    <row r="894" spans="1:41" ht="12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</row>
    <row r="895" spans="1:41" ht="12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</row>
    <row r="896" spans="1:41" ht="12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</row>
    <row r="897" spans="1:41" ht="12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</row>
    <row r="898" spans="1:41" ht="12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</row>
    <row r="899" spans="1:41" ht="12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</row>
    <row r="900" spans="1:41" ht="12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</row>
    <row r="901" spans="1:41" ht="12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</row>
    <row r="902" spans="1:41" ht="12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</row>
    <row r="903" spans="1:41" ht="12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</row>
    <row r="904" spans="1:41" ht="12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</row>
    <row r="905" spans="1:41" ht="12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</row>
    <row r="906" spans="1:41" ht="12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</row>
    <row r="907" spans="1:41" ht="12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</row>
    <row r="908" spans="1:41" ht="12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</row>
    <row r="909" spans="1:41" ht="12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</row>
    <row r="910" spans="1:41" ht="12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</row>
    <row r="911" spans="1:41" ht="12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</row>
    <row r="912" spans="1:41" ht="12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</row>
    <row r="913" spans="1:41" ht="12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</row>
    <row r="914" spans="1:41" ht="12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</row>
    <row r="915" spans="1:41" ht="12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</row>
    <row r="916" spans="1:41" ht="12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</row>
    <row r="917" spans="1:41" ht="12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</row>
    <row r="918" spans="1:41" ht="12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</row>
    <row r="919" spans="1:41" ht="12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</row>
    <row r="920" spans="1:41" ht="12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</row>
    <row r="921" spans="1:41" ht="12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</row>
    <row r="922" spans="1:41" ht="12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</row>
    <row r="923" spans="1:41" ht="12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</row>
    <row r="924" spans="1:41" ht="12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</row>
    <row r="925" spans="1:41" ht="12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</row>
    <row r="926" spans="1:41" ht="12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</row>
    <row r="927" spans="1:41" ht="12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</row>
    <row r="928" spans="1:41" ht="12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</row>
    <row r="929" spans="1:41" ht="12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</row>
    <row r="930" spans="1:41" ht="12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</row>
    <row r="931" spans="1:41" ht="12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</row>
    <row r="932" spans="1:41" ht="12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</row>
    <row r="933" spans="1:41" ht="12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</row>
    <row r="934" spans="1:41" ht="12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</row>
    <row r="935" spans="1:41" ht="12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</row>
    <row r="936" spans="1:41" ht="12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</row>
    <row r="937" spans="1:41" ht="12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</row>
    <row r="938" spans="1:41" ht="12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</row>
    <row r="939" spans="1:41" ht="12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</row>
    <row r="940" spans="1:41" ht="12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</row>
    <row r="941" spans="1:41" ht="12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</row>
    <row r="942" spans="1:41" ht="12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</row>
    <row r="943" spans="1:41" ht="12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</row>
    <row r="944" spans="1:41" ht="12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</row>
    <row r="945" spans="1:41" ht="12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</row>
    <row r="946" spans="1:41" ht="12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</row>
    <row r="947" spans="1:41" ht="12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</row>
    <row r="948" spans="1:41" ht="12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</row>
    <row r="949" spans="1:41" ht="12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</row>
    <row r="950" spans="1:41" ht="12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</row>
    <row r="951" spans="1:41" ht="12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</row>
    <row r="952" spans="1:41" ht="12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</row>
    <row r="953" spans="1:41" ht="12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</row>
    <row r="954" spans="1:41" ht="12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</row>
    <row r="955" spans="1:41" ht="12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</row>
    <row r="956" spans="1:41" ht="12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</row>
    <row r="957" spans="1:41" ht="12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</row>
    <row r="958" spans="1:41" ht="12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</row>
    <row r="959" spans="1:41" ht="12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</row>
    <row r="960" spans="1:41" ht="12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</row>
    <row r="961" spans="1:41" ht="12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</row>
    <row r="962" spans="1:41" ht="12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</row>
    <row r="963" spans="1:41" ht="12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</row>
    <row r="964" spans="1:41" ht="12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</row>
    <row r="965" spans="1:41" ht="12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</row>
    <row r="966" spans="1:41" ht="12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</row>
    <row r="967" spans="1:41" ht="12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</row>
    <row r="968" spans="1:41" ht="12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</row>
    <row r="969" spans="1:41" ht="12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</row>
    <row r="970" spans="1:41" ht="12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</row>
    <row r="971" spans="1:41" ht="12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</row>
    <row r="972" spans="1:41" ht="12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</row>
    <row r="973" spans="1:41" ht="12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</row>
    <row r="974" spans="1:41" ht="12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</row>
    <row r="975" spans="1:41" ht="12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</row>
    <row r="976" spans="1:41" ht="12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</row>
    <row r="977" spans="1:41" ht="12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</row>
    <row r="978" spans="1:41" ht="12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</row>
    <row r="979" spans="1:41" ht="12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</row>
    <row r="980" spans="1:41" ht="12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</row>
    <row r="981" spans="1:41" ht="12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</row>
    <row r="982" spans="1:41" ht="12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</row>
    <row r="983" spans="1:41" ht="12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</row>
    <row r="984" spans="1:41" ht="12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</row>
    <row r="985" spans="1:41" ht="12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</row>
    <row r="986" spans="1:41" ht="12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</row>
    <row r="987" spans="1:41" ht="12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</row>
    <row r="988" spans="1:41" ht="12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</row>
    <row r="989" spans="1:41" ht="12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</row>
    <row r="990" spans="1:41" ht="12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</row>
    <row r="991" spans="1:41" ht="12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</row>
    <row r="992" spans="1:41" ht="12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</row>
    <row r="993" spans="1:41" ht="12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</row>
    <row r="994" spans="1:41" ht="12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</row>
    <row r="995" spans="1:41" ht="12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</row>
    <row r="996" spans="1:41" ht="12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</row>
    <row r="997" spans="1:41" ht="12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</row>
    <row r="998" spans="1:41" ht="12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</row>
    <row r="999" spans="1:41" ht="12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</row>
    <row r="1000" spans="1:41" ht="12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</row>
  </sheetData>
  <mergeCells count="18">
    <mergeCell ref="AJ41:AK41"/>
    <mergeCell ref="AB17:AF17"/>
    <mergeCell ref="AB18:AF18"/>
    <mergeCell ref="AB19:AF19"/>
    <mergeCell ref="AB20:AF20"/>
    <mergeCell ref="J32:AC32"/>
    <mergeCell ref="J33:AC33"/>
    <mergeCell ref="AB16:AF16"/>
    <mergeCell ref="AJ16:AK16"/>
    <mergeCell ref="E31:G31"/>
    <mergeCell ref="F33:I33"/>
    <mergeCell ref="AB21:AF21"/>
    <mergeCell ref="Q28:R28"/>
    <mergeCell ref="Q2:R2"/>
    <mergeCell ref="H6:AG6"/>
    <mergeCell ref="H7:AG7"/>
    <mergeCell ref="H8:AG8"/>
    <mergeCell ref="H9:AG9"/>
  </mergeCells>
  <pageMargins left="0.68" right="0.41" top="0.87" bottom="0" header="0" footer="0"/>
  <pageSetup paperSize="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2.5703125" defaultRowHeight="15" customHeight="1"/>
  <cols>
    <col min="1" max="1" width="3.85546875" customWidth="1"/>
    <col min="2" max="2" width="20.7109375" customWidth="1"/>
    <col min="3" max="3" width="10.28515625" customWidth="1"/>
    <col min="4" max="4" width="11.5703125" customWidth="1"/>
    <col min="5" max="5" width="13.7109375" customWidth="1"/>
    <col min="6" max="7" width="9.7109375" customWidth="1"/>
    <col min="8" max="26" width="8.5703125" customWidth="1"/>
  </cols>
  <sheetData>
    <row r="1" spans="1:9" ht="23.25" customHeight="1">
      <c r="A1" s="48" t="s">
        <v>0</v>
      </c>
      <c r="I1" s="38"/>
    </row>
    <row r="2" spans="1:9" ht="12.75" customHeight="1"/>
    <row r="3" spans="1:9" ht="12.75" customHeight="1">
      <c r="A3" s="217" t="s">
        <v>65</v>
      </c>
      <c r="B3" s="194"/>
      <c r="C3" s="194"/>
      <c r="D3" s="194"/>
      <c r="E3" s="194"/>
      <c r="F3" s="194"/>
      <c r="G3" s="194"/>
      <c r="H3" s="194"/>
      <c r="I3" s="194"/>
    </row>
    <row r="4" spans="1:9" ht="12.75" customHeight="1">
      <c r="A4" s="49"/>
      <c r="B4" s="49"/>
      <c r="C4" s="49"/>
      <c r="D4" s="218" t="s">
        <v>66</v>
      </c>
      <c r="E4" s="194"/>
      <c r="F4" s="49"/>
      <c r="G4" s="49"/>
      <c r="H4" s="49"/>
      <c r="I4" s="49"/>
    </row>
    <row r="5" spans="1:9" ht="12.75" customHeight="1">
      <c r="A5" s="3" t="s">
        <v>67</v>
      </c>
    </row>
    <row r="6" spans="1:9" ht="12.75" customHeight="1">
      <c r="A6" s="3" t="s">
        <v>68</v>
      </c>
    </row>
    <row r="7" spans="1:9" ht="12.75" customHeight="1">
      <c r="A7" s="3" t="s">
        <v>69</v>
      </c>
    </row>
    <row r="8" spans="1:9" ht="12.75" customHeight="1">
      <c r="A8" s="219" t="s">
        <v>70</v>
      </c>
      <c r="B8" s="219" t="s">
        <v>71</v>
      </c>
      <c r="C8" s="222" t="s">
        <v>72</v>
      </c>
      <c r="D8" s="223"/>
      <c r="E8" s="224"/>
      <c r="F8" s="50"/>
      <c r="G8" s="51"/>
      <c r="H8" s="52" t="s">
        <v>73</v>
      </c>
      <c r="I8" s="51"/>
    </row>
    <row r="9" spans="1:9" ht="12.75" customHeight="1">
      <c r="A9" s="220"/>
      <c r="B9" s="220"/>
      <c r="C9" s="219" t="s">
        <v>74</v>
      </c>
      <c r="D9" s="52" t="s">
        <v>75</v>
      </c>
      <c r="E9" s="52" t="s">
        <v>76</v>
      </c>
      <c r="F9" s="52" t="s">
        <v>77</v>
      </c>
      <c r="G9" s="53" t="s">
        <v>78</v>
      </c>
      <c r="H9" s="53" t="s">
        <v>79</v>
      </c>
      <c r="I9" s="53" t="s">
        <v>77</v>
      </c>
    </row>
    <row r="10" spans="1:9" ht="12.75" customHeight="1">
      <c r="A10" s="221"/>
      <c r="B10" s="221"/>
      <c r="C10" s="221"/>
      <c r="D10" s="54" t="s">
        <v>80</v>
      </c>
      <c r="E10" s="54" t="s">
        <v>81</v>
      </c>
      <c r="F10" s="54" t="s">
        <v>82</v>
      </c>
      <c r="G10" s="54" t="s">
        <v>79</v>
      </c>
      <c r="H10" s="54" t="s">
        <v>11</v>
      </c>
      <c r="I10" s="54" t="s">
        <v>11</v>
      </c>
    </row>
    <row r="11" spans="1:9" ht="12.75" customHeight="1">
      <c r="A11" s="55"/>
      <c r="B11" s="55"/>
      <c r="C11" s="55"/>
      <c r="D11" s="55"/>
      <c r="E11" s="55"/>
      <c r="F11" s="55"/>
      <c r="G11" s="55"/>
      <c r="H11" s="55"/>
      <c r="I11" s="55"/>
    </row>
    <row r="12" spans="1:9" ht="12.75" customHeight="1">
      <c r="A12" s="56"/>
      <c r="B12" s="56"/>
      <c r="C12" s="56"/>
      <c r="D12" s="56"/>
      <c r="E12" s="56"/>
      <c r="F12" s="56"/>
      <c r="G12" s="56"/>
      <c r="H12" s="56"/>
      <c r="I12" s="56"/>
    </row>
    <row r="13" spans="1:9" ht="12.75" customHeight="1">
      <c r="A13" s="56"/>
      <c r="B13" s="56"/>
      <c r="C13" s="56"/>
      <c r="D13" s="56"/>
      <c r="E13" s="56"/>
      <c r="F13" s="56"/>
      <c r="G13" s="56"/>
      <c r="H13" s="56"/>
      <c r="I13" s="56"/>
    </row>
    <row r="14" spans="1:9" ht="12.75" customHeight="1">
      <c r="A14" s="56"/>
      <c r="B14" s="56"/>
      <c r="C14" s="56"/>
      <c r="D14" s="56"/>
      <c r="E14" s="56"/>
      <c r="F14" s="56"/>
      <c r="G14" s="56"/>
      <c r="H14" s="56"/>
      <c r="I14" s="56"/>
    </row>
    <row r="15" spans="1:9" ht="12.75" customHeight="1">
      <c r="A15" s="56"/>
      <c r="B15" s="56"/>
      <c r="C15" s="56"/>
      <c r="D15" s="56"/>
      <c r="E15" s="56"/>
      <c r="F15" s="56"/>
      <c r="G15" s="56"/>
      <c r="H15" s="56"/>
      <c r="I15" s="56"/>
    </row>
    <row r="16" spans="1:9" ht="12.75" customHeight="1">
      <c r="A16" s="56"/>
      <c r="B16" s="56"/>
      <c r="C16" s="56"/>
      <c r="D16" s="56"/>
      <c r="E16" s="56"/>
      <c r="F16" s="56"/>
      <c r="G16" s="56"/>
      <c r="H16" s="56"/>
      <c r="I16" s="56"/>
    </row>
    <row r="17" spans="1:9" ht="12.75" customHeight="1">
      <c r="A17" s="56"/>
      <c r="B17" s="56"/>
      <c r="C17" s="56"/>
      <c r="D17" s="56"/>
      <c r="E17" s="56"/>
      <c r="F17" s="56"/>
      <c r="G17" s="56"/>
      <c r="H17" s="56"/>
      <c r="I17" s="56"/>
    </row>
    <row r="18" spans="1:9" ht="12.75" customHeight="1">
      <c r="A18" s="56"/>
      <c r="B18" s="56"/>
      <c r="C18" s="56"/>
      <c r="D18" s="56"/>
      <c r="E18" s="56"/>
      <c r="F18" s="56"/>
      <c r="G18" s="56"/>
      <c r="H18" s="56"/>
      <c r="I18" s="56"/>
    </row>
    <row r="19" spans="1:9" ht="12.75" customHeight="1">
      <c r="A19" s="56"/>
      <c r="B19" s="56"/>
      <c r="C19" s="56"/>
      <c r="D19" s="56"/>
      <c r="E19" s="56"/>
      <c r="F19" s="56"/>
      <c r="G19" s="56"/>
      <c r="H19" s="56"/>
      <c r="I19" s="56"/>
    </row>
    <row r="20" spans="1:9" ht="12.75" customHeight="1">
      <c r="A20" s="56"/>
      <c r="B20" s="56"/>
      <c r="C20" s="56"/>
      <c r="D20" s="56"/>
      <c r="E20" s="56"/>
      <c r="F20" s="56"/>
      <c r="G20" s="56"/>
      <c r="H20" s="56"/>
      <c r="I20" s="56"/>
    </row>
    <row r="21" spans="1:9" ht="12.75" customHeight="1">
      <c r="A21" s="56"/>
      <c r="B21" s="56"/>
      <c r="C21" s="56"/>
      <c r="D21" s="56"/>
      <c r="E21" s="56"/>
      <c r="F21" s="56"/>
      <c r="G21" s="56"/>
      <c r="H21" s="56"/>
      <c r="I21" s="56"/>
    </row>
    <row r="22" spans="1:9" ht="12.75" customHeight="1">
      <c r="A22" s="56"/>
      <c r="B22" s="56"/>
      <c r="C22" s="56"/>
      <c r="D22" s="56"/>
      <c r="E22" s="56"/>
      <c r="F22" s="56"/>
      <c r="G22" s="56"/>
      <c r="H22" s="56"/>
      <c r="I22" s="56"/>
    </row>
    <row r="23" spans="1:9" ht="12.75" customHeight="1">
      <c r="A23" s="56"/>
      <c r="B23" s="56"/>
      <c r="C23" s="56"/>
      <c r="D23" s="56"/>
      <c r="E23" s="56"/>
      <c r="F23" s="56"/>
      <c r="G23" s="56"/>
      <c r="H23" s="56"/>
      <c r="I23" s="56"/>
    </row>
    <row r="24" spans="1:9" ht="12.75" customHeight="1">
      <c r="A24" s="56"/>
      <c r="B24" s="56"/>
      <c r="C24" s="56"/>
      <c r="D24" s="56"/>
      <c r="E24" s="56"/>
      <c r="F24" s="56"/>
      <c r="G24" s="56"/>
      <c r="H24" s="56"/>
      <c r="I24" s="56"/>
    </row>
    <row r="25" spans="1:9" ht="12.75" customHeight="1">
      <c r="A25" s="56"/>
      <c r="B25" s="56"/>
      <c r="C25" s="56"/>
      <c r="D25" s="56"/>
      <c r="E25" s="56"/>
      <c r="F25" s="56"/>
      <c r="G25" s="56"/>
      <c r="H25" s="56"/>
      <c r="I25" s="56"/>
    </row>
    <row r="26" spans="1:9" ht="12.75" customHeight="1">
      <c r="A26" s="56"/>
      <c r="B26" s="56"/>
      <c r="C26" s="56"/>
      <c r="D26" s="56"/>
      <c r="E26" s="56"/>
      <c r="F26" s="56"/>
      <c r="G26" s="56"/>
      <c r="H26" s="56"/>
      <c r="I26" s="56"/>
    </row>
    <row r="27" spans="1:9" ht="12.75" customHeight="1">
      <c r="A27" s="56"/>
      <c r="B27" s="56"/>
      <c r="C27" s="56"/>
      <c r="D27" s="56"/>
      <c r="E27" s="56"/>
      <c r="F27" s="56"/>
      <c r="G27" s="56"/>
      <c r="H27" s="56"/>
      <c r="I27" s="56"/>
    </row>
    <row r="28" spans="1:9" ht="12.75" customHeight="1">
      <c r="A28" s="56"/>
      <c r="B28" s="56"/>
      <c r="C28" s="56"/>
      <c r="D28" s="56"/>
      <c r="E28" s="56"/>
      <c r="F28" s="56"/>
      <c r="G28" s="56"/>
      <c r="H28" s="56"/>
      <c r="I28" s="56"/>
    </row>
    <row r="29" spans="1:9" ht="12.75" customHeight="1">
      <c r="A29" s="56"/>
      <c r="B29" s="56"/>
      <c r="C29" s="56"/>
      <c r="D29" s="56"/>
      <c r="E29" s="56"/>
      <c r="F29" s="56"/>
      <c r="G29" s="56"/>
      <c r="H29" s="56"/>
      <c r="I29" s="56"/>
    </row>
    <row r="30" spans="1:9" ht="12.75" customHeight="1">
      <c r="A30" s="56"/>
      <c r="B30" s="56"/>
      <c r="C30" s="56"/>
      <c r="D30" s="56"/>
      <c r="E30" s="56"/>
      <c r="F30" s="56"/>
      <c r="G30" s="56"/>
      <c r="H30" s="56"/>
      <c r="I30" s="56"/>
    </row>
    <row r="31" spans="1:9" ht="12.75" customHeight="1">
      <c r="A31" s="56"/>
      <c r="B31" s="56"/>
      <c r="C31" s="56"/>
      <c r="D31" s="56"/>
      <c r="E31" s="56"/>
      <c r="F31" s="56"/>
      <c r="G31" s="56"/>
      <c r="H31" s="56"/>
      <c r="I31" s="56"/>
    </row>
    <row r="32" spans="1:9" ht="12.75" customHeight="1">
      <c r="A32" s="56"/>
      <c r="B32" s="56"/>
      <c r="C32" s="56"/>
      <c r="D32" s="56"/>
      <c r="E32" s="56"/>
      <c r="F32" s="56"/>
      <c r="G32" s="56"/>
      <c r="H32" s="56"/>
      <c r="I32" s="56"/>
    </row>
    <row r="33" spans="1:9" ht="12.75" customHeight="1">
      <c r="A33" s="56"/>
      <c r="B33" s="56"/>
      <c r="C33" s="56"/>
      <c r="D33" s="56"/>
      <c r="E33" s="56"/>
      <c r="F33" s="56"/>
      <c r="G33" s="56"/>
      <c r="H33" s="56"/>
      <c r="I33" s="56"/>
    </row>
    <row r="34" spans="1:9" ht="12.75" customHeight="1">
      <c r="A34" s="56"/>
      <c r="B34" s="56"/>
      <c r="C34" s="56"/>
      <c r="D34" s="56"/>
      <c r="E34" s="56"/>
      <c r="F34" s="56"/>
      <c r="G34" s="56"/>
      <c r="H34" s="56"/>
      <c r="I34" s="56"/>
    </row>
    <row r="35" spans="1:9" ht="12.75" customHeight="1">
      <c r="A35" s="57"/>
      <c r="B35" s="57"/>
      <c r="C35" s="57"/>
      <c r="D35" s="57"/>
      <c r="E35" s="57"/>
      <c r="F35" s="57"/>
      <c r="G35" s="57"/>
      <c r="H35" s="57"/>
      <c r="I35" s="57"/>
    </row>
    <row r="36" spans="1:9" ht="12.75" customHeight="1">
      <c r="A36" s="58"/>
      <c r="B36" s="59"/>
      <c r="C36" s="59"/>
      <c r="D36" s="59"/>
      <c r="E36" s="59" t="s">
        <v>83</v>
      </c>
      <c r="F36" s="59"/>
      <c r="G36" s="59"/>
      <c r="H36" s="59" t="s">
        <v>11</v>
      </c>
      <c r="I36" s="60"/>
    </row>
    <row r="37" spans="1:9" ht="12.75" customHeight="1">
      <c r="A37" s="61"/>
      <c r="B37" s="62" t="s">
        <v>84</v>
      </c>
      <c r="C37" s="62"/>
      <c r="D37" s="62"/>
      <c r="E37" s="62"/>
      <c r="F37" s="62"/>
      <c r="G37" s="62"/>
      <c r="H37" s="62"/>
      <c r="I37" s="63"/>
    </row>
    <row r="38" spans="1:9" ht="12.75" customHeight="1"/>
    <row r="39" spans="1:9" ht="12.75" customHeight="1">
      <c r="G39" s="64" t="s">
        <v>85</v>
      </c>
      <c r="H39" s="64" t="s">
        <v>86</v>
      </c>
    </row>
    <row r="40" spans="1:9" ht="12.75" customHeight="1">
      <c r="B40" s="225" t="s">
        <v>87</v>
      </c>
      <c r="C40" s="194"/>
      <c r="D40" s="194"/>
      <c r="G40" s="225" t="s">
        <v>88</v>
      </c>
      <c r="H40" s="194"/>
    </row>
    <row r="41" spans="1:9" ht="12.75" customHeight="1">
      <c r="B41" s="225" t="s">
        <v>89</v>
      </c>
      <c r="C41" s="194"/>
      <c r="D41" s="194"/>
      <c r="F41" s="226" t="s">
        <v>90</v>
      </c>
      <c r="G41" s="194"/>
      <c r="H41" s="194"/>
      <c r="I41" s="194"/>
    </row>
    <row r="42" spans="1:9" ht="12.75" customHeight="1"/>
    <row r="43" spans="1:9" ht="12.75" customHeight="1"/>
    <row r="44" spans="1:9" ht="12.75" customHeight="1"/>
    <row r="45" spans="1:9" ht="12.75" customHeight="1">
      <c r="B45" s="225" t="s">
        <v>91</v>
      </c>
      <c r="C45" s="194"/>
      <c r="D45" s="194"/>
      <c r="G45" s="225" t="s">
        <v>92</v>
      </c>
      <c r="H45" s="194"/>
    </row>
    <row r="46" spans="1:9" ht="12.75" customHeight="1"/>
    <row r="47" spans="1:9" ht="12.75" customHeight="1">
      <c r="D47" s="225" t="s">
        <v>29</v>
      </c>
      <c r="E47" s="194"/>
      <c r="F47" s="194"/>
    </row>
    <row r="48" spans="1:9" ht="12.75" customHeight="1">
      <c r="B48" s="225" t="s">
        <v>93</v>
      </c>
      <c r="C48" s="194"/>
      <c r="D48" s="194"/>
      <c r="G48" s="225" t="s">
        <v>94</v>
      </c>
      <c r="H48" s="194"/>
    </row>
    <row r="49" spans="2:8" ht="12.75" customHeight="1"/>
    <row r="50" spans="2:8" ht="12.75" customHeight="1"/>
    <row r="51" spans="2:8" ht="12.75" customHeight="1"/>
    <row r="52" spans="2:8" ht="12.75" customHeight="1">
      <c r="B52" s="225" t="s">
        <v>95</v>
      </c>
      <c r="C52" s="194"/>
      <c r="D52" s="194"/>
      <c r="G52" s="225" t="s">
        <v>92</v>
      </c>
      <c r="H52" s="194"/>
    </row>
    <row r="53" spans="2:8" ht="12.75" customHeight="1"/>
    <row r="54" spans="2:8" ht="12.75" customHeight="1">
      <c r="E54" s="11" t="s">
        <v>96</v>
      </c>
    </row>
    <row r="55" spans="2:8" ht="12.75" customHeight="1"/>
    <row r="56" spans="2:8" ht="12.75" customHeight="1"/>
    <row r="57" spans="2:8" ht="18" customHeight="1">
      <c r="E57" s="65" t="s">
        <v>97</v>
      </c>
    </row>
    <row r="58" spans="2:8" ht="12.75" customHeight="1"/>
    <row r="59" spans="2:8" ht="12.75" customHeight="1"/>
    <row r="60" spans="2:8" ht="12.75" customHeight="1"/>
    <row r="61" spans="2:8" ht="12.75" customHeight="1"/>
    <row r="62" spans="2:8" ht="12.75" customHeight="1"/>
    <row r="63" spans="2:8" ht="12.75" customHeight="1"/>
    <row r="64" spans="2:8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G40:H40"/>
    <mergeCell ref="F41:I41"/>
    <mergeCell ref="B52:D52"/>
    <mergeCell ref="G52:H52"/>
    <mergeCell ref="B40:D40"/>
    <mergeCell ref="B41:D41"/>
    <mergeCell ref="B45:D45"/>
    <mergeCell ref="G45:H45"/>
    <mergeCell ref="D47:F47"/>
    <mergeCell ref="B48:D48"/>
    <mergeCell ref="G48:H48"/>
    <mergeCell ref="A3:I3"/>
    <mergeCell ref="D4:E4"/>
    <mergeCell ref="A8:A10"/>
    <mergeCell ref="B8:B10"/>
    <mergeCell ref="C8:E8"/>
    <mergeCell ref="C9:C10"/>
  </mergeCells>
  <pageMargins left="0.53" right="0" top="0.99" bottom="0.27559055118110198" header="0" footer="0"/>
  <pageSetup paperSize="5" orientation="portrait"/>
  <headerFooter>
    <oddFooter>&amp;LFormulir untuk Desa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/>
  </sheetViews>
  <sheetFormatPr defaultColWidth="12.5703125" defaultRowHeight="15" customHeight="1"/>
  <cols>
    <col min="1" max="1" width="4.5703125" customWidth="1"/>
    <col min="2" max="2" width="4.28515625" customWidth="1"/>
    <col min="3" max="3" width="27.28515625" customWidth="1"/>
    <col min="4" max="4" width="2" customWidth="1"/>
    <col min="5" max="5" width="8.5703125" customWidth="1"/>
    <col min="6" max="6" width="7.5703125" customWidth="1"/>
    <col min="7" max="8" width="8.5703125" customWidth="1"/>
    <col min="9" max="9" width="17.42578125" customWidth="1"/>
    <col min="10" max="10" width="4.7109375" customWidth="1"/>
    <col min="11" max="11" width="4.42578125" customWidth="1"/>
    <col min="12" max="12" width="3" customWidth="1"/>
    <col min="13" max="13" width="24.42578125" customWidth="1"/>
    <col min="14" max="14" width="2.140625" customWidth="1"/>
    <col min="15" max="26" width="8.5703125" customWidth="1"/>
  </cols>
  <sheetData>
    <row r="1" spans="1:18" ht="12.75" customHeight="1"/>
    <row r="2" spans="1:18" ht="12.75" customHeight="1">
      <c r="B2" s="66"/>
      <c r="C2" s="66"/>
      <c r="D2" s="66"/>
      <c r="E2" s="66"/>
      <c r="F2" s="66" t="s">
        <v>98</v>
      </c>
      <c r="G2" s="66"/>
      <c r="H2" s="66"/>
      <c r="L2" s="66"/>
      <c r="M2" s="66"/>
      <c r="N2" s="66"/>
      <c r="O2" s="66"/>
      <c r="P2" s="66" t="s">
        <v>98</v>
      </c>
      <c r="Q2" s="66"/>
      <c r="R2" s="66"/>
    </row>
    <row r="3" spans="1:18" ht="12.75" customHeight="1">
      <c r="B3" s="66"/>
      <c r="C3" s="66"/>
      <c r="D3" s="66"/>
      <c r="E3" s="66"/>
      <c r="F3" s="66"/>
      <c r="G3" s="67" t="s">
        <v>99</v>
      </c>
      <c r="H3" s="66"/>
      <c r="L3" s="66"/>
      <c r="M3" s="66"/>
      <c r="N3" s="66"/>
      <c r="O3" s="66"/>
      <c r="P3" s="66"/>
      <c r="Q3" s="67" t="s">
        <v>99</v>
      </c>
      <c r="R3" s="66"/>
    </row>
    <row r="4" spans="1:18" ht="12.75" customHeight="1">
      <c r="B4" s="66"/>
      <c r="C4" s="66"/>
      <c r="D4" s="66"/>
      <c r="E4" s="66"/>
      <c r="F4" s="66"/>
      <c r="G4" s="68" t="s">
        <v>100</v>
      </c>
      <c r="H4" s="66"/>
      <c r="L4" s="66"/>
      <c r="M4" s="66"/>
      <c r="N4" s="66"/>
      <c r="O4" s="66"/>
      <c r="P4" s="66"/>
      <c r="Q4" s="68" t="s">
        <v>100</v>
      </c>
      <c r="R4" s="66"/>
    </row>
    <row r="5" spans="1:18" ht="12.75" customHeight="1">
      <c r="A5" s="69"/>
      <c r="B5" s="70"/>
      <c r="C5" s="70"/>
      <c r="D5" s="70"/>
      <c r="E5" s="70"/>
      <c r="F5" s="70"/>
      <c r="G5" s="70"/>
      <c r="H5" s="70"/>
      <c r="I5" s="69"/>
      <c r="L5" s="66"/>
      <c r="M5" s="66"/>
      <c r="N5" s="66"/>
      <c r="O5" s="66"/>
      <c r="P5" s="66"/>
      <c r="Q5" s="66"/>
      <c r="R5" s="66"/>
    </row>
    <row r="6" spans="1:18" ht="12.75" customHeight="1">
      <c r="A6" s="69"/>
      <c r="B6" s="70" t="s">
        <v>101</v>
      </c>
      <c r="C6" s="70"/>
      <c r="D6" s="70" t="s">
        <v>10</v>
      </c>
      <c r="E6" s="70" t="s">
        <v>102</v>
      </c>
      <c r="F6" s="70"/>
      <c r="G6" s="70"/>
      <c r="H6" s="70"/>
      <c r="I6" s="69"/>
      <c r="L6" s="66" t="s">
        <v>101</v>
      </c>
      <c r="M6" s="66"/>
      <c r="N6" s="66" t="s">
        <v>10</v>
      </c>
      <c r="O6" s="66" t="s">
        <v>102</v>
      </c>
      <c r="P6" s="66"/>
      <c r="Q6" s="66"/>
      <c r="R6" s="66"/>
    </row>
    <row r="7" spans="1:18" ht="12.75" customHeight="1">
      <c r="A7" s="69"/>
      <c r="B7" s="70" t="s">
        <v>103</v>
      </c>
      <c r="C7" s="70"/>
      <c r="D7" s="70" t="s">
        <v>10</v>
      </c>
      <c r="E7" s="70" t="s">
        <v>104</v>
      </c>
      <c r="F7" s="70"/>
      <c r="G7" s="70"/>
      <c r="H7" s="70"/>
      <c r="I7" s="69"/>
      <c r="L7" s="66" t="s">
        <v>103</v>
      </c>
      <c r="M7" s="66"/>
      <c r="N7" s="66" t="s">
        <v>10</v>
      </c>
      <c r="O7" s="66" t="s">
        <v>104</v>
      </c>
      <c r="P7" s="66"/>
      <c r="Q7" s="66"/>
      <c r="R7" s="66"/>
    </row>
    <row r="8" spans="1:18" ht="12.75" customHeight="1">
      <c r="A8" s="69"/>
      <c r="B8" s="70" t="s">
        <v>105</v>
      </c>
      <c r="C8" s="70"/>
      <c r="D8" s="70" t="s">
        <v>10</v>
      </c>
      <c r="E8" s="70" t="s">
        <v>106</v>
      </c>
      <c r="F8" s="70"/>
      <c r="G8" s="70"/>
      <c r="H8" s="70"/>
      <c r="I8" s="69"/>
      <c r="L8" s="66" t="s">
        <v>105</v>
      </c>
      <c r="M8" s="66"/>
      <c r="N8" s="66" t="s">
        <v>10</v>
      </c>
      <c r="O8" s="66" t="s">
        <v>106</v>
      </c>
      <c r="P8" s="66"/>
      <c r="Q8" s="66"/>
      <c r="R8" s="66"/>
    </row>
    <row r="9" spans="1:18" ht="12.75" customHeight="1">
      <c r="A9" s="69"/>
      <c r="B9" s="70"/>
      <c r="C9" s="70"/>
      <c r="D9" s="70"/>
      <c r="E9" s="70"/>
      <c r="F9" s="70"/>
      <c r="G9" s="70"/>
      <c r="H9" s="70"/>
      <c r="I9" s="69"/>
      <c r="L9" s="66"/>
      <c r="M9" s="66"/>
      <c r="N9" s="66"/>
      <c r="O9" s="66"/>
      <c r="P9" s="66"/>
      <c r="Q9" s="66"/>
      <c r="R9" s="66"/>
    </row>
    <row r="10" spans="1:18" ht="6.75" customHeight="1">
      <c r="A10" s="69"/>
      <c r="B10" s="70"/>
      <c r="C10" s="70"/>
      <c r="D10" s="70"/>
      <c r="E10" s="70"/>
      <c r="F10" s="70"/>
      <c r="G10" s="70"/>
      <c r="H10" s="70"/>
      <c r="I10" s="69"/>
      <c r="L10" s="66"/>
      <c r="M10" s="66"/>
      <c r="N10" s="66"/>
      <c r="O10" s="66"/>
      <c r="P10" s="66"/>
      <c r="Q10" s="66"/>
      <c r="R10" s="66"/>
    </row>
    <row r="11" spans="1:18" ht="12.75" customHeight="1">
      <c r="A11" s="69"/>
      <c r="B11" s="228" t="s">
        <v>107</v>
      </c>
      <c r="C11" s="194"/>
      <c r="D11" s="194"/>
      <c r="E11" s="194"/>
      <c r="F11" s="194"/>
      <c r="G11" s="194"/>
      <c r="H11" s="194"/>
      <c r="I11" s="69"/>
      <c r="L11" s="228" t="s">
        <v>107</v>
      </c>
      <c r="M11" s="194"/>
      <c r="N11" s="194"/>
      <c r="O11" s="194"/>
      <c r="P11" s="194"/>
      <c r="Q11" s="194"/>
      <c r="R11" s="194"/>
    </row>
    <row r="12" spans="1:18" ht="12.75" customHeight="1">
      <c r="A12" s="69"/>
      <c r="B12" s="229" t="s">
        <v>108</v>
      </c>
      <c r="C12" s="194"/>
      <c r="D12" s="194"/>
      <c r="E12" s="194"/>
      <c r="F12" s="194"/>
      <c r="G12" s="194"/>
      <c r="H12" s="194"/>
      <c r="I12" s="69"/>
      <c r="L12" s="227" t="s">
        <v>109</v>
      </c>
      <c r="M12" s="194"/>
      <c r="N12" s="194"/>
      <c r="O12" s="194"/>
      <c r="P12" s="194"/>
      <c r="Q12" s="194"/>
      <c r="R12" s="194"/>
    </row>
    <row r="13" spans="1:18" ht="12.75" customHeight="1">
      <c r="A13" s="69"/>
      <c r="B13" s="70"/>
      <c r="C13" s="70"/>
      <c r="D13" s="70"/>
      <c r="E13" s="70"/>
      <c r="F13" s="70"/>
      <c r="G13" s="70"/>
      <c r="H13" s="70"/>
      <c r="I13" s="69"/>
      <c r="L13" s="66"/>
      <c r="M13" s="66"/>
      <c r="N13" s="66"/>
      <c r="O13" s="66"/>
      <c r="P13" s="66"/>
      <c r="Q13" s="66"/>
      <c r="R13" s="66"/>
    </row>
    <row r="14" spans="1:18" ht="12.75" customHeight="1">
      <c r="A14" s="69"/>
      <c r="B14" s="70" t="s">
        <v>110</v>
      </c>
      <c r="C14" s="70"/>
      <c r="D14" s="70"/>
      <c r="E14" s="70"/>
      <c r="F14" s="70"/>
      <c r="G14" s="70"/>
      <c r="H14" s="70"/>
      <c r="I14" s="69"/>
      <c r="L14" s="66" t="s">
        <v>110</v>
      </c>
      <c r="M14" s="66"/>
      <c r="N14" s="66"/>
      <c r="O14" s="66"/>
      <c r="P14" s="66"/>
      <c r="Q14" s="66"/>
      <c r="R14" s="66"/>
    </row>
    <row r="15" spans="1:18" ht="12.75" customHeight="1">
      <c r="A15" s="69"/>
      <c r="B15" s="70"/>
      <c r="C15" s="70"/>
      <c r="D15" s="70"/>
      <c r="E15" s="70"/>
      <c r="F15" s="70"/>
      <c r="G15" s="70"/>
      <c r="H15" s="70"/>
      <c r="I15" s="69"/>
      <c r="L15" s="66"/>
      <c r="M15" s="66"/>
      <c r="N15" s="66"/>
      <c r="O15" s="66"/>
      <c r="P15" s="66"/>
      <c r="Q15" s="66"/>
      <c r="R15" s="66"/>
    </row>
    <row r="16" spans="1:18" ht="12.75" customHeight="1">
      <c r="A16" s="69"/>
      <c r="B16" s="70" t="s">
        <v>111</v>
      </c>
      <c r="C16" s="70" t="s">
        <v>112</v>
      </c>
      <c r="D16" s="70" t="s">
        <v>10</v>
      </c>
      <c r="E16" s="70" t="s">
        <v>113</v>
      </c>
      <c r="F16" s="70"/>
      <c r="G16" s="70"/>
      <c r="H16" s="70"/>
      <c r="I16" s="69"/>
      <c r="L16" s="66" t="s">
        <v>111</v>
      </c>
      <c r="M16" s="66" t="s">
        <v>112</v>
      </c>
      <c r="N16" s="66" t="s">
        <v>10</v>
      </c>
      <c r="O16" s="66" t="s">
        <v>114</v>
      </c>
      <c r="P16" s="66"/>
      <c r="Q16" s="66"/>
      <c r="R16" s="66"/>
    </row>
    <row r="17" spans="1:18" ht="12.75" customHeight="1">
      <c r="A17" s="69"/>
      <c r="B17" s="70" t="s">
        <v>115</v>
      </c>
      <c r="C17" s="70" t="s">
        <v>116</v>
      </c>
      <c r="D17" s="70" t="s">
        <v>10</v>
      </c>
      <c r="E17" s="70" t="s">
        <v>117</v>
      </c>
      <c r="F17" s="70"/>
      <c r="G17" s="70"/>
      <c r="H17" s="70"/>
      <c r="I17" s="69"/>
      <c r="L17" s="66" t="s">
        <v>115</v>
      </c>
      <c r="M17" s="66" t="s">
        <v>116</v>
      </c>
      <c r="N17" s="66" t="s">
        <v>10</v>
      </c>
      <c r="O17" s="66" t="s">
        <v>114</v>
      </c>
      <c r="P17" s="66"/>
      <c r="Q17" s="66"/>
      <c r="R17" s="66"/>
    </row>
    <row r="18" spans="1:18" ht="12.75" customHeight="1">
      <c r="A18" s="69"/>
      <c r="B18" s="70" t="s">
        <v>118</v>
      </c>
      <c r="C18" s="70" t="s">
        <v>119</v>
      </c>
      <c r="D18" s="70" t="s">
        <v>10</v>
      </c>
      <c r="E18" s="70" t="s">
        <v>120</v>
      </c>
      <c r="F18" s="70"/>
      <c r="G18" s="70"/>
      <c r="H18" s="70"/>
      <c r="I18" s="69"/>
      <c r="L18" s="66" t="s">
        <v>118</v>
      </c>
      <c r="M18" s="66" t="s">
        <v>119</v>
      </c>
      <c r="N18" s="66" t="s">
        <v>10</v>
      </c>
      <c r="O18" s="66" t="s">
        <v>114</v>
      </c>
      <c r="P18" s="66"/>
      <c r="Q18" s="66"/>
      <c r="R18" s="66"/>
    </row>
    <row r="19" spans="1:18" ht="12.75" customHeight="1">
      <c r="A19" s="69"/>
      <c r="B19" s="70" t="s">
        <v>121</v>
      </c>
      <c r="C19" s="70" t="s">
        <v>122</v>
      </c>
      <c r="D19" s="70" t="s">
        <v>10</v>
      </c>
      <c r="E19" s="70" t="s">
        <v>123</v>
      </c>
      <c r="F19" s="70"/>
      <c r="G19" s="70"/>
      <c r="H19" s="70"/>
      <c r="I19" s="69"/>
      <c r="L19" s="66" t="s">
        <v>121</v>
      </c>
      <c r="M19" s="66" t="s">
        <v>122</v>
      </c>
      <c r="N19" s="66" t="s">
        <v>10</v>
      </c>
      <c r="O19" s="66" t="s">
        <v>123</v>
      </c>
      <c r="P19" s="66"/>
      <c r="Q19" s="66"/>
      <c r="R19" s="66"/>
    </row>
    <row r="20" spans="1:18" ht="12.75" customHeight="1">
      <c r="A20" s="69"/>
      <c r="B20" s="70" t="s">
        <v>124</v>
      </c>
      <c r="C20" s="70" t="s">
        <v>125</v>
      </c>
      <c r="D20" s="70" t="s">
        <v>10</v>
      </c>
      <c r="E20" s="70" t="s">
        <v>126</v>
      </c>
      <c r="F20" s="70"/>
      <c r="G20" s="70"/>
      <c r="H20" s="70"/>
      <c r="I20" s="69"/>
      <c r="L20" s="66" t="s">
        <v>124</v>
      </c>
      <c r="M20" s="66" t="s">
        <v>125</v>
      </c>
      <c r="N20" s="66" t="s">
        <v>10</v>
      </c>
      <c r="O20" s="66" t="s">
        <v>126</v>
      </c>
      <c r="P20" s="66"/>
      <c r="Q20" s="66"/>
      <c r="R20" s="66"/>
    </row>
    <row r="21" spans="1:18" ht="12.75" customHeight="1">
      <c r="A21" s="69"/>
      <c r="B21" s="70" t="s">
        <v>127</v>
      </c>
      <c r="C21" s="70" t="s">
        <v>128</v>
      </c>
      <c r="D21" s="70" t="s">
        <v>10</v>
      </c>
      <c r="E21" s="70" t="s">
        <v>129</v>
      </c>
      <c r="F21" s="70"/>
      <c r="G21" s="70"/>
      <c r="H21" s="70"/>
      <c r="I21" s="69"/>
      <c r="L21" s="66" t="s">
        <v>127</v>
      </c>
      <c r="M21" s="66" t="s">
        <v>128</v>
      </c>
      <c r="N21" s="66" t="s">
        <v>10</v>
      </c>
      <c r="O21" s="66" t="s">
        <v>114</v>
      </c>
      <c r="P21" s="66"/>
      <c r="Q21" s="66"/>
      <c r="R21" s="66"/>
    </row>
    <row r="22" spans="1:18" ht="12.75" customHeight="1">
      <c r="A22" s="69"/>
      <c r="B22" s="70" t="s">
        <v>130</v>
      </c>
      <c r="C22" s="70" t="s">
        <v>131</v>
      </c>
      <c r="D22" s="70" t="s">
        <v>10</v>
      </c>
      <c r="E22" s="70" t="s">
        <v>132</v>
      </c>
      <c r="F22" s="70"/>
      <c r="G22" s="70"/>
      <c r="H22" s="70"/>
      <c r="I22" s="69"/>
      <c r="L22" s="66" t="s">
        <v>130</v>
      </c>
      <c r="M22" s="66" t="s">
        <v>131</v>
      </c>
      <c r="N22" s="66" t="s">
        <v>10</v>
      </c>
      <c r="O22" s="66" t="s">
        <v>133</v>
      </c>
      <c r="P22" s="66"/>
      <c r="Q22" s="66"/>
      <c r="R22" s="66"/>
    </row>
    <row r="23" spans="1:18" ht="12.75" customHeight="1">
      <c r="A23" s="69"/>
      <c r="B23" s="70" t="s">
        <v>134</v>
      </c>
      <c r="C23" s="70" t="s">
        <v>135</v>
      </c>
      <c r="D23" s="70" t="s">
        <v>10</v>
      </c>
      <c r="E23" s="70" t="s">
        <v>136</v>
      </c>
      <c r="F23" s="70"/>
      <c r="G23" s="70"/>
      <c r="H23" s="70"/>
      <c r="I23" s="69"/>
      <c r="L23" s="66" t="s">
        <v>134</v>
      </c>
      <c r="M23" s="66" t="s">
        <v>135</v>
      </c>
      <c r="N23" s="66" t="s">
        <v>10</v>
      </c>
      <c r="O23" s="66" t="s">
        <v>114</v>
      </c>
      <c r="P23" s="66"/>
      <c r="Q23" s="66"/>
      <c r="R23" s="66"/>
    </row>
    <row r="24" spans="1:18" ht="12.75" customHeight="1">
      <c r="A24" s="69"/>
      <c r="B24" s="70" t="s">
        <v>137</v>
      </c>
      <c r="C24" s="70" t="s">
        <v>138</v>
      </c>
      <c r="D24" s="70" t="s">
        <v>10</v>
      </c>
      <c r="E24" s="70"/>
      <c r="F24" s="70"/>
      <c r="G24" s="70"/>
      <c r="H24" s="70"/>
      <c r="I24" s="69"/>
      <c r="L24" s="66" t="s">
        <v>137</v>
      </c>
      <c r="M24" s="66" t="s">
        <v>138</v>
      </c>
      <c r="N24" s="66" t="s">
        <v>10</v>
      </c>
      <c r="O24" s="66" t="s">
        <v>114</v>
      </c>
      <c r="P24" s="66"/>
      <c r="Q24" s="66"/>
      <c r="R24" s="66"/>
    </row>
    <row r="25" spans="1:18" ht="12.75" customHeight="1">
      <c r="A25" s="69"/>
      <c r="B25" s="70"/>
      <c r="C25" s="70" t="s">
        <v>139</v>
      </c>
      <c r="D25" s="70"/>
      <c r="E25" s="70"/>
      <c r="F25" s="70"/>
      <c r="G25" s="70"/>
      <c r="H25" s="70"/>
      <c r="I25" s="69"/>
      <c r="L25" s="66"/>
      <c r="M25" s="66" t="s">
        <v>139</v>
      </c>
      <c r="N25" s="66"/>
      <c r="O25" s="66"/>
      <c r="P25" s="66"/>
      <c r="Q25" s="66"/>
      <c r="R25" s="66"/>
    </row>
    <row r="26" spans="1:18" ht="12.75" customHeight="1">
      <c r="A26" s="69"/>
      <c r="B26" s="70"/>
      <c r="C26" s="70" t="s">
        <v>140</v>
      </c>
      <c r="D26" s="70"/>
      <c r="E26" s="70"/>
      <c r="F26" s="70"/>
      <c r="G26" s="70"/>
      <c r="H26" s="70"/>
      <c r="I26" s="69"/>
      <c r="L26" s="66"/>
      <c r="M26" s="66" t="s">
        <v>140</v>
      </c>
      <c r="N26" s="66"/>
      <c r="O26" s="66"/>
      <c r="P26" s="66"/>
      <c r="Q26" s="66"/>
      <c r="R26" s="66"/>
    </row>
    <row r="27" spans="1:18" ht="12.75" customHeight="1">
      <c r="A27" s="69"/>
      <c r="B27" s="70"/>
      <c r="C27" s="70" t="s">
        <v>141</v>
      </c>
      <c r="D27" s="70" t="s">
        <v>10</v>
      </c>
      <c r="E27" s="70" t="s">
        <v>142</v>
      </c>
      <c r="F27" s="70"/>
      <c r="G27" s="70"/>
      <c r="H27" s="70"/>
      <c r="I27" s="69"/>
      <c r="L27" s="66"/>
      <c r="M27" s="66" t="s">
        <v>141</v>
      </c>
      <c r="N27" s="66" t="s">
        <v>10</v>
      </c>
      <c r="O27" s="66" t="s">
        <v>114</v>
      </c>
      <c r="P27" s="66"/>
      <c r="Q27" s="66"/>
      <c r="R27" s="66"/>
    </row>
    <row r="28" spans="1:18" ht="9.75" customHeight="1">
      <c r="A28" s="69"/>
      <c r="B28" s="70"/>
      <c r="C28" s="70"/>
      <c r="D28" s="70"/>
      <c r="E28" s="70"/>
      <c r="F28" s="70"/>
      <c r="G28" s="70"/>
      <c r="H28" s="70"/>
      <c r="I28" s="69"/>
      <c r="L28" s="66"/>
      <c r="M28" s="66"/>
      <c r="N28" s="66"/>
      <c r="O28" s="66"/>
      <c r="P28" s="66"/>
      <c r="Q28" s="66"/>
      <c r="R28" s="66"/>
    </row>
    <row r="29" spans="1:18" ht="12.75" customHeight="1">
      <c r="A29" s="69"/>
      <c r="B29" s="70"/>
      <c r="C29" s="70" t="s">
        <v>143</v>
      </c>
      <c r="D29" s="70"/>
      <c r="E29" s="70"/>
      <c r="F29" s="70"/>
      <c r="G29" s="70"/>
      <c r="H29" s="70"/>
      <c r="I29" s="69"/>
      <c r="L29" s="66"/>
      <c r="M29" s="66" t="s">
        <v>143</v>
      </c>
      <c r="N29" s="66"/>
      <c r="O29" s="66"/>
      <c r="P29" s="66"/>
      <c r="Q29" s="66"/>
      <c r="R29" s="66"/>
    </row>
    <row r="30" spans="1:18" ht="12.75" customHeight="1">
      <c r="A30" s="69"/>
      <c r="B30" s="70"/>
      <c r="C30" s="70" t="s">
        <v>144</v>
      </c>
      <c r="D30" s="70" t="s">
        <v>10</v>
      </c>
      <c r="E30" s="70" t="s">
        <v>114</v>
      </c>
      <c r="F30" s="70"/>
      <c r="G30" s="70"/>
      <c r="H30" s="70"/>
      <c r="I30" s="69"/>
      <c r="L30" s="66"/>
      <c r="M30" s="66" t="s">
        <v>144</v>
      </c>
      <c r="N30" s="66" t="s">
        <v>10</v>
      </c>
      <c r="O30" s="66" t="s">
        <v>114</v>
      </c>
      <c r="P30" s="66"/>
      <c r="Q30" s="66"/>
      <c r="R30" s="66"/>
    </row>
    <row r="31" spans="1:18" ht="12.75" customHeight="1">
      <c r="A31" s="69"/>
      <c r="B31" s="70"/>
      <c r="C31" s="70"/>
      <c r="D31" s="70"/>
      <c r="E31" s="70"/>
      <c r="F31" s="70"/>
      <c r="G31" s="70"/>
      <c r="H31" s="70"/>
      <c r="I31" s="69"/>
      <c r="L31" s="66"/>
      <c r="M31" s="66"/>
      <c r="N31" s="66"/>
      <c r="O31" s="66"/>
      <c r="P31" s="66"/>
      <c r="Q31" s="66"/>
      <c r="R31" s="66"/>
    </row>
    <row r="32" spans="1:18" ht="12.75" customHeight="1">
      <c r="A32" s="69"/>
      <c r="B32" s="70" t="s">
        <v>145</v>
      </c>
      <c r="C32" s="70" t="s">
        <v>146</v>
      </c>
      <c r="D32" s="70" t="s">
        <v>10</v>
      </c>
      <c r="E32" s="70" t="s">
        <v>114</v>
      </c>
      <c r="F32" s="70"/>
      <c r="G32" s="70"/>
      <c r="H32" s="70"/>
      <c r="I32" s="69"/>
      <c r="L32" s="66" t="s">
        <v>145</v>
      </c>
      <c r="M32" s="66" t="s">
        <v>146</v>
      </c>
      <c r="N32" s="66" t="s">
        <v>10</v>
      </c>
      <c r="O32" s="66" t="s">
        <v>114</v>
      </c>
      <c r="P32" s="66"/>
      <c r="Q32" s="66"/>
      <c r="R32" s="66"/>
    </row>
    <row r="33" spans="1:18" ht="8.25" customHeight="1">
      <c r="A33" s="69"/>
      <c r="B33" s="70"/>
      <c r="C33" s="70"/>
      <c r="D33" s="70"/>
      <c r="E33" s="70"/>
      <c r="F33" s="70"/>
      <c r="G33" s="70"/>
      <c r="H33" s="70"/>
      <c r="I33" s="69"/>
      <c r="L33" s="66"/>
      <c r="M33" s="66"/>
      <c r="N33" s="66"/>
      <c r="O33" s="66"/>
      <c r="P33" s="66"/>
      <c r="Q33" s="66"/>
      <c r="R33" s="66"/>
    </row>
    <row r="34" spans="1:18" ht="12.75" customHeight="1">
      <c r="A34" s="69"/>
      <c r="B34" s="70"/>
      <c r="C34" s="70" t="s">
        <v>147</v>
      </c>
      <c r="D34" s="70"/>
      <c r="E34" s="70"/>
      <c r="F34" s="70"/>
      <c r="G34" s="70"/>
      <c r="H34" s="70"/>
      <c r="I34" s="69"/>
      <c r="L34" s="66"/>
      <c r="M34" s="66" t="s">
        <v>147</v>
      </c>
      <c r="N34" s="66"/>
      <c r="O34" s="66"/>
      <c r="P34" s="66"/>
      <c r="Q34" s="66"/>
      <c r="R34" s="66"/>
    </row>
    <row r="35" spans="1:18" ht="12.75" customHeight="1">
      <c r="A35" s="69"/>
      <c r="B35" s="70" t="s">
        <v>148</v>
      </c>
      <c r="C35" s="70"/>
      <c r="D35" s="70"/>
      <c r="E35" s="70"/>
      <c r="F35" s="70"/>
      <c r="G35" s="70"/>
      <c r="H35" s="70"/>
      <c r="I35" s="69"/>
      <c r="L35" s="66" t="s">
        <v>148</v>
      </c>
      <c r="M35" s="66"/>
      <c r="N35" s="66"/>
      <c r="O35" s="66"/>
      <c r="P35" s="66"/>
      <c r="Q35" s="66"/>
      <c r="R35" s="66"/>
    </row>
    <row r="36" spans="1:18" ht="12.75" customHeight="1">
      <c r="A36" s="69"/>
      <c r="B36" s="70"/>
      <c r="C36" s="70"/>
      <c r="D36" s="70"/>
      <c r="E36" s="70"/>
      <c r="F36" s="70"/>
      <c r="G36" s="70"/>
      <c r="H36" s="70"/>
      <c r="I36" s="69"/>
      <c r="L36" s="66"/>
      <c r="M36" s="66"/>
      <c r="N36" s="66"/>
      <c r="O36" s="66"/>
      <c r="P36" s="66"/>
      <c r="Q36" s="66"/>
      <c r="R36" s="66"/>
    </row>
    <row r="37" spans="1:18" ht="12.75" customHeight="1">
      <c r="A37" s="69"/>
      <c r="B37" s="70"/>
      <c r="C37" s="70"/>
      <c r="D37" s="70"/>
      <c r="E37" s="70"/>
      <c r="F37" s="70" t="s">
        <v>149</v>
      </c>
      <c r="G37" s="70"/>
      <c r="H37" s="70"/>
      <c r="I37" s="69"/>
      <c r="L37" s="66"/>
      <c r="M37" s="66"/>
      <c r="N37" s="66"/>
      <c r="O37" s="66"/>
      <c r="P37" s="66" t="s">
        <v>150</v>
      </c>
      <c r="Q37" s="66"/>
      <c r="R37" s="66"/>
    </row>
    <row r="38" spans="1:18" ht="7.5" customHeight="1">
      <c r="A38" s="69"/>
      <c r="B38" s="70"/>
      <c r="C38" s="70"/>
      <c r="D38" s="70"/>
      <c r="E38" s="70"/>
      <c r="F38" s="70"/>
      <c r="G38" s="70"/>
      <c r="H38" s="70"/>
      <c r="I38" s="69"/>
      <c r="L38" s="66"/>
      <c r="M38" s="66"/>
      <c r="N38" s="66"/>
      <c r="O38" s="66"/>
      <c r="P38" s="66"/>
      <c r="Q38" s="66"/>
      <c r="R38" s="66"/>
    </row>
    <row r="39" spans="1:18" ht="12.75" customHeight="1">
      <c r="A39" s="69"/>
      <c r="B39" s="70"/>
      <c r="C39" s="70"/>
      <c r="D39" s="70"/>
      <c r="E39" s="70"/>
      <c r="F39" s="70" t="s">
        <v>151</v>
      </c>
      <c r="G39" s="70"/>
      <c r="H39" s="70"/>
      <c r="I39" s="69"/>
      <c r="L39" s="66"/>
      <c r="M39" s="66"/>
      <c r="N39" s="66"/>
      <c r="O39" s="66"/>
      <c r="P39" s="66" t="s">
        <v>151</v>
      </c>
      <c r="Q39" s="66"/>
      <c r="R39" s="66"/>
    </row>
    <row r="40" spans="1:18" ht="12.75" customHeight="1">
      <c r="A40" s="69"/>
      <c r="B40" s="70"/>
      <c r="C40" s="70"/>
      <c r="D40" s="70"/>
      <c r="E40" s="70"/>
      <c r="F40" s="70"/>
      <c r="G40" s="70"/>
      <c r="H40" s="70"/>
      <c r="I40" s="69"/>
      <c r="L40" s="66"/>
      <c r="M40" s="66"/>
      <c r="N40" s="66"/>
      <c r="O40" s="66"/>
      <c r="P40" s="66"/>
      <c r="Q40" s="66"/>
      <c r="R40" s="66"/>
    </row>
    <row r="41" spans="1:18" ht="12.75" customHeight="1">
      <c r="A41" s="69"/>
      <c r="B41" s="70"/>
      <c r="C41" s="70"/>
      <c r="D41" s="70"/>
      <c r="E41" s="70"/>
      <c r="F41" s="70"/>
      <c r="G41" s="70"/>
      <c r="H41" s="70"/>
      <c r="I41" s="69"/>
      <c r="L41" s="66"/>
      <c r="M41" s="66"/>
      <c r="N41" s="66"/>
      <c r="O41" s="66"/>
      <c r="P41" s="66"/>
      <c r="Q41" s="66"/>
      <c r="R41" s="66"/>
    </row>
    <row r="42" spans="1:18" ht="12.75" customHeight="1">
      <c r="A42" s="69"/>
      <c r="B42" s="70"/>
      <c r="C42" s="70"/>
      <c r="D42" s="70"/>
      <c r="E42" s="70"/>
      <c r="F42" s="70"/>
      <c r="G42" s="70"/>
      <c r="H42" s="70"/>
      <c r="I42" s="69"/>
      <c r="L42" s="66"/>
      <c r="M42" s="66"/>
      <c r="N42" s="66"/>
      <c r="O42" s="66"/>
      <c r="P42" s="66"/>
      <c r="Q42" s="66"/>
      <c r="R42" s="66"/>
    </row>
    <row r="43" spans="1:18" ht="12.75" customHeight="1">
      <c r="A43" s="69"/>
      <c r="B43" s="70"/>
      <c r="C43" s="70"/>
      <c r="D43" s="70"/>
      <c r="E43" s="70"/>
      <c r="F43" s="70" t="s">
        <v>152</v>
      </c>
      <c r="G43" s="70"/>
      <c r="H43" s="70"/>
      <c r="I43" s="69"/>
      <c r="L43" s="66"/>
      <c r="M43" s="66"/>
      <c r="N43" s="66"/>
      <c r="O43" s="66"/>
      <c r="P43" s="66" t="s">
        <v>152</v>
      </c>
      <c r="Q43" s="66"/>
      <c r="R43" s="66"/>
    </row>
    <row r="44" spans="1:18" ht="12.75" customHeight="1">
      <c r="A44" s="69"/>
      <c r="B44" s="69"/>
      <c r="C44" s="69"/>
      <c r="D44" s="69"/>
      <c r="E44" s="69"/>
      <c r="F44" s="69"/>
      <c r="G44" s="69"/>
      <c r="H44" s="69"/>
      <c r="I44" s="69"/>
    </row>
    <row r="45" spans="1:18" ht="12.75" customHeight="1">
      <c r="A45" s="69"/>
      <c r="B45" s="69"/>
      <c r="C45" s="69"/>
      <c r="D45" s="69"/>
      <c r="E45" s="69"/>
      <c r="F45" s="69"/>
      <c r="G45" s="69"/>
      <c r="H45" s="69"/>
      <c r="I45" s="69"/>
    </row>
    <row r="46" spans="1:18" ht="12.75" customHeight="1">
      <c r="A46" s="69"/>
      <c r="B46" s="69"/>
      <c r="C46" s="69"/>
      <c r="D46" s="69"/>
      <c r="E46" s="69"/>
      <c r="F46" s="69"/>
      <c r="G46" s="69"/>
      <c r="H46" s="69"/>
      <c r="I46" s="69"/>
    </row>
    <row r="47" spans="1:18" ht="12.75" customHeight="1">
      <c r="A47" s="69"/>
      <c r="B47" s="69"/>
      <c r="C47" s="69"/>
      <c r="D47" s="69"/>
      <c r="E47" s="69"/>
      <c r="F47" s="69"/>
      <c r="G47" s="69"/>
      <c r="H47" s="69"/>
      <c r="I47" s="69"/>
      <c r="L47" s="66"/>
      <c r="M47" s="66"/>
      <c r="N47" s="66"/>
      <c r="O47" s="66"/>
      <c r="P47" s="66" t="s">
        <v>98</v>
      </c>
      <c r="Q47" s="66"/>
      <c r="R47" s="66"/>
    </row>
    <row r="48" spans="1:18" ht="12.75" customHeight="1">
      <c r="A48" s="69"/>
      <c r="B48" s="69"/>
      <c r="C48" s="69"/>
      <c r="D48" s="69"/>
      <c r="E48" s="69"/>
      <c r="F48" s="69"/>
      <c r="G48" s="69"/>
      <c r="H48" s="69"/>
      <c r="L48" s="66"/>
      <c r="M48" s="66"/>
      <c r="N48" s="66"/>
      <c r="O48" s="66"/>
      <c r="P48" s="66"/>
      <c r="Q48" s="67" t="s">
        <v>99</v>
      </c>
      <c r="R48" s="66"/>
    </row>
    <row r="49" spans="1:18" ht="12.75" customHeight="1">
      <c r="A49" s="69"/>
      <c r="B49" s="69"/>
      <c r="C49" s="69"/>
      <c r="D49" s="69"/>
      <c r="E49" s="69"/>
      <c r="F49" s="69"/>
      <c r="G49" s="69"/>
      <c r="H49" s="69"/>
      <c r="L49" s="66"/>
      <c r="M49" s="66"/>
      <c r="N49" s="66"/>
      <c r="O49" s="66"/>
      <c r="P49" s="66"/>
      <c r="Q49" s="68" t="s">
        <v>100</v>
      </c>
      <c r="R49" s="66"/>
    </row>
    <row r="50" spans="1:18" ht="12.75" customHeight="1">
      <c r="A50" s="69"/>
      <c r="B50" s="69"/>
      <c r="C50" s="69"/>
      <c r="D50" s="69"/>
      <c r="E50" s="69"/>
      <c r="F50" s="69"/>
      <c r="G50" s="69"/>
      <c r="H50" s="69"/>
      <c r="L50" s="66"/>
      <c r="M50" s="66"/>
      <c r="N50" s="66"/>
      <c r="O50" s="66"/>
      <c r="P50" s="66"/>
      <c r="Q50" s="66"/>
      <c r="R50" s="66"/>
    </row>
    <row r="51" spans="1:18" ht="12.75" customHeight="1">
      <c r="L51" s="66" t="s">
        <v>101</v>
      </c>
      <c r="M51" s="66"/>
      <c r="N51" s="66" t="s">
        <v>10</v>
      </c>
      <c r="O51" s="66" t="s">
        <v>102</v>
      </c>
      <c r="P51" s="66"/>
      <c r="Q51" s="66"/>
      <c r="R51" s="66"/>
    </row>
    <row r="52" spans="1:18" ht="12.75" customHeight="1">
      <c r="L52" s="66" t="s">
        <v>103</v>
      </c>
      <c r="M52" s="66"/>
      <c r="N52" s="66" t="s">
        <v>10</v>
      </c>
      <c r="O52" s="66" t="s">
        <v>104</v>
      </c>
      <c r="P52" s="66"/>
      <c r="Q52" s="66"/>
      <c r="R52" s="66"/>
    </row>
    <row r="53" spans="1:18" ht="12.75" customHeight="1">
      <c r="L53" s="66" t="s">
        <v>105</v>
      </c>
      <c r="M53" s="66"/>
      <c r="N53" s="66" t="s">
        <v>10</v>
      </c>
      <c r="O53" s="66" t="s">
        <v>106</v>
      </c>
      <c r="P53" s="66"/>
      <c r="Q53" s="66"/>
      <c r="R53" s="66"/>
    </row>
    <row r="54" spans="1:18" ht="9.75" customHeight="1">
      <c r="L54" s="66"/>
      <c r="M54" s="66"/>
      <c r="N54" s="66"/>
      <c r="O54" s="66"/>
      <c r="P54" s="66"/>
      <c r="Q54" s="66"/>
      <c r="R54" s="66"/>
    </row>
    <row r="55" spans="1:18" ht="8.25" customHeight="1">
      <c r="L55" s="66"/>
      <c r="M55" s="66"/>
      <c r="N55" s="66"/>
      <c r="O55" s="66"/>
      <c r="P55" s="66"/>
      <c r="Q55" s="66"/>
      <c r="R55" s="66"/>
    </row>
    <row r="56" spans="1:18" ht="12.75" customHeight="1">
      <c r="L56" s="228" t="s">
        <v>107</v>
      </c>
      <c r="M56" s="194"/>
      <c r="N56" s="194"/>
      <c r="O56" s="194"/>
      <c r="P56" s="194"/>
      <c r="Q56" s="194"/>
      <c r="R56" s="194"/>
    </row>
    <row r="57" spans="1:18" ht="12.75" customHeight="1">
      <c r="L57" s="227" t="s">
        <v>153</v>
      </c>
      <c r="M57" s="194"/>
      <c r="N57" s="194"/>
      <c r="O57" s="194"/>
      <c r="P57" s="194"/>
      <c r="Q57" s="194"/>
      <c r="R57" s="194"/>
    </row>
    <row r="58" spans="1:18" ht="9.75" customHeight="1">
      <c r="L58" s="66"/>
      <c r="M58" s="66"/>
      <c r="N58" s="66"/>
      <c r="O58" s="66"/>
      <c r="P58" s="66"/>
      <c r="Q58" s="66"/>
      <c r="R58" s="66"/>
    </row>
    <row r="59" spans="1:18" ht="12.75" customHeight="1">
      <c r="L59" s="66" t="s">
        <v>110</v>
      </c>
      <c r="M59" s="66"/>
      <c r="N59" s="66"/>
      <c r="O59" s="66"/>
      <c r="P59" s="66"/>
      <c r="Q59" s="66"/>
      <c r="R59" s="66"/>
    </row>
    <row r="60" spans="1:18" ht="12.75" customHeight="1">
      <c r="L60" s="66"/>
      <c r="M60" s="66"/>
      <c r="N60" s="66"/>
      <c r="O60" s="66"/>
      <c r="P60" s="66"/>
      <c r="Q60" s="66"/>
      <c r="R60" s="66"/>
    </row>
    <row r="61" spans="1:18" ht="12.75" customHeight="1">
      <c r="L61" s="66" t="s">
        <v>111</v>
      </c>
      <c r="M61" s="66" t="s">
        <v>112</v>
      </c>
      <c r="N61" s="66" t="s">
        <v>10</v>
      </c>
      <c r="O61" s="66" t="s">
        <v>154</v>
      </c>
      <c r="P61" s="66"/>
      <c r="Q61" s="66"/>
      <c r="R61" s="66"/>
    </row>
    <row r="62" spans="1:18" ht="12.75" customHeight="1">
      <c r="L62" s="66" t="s">
        <v>115</v>
      </c>
      <c r="M62" s="66" t="s">
        <v>116</v>
      </c>
      <c r="N62" s="66" t="s">
        <v>10</v>
      </c>
      <c r="O62" s="66" t="s">
        <v>155</v>
      </c>
      <c r="P62" s="66"/>
      <c r="Q62" s="66"/>
      <c r="R62" s="66"/>
    </row>
    <row r="63" spans="1:18" ht="12.75" customHeight="1">
      <c r="L63" s="66" t="s">
        <v>118</v>
      </c>
      <c r="M63" s="66" t="s">
        <v>119</v>
      </c>
      <c r="N63" s="66" t="s">
        <v>10</v>
      </c>
      <c r="O63" s="66" t="s">
        <v>156</v>
      </c>
      <c r="P63" s="66"/>
      <c r="Q63" s="66"/>
      <c r="R63" s="66"/>
    </row>
    <row r="64" spans="1:18" ht="12.75" customHeight="1">
      <c r="L64" s="66" t="s">
        <v>121</v>
      </c>
      <c r="M64" s="66" t="s">
        <v>122</v>
      </c>
      <c r="N64" s="66" t="s">
        <v>10</v>
      </c>
      <c r="O64" s="66" t="s">
        <v>123</v>
      </c>
      <c r="P64" s="66"/>
      <c r="Q64" s="66"/>
      <c r="R64" s="66"/>
    </row>
    <row r="65" spans="12:18" ht="12.75" customHeight="1">
      <c r="L65" s="66" t="s">
        <v>124</v>
      </c>
      <c r="M65" s="66" t="s">
        <v>125</v>
      </c>
      <c r="N65" s="66" t="s">
        <v>10</v>
      </c>
      <c r="O65" s="66" t="s">
        <v>126</v>
      </c>
      <c r="P65" s="66"/>
      <c r="Q65" s="66"/>
      <c r="R65" s="66"/>
    </row>
    <row r="66" spans="12:18" ht="12.75" customHeight="1">
      <c r="L66" s="66" t="s">
        <v>127</v>
      </c>
      <c r="M66" s="66" t="s">
        <v>128</v>
      </c>
      <c r="N66" s="66" t="s">
        <v>10</v>
      </c>
      <c r="O66" s="66" t="s">
        <v>157</v>
      </c>
      <c r="P66" s="66"/>
      <c r="Q66" s="66"/>
      <c r="R66" s="66"/>
    </row>
    <row r="67" spans="12:18" ht="12.75" customHeight="1">
      <c r="L67" s="66" t="s">
        <v>130</v>
      </c>
      <c r="M67" s="66" t="s">
        <v>131</v>
      </c>
      <c r="N67" s="66" t="s">
        <v>10</v>
      </c>
      <c r="O67" s="66" t="s">
        <v>158</v>
      </c>
      <c r="P67" s="66"/>
      <c r="Q67" s="66"/>
      <c r="R67" s="66"/>
    </row>
    <row r="68" spans="12:18" ht="12.75" customHeight="1">
      <c r="L68" s="66" t="s">
        <v>134</v>
      </c>
      <c r="M68" s="66" t="s">
        <v>135</v>
      </c>
      <c r="N68" s="66" t="s">
        <v>10</v>
      </c>
      <c r="O68" s="66" t="s">
        <v>159</v>
      </c>
      <c r="P68" s="66"/>
      <c r="Q68" s="66"/>
      <c r="R68" s="66"/>
    </row>
    <row r="69" spans="12:18" ht="12.75" customHeight="1">
      <c r="L69" s="66" t="s">
        <v>137</v>
      </c>
      <c r="M69" s="66" t="s">
        <v>138</v>
      </c>
      <c r="N69" s="66" t="s">
        <v>10</v>
      </c>
      <c r="O69" s="66" t="s">
        <v>114</v>
      </c>
      <c r="P69" s="66"/>
      <c r="Q69" s="66"/>
      <c r="R69" s="66"/>
    </row>
    <row r="70" spans="12:18" ht="12.75" customHeight="1">
      <c r="L70" s="66"/>
      <c r="M70" s="66" t="s">
        <v>139</v>
      </c>
      <c r="N70" s="66"/>
      <c r="O70" s="66"/>
      <c r="P70" s="66"/>
      <c r="Q70" s="66"/>
      <c r="R70" s="66"/>
    </row>
    <row r="71" spans="12:18" ht="12.75" customHeight="1">
      <c r="L71" s="66"/>
      <c r="M71" s="66" t="s">
        <v>140</v>
      </c>
      <c r="N71" s="66"/>
      <c r="O71" s="66"/>
      <c r="P71" s="66"/>
      <c r="Q71" s="66"/>
      <c r="R71" s="66"/>
    </row>
    <row r="72" spans="12:18" ht="12.75" customHeight="1">
      <c r="L72" s="66"/>
      <c r="M72" s="66" t="s">
        <v>141</v>
      </c>
      <c r="N72" s="66" t="s">
        <v>10</v>
      </c>
      <c r="O72" s="66" t="s">
        <v>114</v>
      </c>
      <c r="P72" s="66"/>
      <c r="Q72" s="66"/>
      <c r="R72" s="66"/>
    </row>
    <row r="73" spans="12:18" ht="9.75" customHeight="1">
      <c r="L73" s="66"/>
      <c r="M73" s="66"/>
      <c r="N73" s="66"/>
      <c r="O73" s="66"/>
      <c r="P73" s="66"/>
      <c r="Q73" s="66"/>
      <c r="R73" s="66"/>
    </row>
    <row r="74" spans="12:18" ht="12.75" customHeight="1">
      <c r="L74" s="66"/>
      <c r="M74" s="66" t="s">
        <v>143</v>
      </c>
      <c r="N74" s="66"/>
      <c r="O74" s="66"/>
      <c r="P74" s="66"/>
      <c r="Q74" s="66"/>
      <c r="R74" s="66"/>
    </row>
    <row r="75" spans="12:18" ht="12.75" customHeight="1">
      <c r="L75" s="66"/>
      <c r="M75" s="66" t="s">
        <v>144</v>
      </c>
      <c r="N75" s="66" t="s">
        <v>10</v>
      </c>
      <c r="O75" s="66" t="s">
        <v>114</v>
      </c>
      <c r="P75" s="66"/>
      <c r="Q75" s="66"/>
      <c r="R75" s="66"/>
    </row>
    <row r="76" spans="12:18" ht="12.75" customHeight="1">
      <c r="L76" s="66"/>
      <c r="M76" s="66"/>
      <c r="N76" s="66"/>
      <c r="O76" s="66"/>
      <c r="P76" s="66"/>
      <c r="Q76" s="66"/>
      <c r="R76" s="66"/>
    </row>
    <row r="77" spans="12:18" ht="12.75" customHeight="1">
      <c r="L77" s="66" t="s">
        <v>145</v>
      </c>
      <c r="M77" s="66" t="s">
        <v>146</v>
      </c>
      <c r="N77" s="66" t="s">
        <v>10</v>
      </c>
      <c r="O77" s="66" t="s">
        <v>114</v>
      </c>
      <c r="P77" s="66"/>
      <c r="Q77" s="66"/>
      <c r="R77" s="66"/>
    </row>
    <row r="78" spans="12:18" ht="12.75" customHeight="1">
      <c r="L78" s="66"/>
      <c r="M78" s="66"/>
      <c r="N78" s="66"/>
      <c r="O78" s="66"/>
      <c r="P78" s="66"/>
      <c r="Q78" s="66"/>
      <c r="R78" s="66"/>
    </row>
    <row r="79" spans="12:18" ht="12.75" customHeight="1">
      <c r="L79" s="66"/>
      <c r="M79" s="66" t="s">
        <v>147</v>
      </c>
      <c r="N79" s="66"/>
      <c r="O79" s="66"/>
      <c r="P79" s="66"/>
      <c r="Q79" s="66"/>
      <c r="R79" s="66"/>
    </row>
    <row r="80" spans="12:18" ht="12.75" customHeight="1">
      <c r="L80" s="66" t="s">
        <v>148</v>
      </c>
      <c r="M80" s="66"/>
      <c r="N80" s="66"/>
      <c r="O80" s="66"/>
      <c r="P80" s="66"/>
      <c r="Q80" s="66"/>
      <c r="R80" s="66"/>
    </row>
    <row r="81" spans="2:18" ht="17.25" customHeight="1">
      <c r="L81" s="66"/>
      <c r="M81" s="66"/>
      <c r="N81" s="66"/>
      <c r="O81" s="66"/>
      <c r="P81" s="66"/>
      <c r="Q81" s="66"/>
      <c r="R81" s="66"/>
    </row>
    <row r="82" spans="2:18" ht="12.75" customHeight="1">
      <c r="B82" s="66"/>
      <c r="C82" s="66"/>
      <c r="D82" s="66"/>
      <c r="E82" s="66"/>
      <c r="F82" s="66" t="s">
        <v>98</v>
      </c>
      <c r="G82" s="66"/>
      <c r="H82" s="66"/>
      <c r="L82" s="66"/>
      <c r="M82" s="66"/>
      <c r="N82" s="66"/>
      <c r="O82" s="66"/>
      <c r="P82" s="66" t="s">
        <v>160</v>
      </c>
      <c r="Q82" s="66"/>
      <c r="R82" s="66"/>
    </row>
    <row r="83" spans="2:18" ht="14.25" customHeight="1">
      <c r="B83" s="66"/>
      <c r="C83" s="66"/>
      <c r="D83" s="66"/>
      <c r="E83" s="66"/>
      <c r="F83" s="66"/>
      <c r="G83" s="67" t="s">
        <v>99</v>
      </c>
      <c r="H83" s="66"/>
      <c r="L83" s="66"/>
      <c r="M83" s="66"/>
      <c r="N83" s="66"/>
      <c r="O83" s="66"/>
      <c r="P83" s="66"/>
      <c r="Q83" s="66"/>
      <c r="R83" s="66"/>
    </row>
    <row r="84" spans="2:18" ht="12.75" customHeight="1">
      <c r="B84" s="66"/>
      <c r="C84" s="66"/>
      <c r="D84" s="66"/>
      <c r="E84" s="66"/>
      <c r="F84" s="66"/>
      <c r="G84" s="68" t="s">
        <v>161</v>
      </c>
      <c r="H84" s="66"/>
      <c r="L84" s="66"/>
      <c r="M84" s="66"/>
      <c r="N84" s="66"/>
      <c r="O84" s="66"/>
      <c r="P84" s="66" t="s">
        <v>151</v>
      </c>
      <c r="Q84" s="66"/>
      <c r="R84" s="66"/>
    </row>
    <row r="85" spans="2:18" ht="12.75" customHeight="1">
      <c r="B85" s="66"/>
      <c r="C85" s="66"/>
      <c r="D85" s="66"/>
      <c r="E85" s="66"/>
      <c r="F85" s="66"/>
      <c r="G85" s="66"/>
      <c r="H85" s="66"/>
      <c r="L85" s="66"/>
      <c r="M85" s="66"/>
      <c r="N85" s="66"/>
      <c r="O85" s="66"/>
      <c r="P85" s="66"/>
      <c r="Q85" s="66"/>
      <c r="R85" s="66"/>
    </row>
    <row r="86" spans="2:18" ht="12.75" customHeight="1">
      <c r="B86" s="66" t="s">
        <v>101</v>
      </c>
      <c r="C86" s="66"/>
      <c r="D86" s="66" t="s">
        <v>10</v>
      </c>
      <c r="E86" s="66" t="s">
        <v>102</v>
      </c>
      <c r="F86" s="66"/>
      <c r="G86" s="66"/>
      <c r="H86" s="66"/>
      <c r="L86" s="66"/>
      <c r="M86" s="66"/>
      <c r="N86" s="66"/>
      <c r="O86" s="66"/>
      <c r="P86" s="66"/>
      <c r="Q86" s="66"/>
      <c r="R86" s="66"/>
    </row>
    <row r="87" spans="2:18" ht="12.75" customHeight="1">
      <c r="B87" s="66" t="s">
        <v>103</v>
      </c>
      <c r="C87" s="66"/>
      <c r="D87" s="66" t="s">
        <v>10</v>
      </c>
      <c r="E87" s="66" t="s">
        <v>104</v>
      </c>
      <c r="F87" s="66"/>
      <c r="G87" s="66"/>
      <c r="H87" s="66"/>
      <c r="L87" s="66"/>
      <c r="M87" s="66"/>
      <c r="N87" s="66"/>
      <c r="O87" s="66"/>
      <c r="P87" s="66"/>
      <c r="Q87" s="66"/>
      <c r="R87" s="66"/>
    </row>
    <row r="88" spans="2:18" ht="12.75" customHeight="1">
      <c r="B88" s="66" t="s">
        <v>105</v>
      </c>
      <c r="C88" s="66"/>
      <c r="D88" s="66" t="s">
        <v>10</v>
      </c>
      <c r="E88" s="66" t="s">
        <v>106</v>
      </c>
      <c r="F88" s="66"/>
      <c r="G88" s="66"/>
      <c r="H88" s="66"/>
      <c r="L88" s="66"/>
      <c r="M88" s="66"/>
      <c r="N88" s="66"/>
      <c r="O88" s="66"/>
      <c r="P88" s="66" t="s">
        <v>152</v>
      </c>
      <c r="Q88" s="66"/>
      <c r="R88" s="66"/>
    </row>
    <row r="89" spans="2:18" ht="12.75" customHeight="1">
      <c r="B89" s="66"/>
      <c r="C89" s="66"/>
      <c r="D89" s="66"/>
      <c r="E89" s="66"/>
      <c r="F89" s="66"/>
      <c r="G89" s="66"/>
      <c r="H89" s="66"/>
    </row>
    <row r="90" spans="2:18" ht="12.75" customHeight="1">
      <c r="B90" s="66"/>
      <c r="C90" s="66"/>
      <c r="D90" s="66"/>
      <c r="E90" s="66"/>
      <c r="F90" s="66"/>
      <c r="G90" s="66"/>
      <c r="H90" s="66"/>
    </row>
    <row r="91" spans="2:18" ht="12.75" customHeight="1">
      <c r="B91" s="228" t="s">
        <v>162</v>
      </c>
      <c r="C91" s="194"/>
      <c r="D91" s="194"/>
      <c r="E91" s="194"/>
      <c r="F91" s="194"/>
      <c r="G91" s="194"/>
      <c r="H91" s="194"/>
    </row>
    <row r="92" spans="2:18" ht="12.75" customHeight="1">
      <c r="B92" s="227" t="s">
        <v>163</v>
      </c>
      <c r="C92" s="194"/>
      <c r="D92" s="194"/>
      <c r="E92" s="194"/>
      <c r="F92" s="194"/>
      <c r="G92" s="194"/>
      <c r="H92" s="194"/>
    </row>
    <row r="93" spans="2:18" ht="12.75" customHeight="1">
      <c r="B93" s="66"/>
      <c r="C93" s="66"/>
      <c r="D93" s="66"/>
      <c r="E93" s="66"/>
      <c r="F93" s="66"/>
      <c r="G93" s="66"/>
      <c r="H93" s="66"/>
    </row>
    <row r="94" spans="2:18" ht="12.75" customHeight="1">
      <c r="B94" s="66" t="s">
        <v>110</v>
      </c>
      <c r="C94" s="66"/>
      <c r="D94" s="66"/>
      <c r="E94" s="66"/>
      <c r="F94" s="66"/>
      <c r="G94" s="66"/>
      <c r="H94" s="66"/>
    </row>
    <row r="95" spans="2:18" ht="12.75" customHeight="1">
      <c r="B95" s="66"/>
      <c r="C95" s="66"/>
      <c r="D95" s="66"/>
      <c r="E95" s="66"/>
      <c r="F95" s="66"/>
      <c r="G95" s="66"/>
      <c r="H95" s="66"/>
    </row>
    <row r="96" spans="2:18" ht="12.75" customHeight="1">
      <c r="B96" s="66" t="s">
        <v>111</v>
      </c>
      <c r="C96" s="66" t="s">
        <v>112</v>
      </c>
      <c r="D96" s="66" t="s">
        <v>10</v>
      </c>
      <c r="E96" s="66" t="s">
        <v>164</v>
      </c>
      <c r="F96" s="66"/>
      <c r="G96" s="66"/>
      <c r="H96" s="66"/>
    </row>
    <row r="97" spans="2:8" ht="12.75" customHeight="1">
      <c r="B97" s="66" t="s">
        <v>115</v>
      </c>
      <c r="C97" s="66" t="s">
        <v>116</v>
      </c>
      <c r="D97" s="66" t="s">
        <v>10</v>
      </c>
      <c r="E97" s="66" t="s">
        <v>117</v>
      </c>
      <c r="F97" s="66"/>
      <c r="G97" s="66"/>
      <c r="H97" s="66"/>
    </row>
    <row r="98" spans="2:8" ht="12.75" customHeight="1">
      <c r="B98" s="66" t="s">
        <v>118</v>
      </c>
      <c r="C98" s="66" t="s">
        <v>119</v>
      </c>
      <c r="D98" s="66" t="s">
        <v>10</v>
      </c>
      <c r="E98" s="66" t="s">
        <v>165</v>
      </c>
      <c r="F98" s="66"/>
      <c r="G98" s="66"/>
      <c r="H98" s="66"/>
    </row>
    <row r="99" spans="2:8" ht="12.75" customHeight="1">
      <c r="B99" s="66" t="s">
        <v>121</v>
      </c>
      <c r="C99" s="66" t="s">
        <v>122</v>
      </c>
      <c r="D99" s="66" t="s">
        <v>10</v>
      </c>
      <c r="E99" s="66" t="s">
        <v>123</v>
      </c>
      <c r="F99" s="66"/>
      <c r="G99" s="66"/>
      <c r="H99" s="66"/>
    </row>
    <row r="100" spans="2:8" ht="12.75" customHeight="1">
      <c r="B100" s="66" t="s">
        <v>124</v>
      </c>
      <c r="C100" s="66" t="s">
        <v>125</v>
      </c>
      <c r="D100" s="66" t="s">
        <v>10</v>
      </c>
      <c r="E100" s="66" t="s">
        <v>126</v>
      </c>
      <c r="F100" s="66"/>
      <c r="G100" s="66"/>
      <c r="H100" s="66"/>
    </row>
    <row r="101" spans="2:8" ht="12.75" customHeight="1">
      <c r="B101" s="66" t="s">
        <v>127</v>
      </c>
      <c r="C101" s="66" t="s">
        <v>128</v>
      </c>
      <c r="D101" s="66" t="s">
        <v>10</v>
      </c>
      <c r="E101" s="66" t="s">
        <v>166</v>
      </c>
      <c r="F101" s="66"/>
      <c r="G101" s="66"/>
      <c r="H101" s="66"/>
    </row>
    <row r="102" spans="2:8" ht="12.75" customHeight="1">
      <c r="B102" s="66" t="s">
        <v>130</v>
      </c>
      <c r="C102" s="66" t="s">
        <v>131</v>
      </c>
      <c r="D102" s="66" t="s">
        <v>10</v>
      </c>
      <c r="E102" s="66" t="s">
        <v>132</v>
      </c>
      <c r="F102" s="66"/>
      <c r="G102" s="66"/>
      <c r="H102" s="66"/>
    </row>
    <row r="103" spans="2:8" ht="12.75" customHeight="1">
      <c r="B103" s="66" t="s">
        <v>134</v>
      </c>
      <c r="C103" s="66" t="s">
        <v>135</v>
      </c>
      <c r="D103" s="66" t="s">
        <v>10</v>
      </c>
      <c r="E103" s="66" t="s">
        <v>167</v>
      </c>
      <c r="F103" s="66"/>
      <c r="G103" s="66"/>
      <c r="H103" s="66"/>
    </row>
    <row r="104" spans="2:8" ht="12.75" customHeight="1">
      <c r="B104" s="66" t="s">
        <v>137</v>
      </c>
      <c r="C104" s="66" t="s">
        <v>138</v>
      </c>
      <c r="D104" s="66" t="s">
        <v>10</v>
      </c>
      <c r="E104" s="66"/>
      <c r="F104" s="66"/>
      <c r="G104" s="66"/>
      <c r="H104" s="66"/>
    </row>
    <row r="105" spans="2:8" ht="12.75" customHeight="1">
      <c r="B105" s="66"/>
      <c r="C105" s="66" t="s">
        <v>139</v>
      </c>
      <c r="D105" s="66"/>
      <c r="E105" s="66"/>
      <c r="F105" s="66"/>
      <c r="G105" s="66"/>
      <c r="H105" s="66"/>
    </row>
    <row r="106" spans="2:8" ht="12.75" customHeight="1">
      <c r="B106" s="66"/>
      <c r="C106" s="66" t="s">
        <v>140</v>
      </c>
      <c r="D106" s="66"/>
      <c r="E106" s="66"/>
      <c r="F106" s="66"/>
      <c r="G106" s="66"/>
      <c r="H106" s="66"/>
    </row>
    <row r="107" spans="2:8" ht="12.75" customHeight="1">
      <c r="B107" s="66"/>
      <c r="C107" s="66" t="s">
        <v>141</v>
      </c>
      <c r="D107" s="66" t="s">
        <v>10</v>
      </c>
      <c r="E107" s="66" t="s">
        <v>142</v>
      </c>
      <c r="F107" s="66"/>
      <c r="G107" s="66"/>
      <c r="H107" s="66"/>
    </row>
    <row r="108" spans="2:8" ht="12.75" customHeight="1">
      <c r="B108" s="66"/>
      <c r="C108" s="66"/>
      <c r="D108" s="66"/>
      <c r="E108" s="66"/>
      <c r="F108" s="66"/>
      <c r="G108" s="66"/>
      <c r="H108" s="66"/>
    </row>
    <row r="109" spans="2:8" ht="12.75" customHeight="1">
      <c r="B109" s="66"/>
      <c r="C109" s="66" t="s">
        <v>143</v>
      </c>
      <c r="D109" s="66"/>
      <c r="E109" s="66"/>
      <c r="F109" s="66"/>
      <c r="G109" s="66"/>
      <c r="H109" s="66"/>
    </row>
    <row r="110" spans="2:8" ht="12.75" customHeight="1">
      <c r="B110" s="66"/>
      <c r="C110" s="66" t="s">
        <v>144</v>
      </c>
      <c r="D110" s="66" t="s">
        <v>10</v>
      </c>
      <c r="E110" s="66" t="s">
        <v>114</v>
      </c>
      <c r="F110" s="66"/>
      <c r="G110" s="66"/>
      <c r="H110" s="66"/>
    </row>
    <row r="111" spans="2:8" ht="12.75" customHeight="1">
      <c r="B111" s="66"/>
      <c r="C111" s="66"/>
      <c r="D111" s="66"/>
      <c r="E111" s="66"/>
      <c r="F111" s="66"/>
      <c r="G111" s="66"/>
      <c r="H111" s="66"/>
    </row>
    <row r="112" spans="2:8" ht="12.75" customHeight="1">
      <c r="B112" s="66" t="s">
        <v>145</v>
      </c>
      <c r="C112" s="66" t="s">
        <v>146</v>
      </c>
      <c r="D112" s="66" t="s">
        <v>10</v>
      </c>
      <c r="E112" s="66" t="s">
        <v>114</v>
      </c>
      <c r="F112" s="66"/>
      <c r="G112" s="66"/>
      <c r="H112" s="66"/>
    </row>
    <row r="113" spans="2:8" ht="12.75" customHeight="1">
      <c r="B113" s="66"/>
      <c r="C113" s="66"/>
      <c r="D113" s="66"/>
      <c r="E113" s="66"/>
      <c r="F113" s="66"/>
      <c r="G113" s="66"/>
      <c r="H113" s="66"/>
    </row>
    <row r="114" spans="2:8" ht="12.75" customHeight="1">
      <c r="B114" s="66"/>
      <c r="C114" s="66" t="s">
        <v>147</v>
      </c>
      <c r="D114" s="66"/>
      <c r="E114" s="66"/>
      <c r="F114" s="66"/>
      <c r="G114" s="66"/>
      <c r="H114" s="66"/>
    </row>
    <row r="115" spans="2:8" ht="12.75" customHeight="1">
      <c r="B115" s="66" t="s">
        <v>148</v>
      </c>
      <c r="C115" s="66"/>
      <c r="D115" s="66"/>
      <c r="E115" s="66"/>
      <c r="F115" s="66"/>
      <c r="G115" s="66"/>
      <c r="H115" s="66"/>
    </row>
    <row r="116" spans="2:8" ht="12.75" customHeight="1">
      <c r="B116" s="66"/>
      <c r="C116" s="66"/>
      <c r="D116" s="66"/>
      <c r="E116" s="66"/>
      <c r="F116" s="66"/>
      <c r="G116" s="66"/>
      <c r="H116" s="66"/>
    </row>
    <row r="117" spans="2:8" ht="12.75" customHeight="1">
      <c r="B117" s="66"/>
      <c r="C117" s="66"/>
      <c r="D117" s="66"/>
      <c r="E117" s="66"/>
      <c r="F117" s="66" t="s">
        <v>168</v>
      </c>
      <c r="G117" s="66"/>
      <c r="H117" s="66"/>
    </row>
    <row r="118" spans="2:8" ht="12.75" customHeight="1">
      <c r="B118" s="66"/>
      <c r="C118" s="66"/>
      <c r="D118" s="66"/>
      <c r="E118" s="66"/>
      <c r="F118" s="66"/>
      <c r="G118" s="66"/>
      <c r="H118" s="66"/>
    </row>
    <row r="119" spans="2:8" ht="12.75" customHeight="1">
      <c r="B119" s="66"/>
      <c r="C119" s="66"/>
      <c r="D119" s="66"/>
      <c r="E119" s="66"/>
      <c r="F119" s="66" t="s">
        <v>151</v>
      </c>
      <c r="G119" s="66"/>
      <c r="H119" s="66"/>
    </row>
    <row r="120" spans="2:8" ht="12.75" customHeight="1">
      <c r="B120" s="66"/>
      <c r="C120" s="66"/>
      <c r="D120" s="66"/>
      <c r="E120" s="66"/>
      <c r="F120" s="66"/>
      <c r="G120" s="66"/>
      <c r="H120" s="66"/>
    </row>
    <row r="121" spans="2:8" ht="12.75" customHeight="1">
      <c r="B121" s="66"/>
      <c r="C121" s="66"/>
      <c r="D121" s="66"/>
      <c r="E121" s="66"/>
      <c r="F121" s="66"/>
      <c r="G121" s="66"/>
      <c r="H121" s="66"/>
    </row>
    <row r="122" spans="2:8" ht="12.75" customHeight="1">
      <c r="B122" s="66"/>
      <c r="C122" s="66"/>
      <c r="D122" s="66"/>
      <c r="E122" s="66"/>
      <c r="F122" s="66"/>
      <c r="G122" s="66"/>
      <c r="H122" s="66"/>
    </row>
    <row r="123" spans="2:8" ht="12.75" customHeight="1">
      <c r="B123" s="66"/>
      <c r="C123" s="66"/>
      <c r="D123" s="66"/>
      <c r="E123" s="66"/>
      <c r="F123" s="66" t="s">
        <v>152</v>
      </c>
      <c r="G123" s="66"/>
      <c r="H123" s="66"/>
    </row>
    <row r="124" spans="2:8" ht="12.75" customHeight="1"/>
    <row r="125" spans="2:8" ht="12.75" customHeight="1"/>
    <row r="126" spans="2:8" ht="12.75" customHeight="1"/>
    <row r="127" spans="2:8" ht="12.75" customHeight="1"/>
    <row r="128" spans="2: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2:8" ht="12.75" customHeight="1"/>
    <row r="146" spans="2:8" ht="12.75" customHeight="1"/>
    <row r="147" spans="2:8" ht="12.75" customHeight="1"/>
    <row r="148" spans="2:8" ht="12.75" customHeight="1"/>
    <row r="149" spans="2:8" ht="12.75" customHeight="1"/>
    <row r="150" spans="2:8" ht="12.75" customHeight="1"/>
    <row r="151" spans="2:8" ht="12.75" customHeight="1"/>
    <row r="152" spans="2:8" ht="12.75" customHeight="1">
      <c r="B152" s="66"/>
      <c r="C152" s="66"/>
      <c r="D152" s="66"/>
      <c r="E152" s="66"/>
      <c r="F152" s="66" t="s">
        <v>98</v>
      </c>
      <c r="G152" s="66"/>
      <c r="H152" s="66"/>
    </row>
    <row r="153" spans="2:8" ht="12.75" customHeight="1">
      <c r="B153" s="66"/>
      <c r="C153" s="66"/>
      <c r="D153" s="66"/>
      <c r="E153" s="66"/>
      <c r="F153" s="66"/>
      <c r="G153" s="67" t="s">
        <v>99</v>
      </c>
      <c r="H153" s="66"/>
    </row>
    <row r="154" spans="2:8" ht="12.75" customHeight="1">
      <c r="B154" s="66"/>
      <c r="C154" s="66"/>
      <c r="D154" s="66"/>
      <c r="E154" s="66"/>
      <c r="F154" s="66"/>
      <c r="G154" s="68" t="s">
        <v>100</v>
      </c>
      <c r="H154" s="66"/>
    </row>
    <row r="155" spans="2:8" ht="12.75" customHeight="1">
      <c r="B155" s="66"/>
      <c r="C155" s="66"/>
      <c r="D155" s="66"/>
      <c r="E155" s="66"/>
      <c r="F155" s="66"/>
      <c r="G155" s="66"/>
      <c r="H155" s="66"/>
    </row>
    <row r="156" spans="2:8" ht="12.75" customHeight="1">
      <c r="B156" s="66" t="s">
        <v>101</v>
      </c>
      <c r="C156" s="66"/>
      <c r="D156" s="66" t="s">
        <v>10</v>
      </c>
      <c r="E156" s="66" t="s">
        <v>102</v>
      </c>
      <c r="F156" s="66"/>
      <c r="G156" s="66"/>
      <c r="H156" s="66"/>
    </row>
    <row r="157" spans="2:8" ht="12.75" customHeight="1">
      <c r="B157" s="66" t="s">
        <v>103</v>
      </c>
      <c r="C157" s="66"/>
      <c r="D157" s="66" t="s">
        <v>10</v>
      </c>
      <c r="E157" s="66" t="s">
        <v>104</v>
      </c>
      <c r="F157" s="66"/>
      <c r="G157" s="66"/>
      <c r="H157" s="66"/>
    </row>
    <row r="158" spans="2:8" ht="12.75" customHeight="1">
      <c r="B158" s="66" t="s">
        <v>105</v>
      </c>
      <c r="C158" s="66"/>
      <c r="D158" s="66" t="s">
        <v>10</v>
      </c>
      <c r="E158" s="66" t="s">
        <v>106</v>
      </c>
      <c r="F158" s="66"/>
      <c r="G158" s="66"/>
      <c r="H158" s="66"/>
    </row>
    <row r="159" spans="2:8" ht="12.75" customHeight="1">
      <c r="B159" s="66"/>
      <c r="C159" s="66"/>
      <c r="D159" s="66"/>
      <c r="E159" s="66"/>
      <c r="F159" s="66"/>
      <c r="G159" s="66"/>
      <c r="H159" s="66"/>
    </row>
    <row r="160" spans="2:8" ht="12.75" customHeight="1">
      <c r="B160" s="66"/>
      <c r="C160" s="66"/>
      <c r="D160" s="66"/>
      <c r="E160" s="66"/>
      <c r="F160" s="66"/>
      <c r="G160" s="66"/>
      <c r="H160" s="66"/>
    </row>
    <row r="161" spans="2:8" ht="12.75" customHeight="1">
      <c r="B161" s="228" t="s">
        <v>107</v>
      </c>
      <c r="C161" s="194"/>
      <c r="D161" s="194"/>
      <c r="E161" s="194"/>
      <c r="F161" s="194"/>
      <c r="G161" s="194"/>
      <c r="H161" s="194"/>
    </row>
    <row r="162" spans="2:8" ht="12.75" customHeight="1">
      <c r="B162" s="227" t="s">
        <v>169</v>
      </c>
      <c r="C162" s="194"/>
      <c r="D162" s="194"/>
      <c r="E162" s="194"/>
      <c r="F162" s="194"/>
      <c r="G162" s="194"/>
      <c r="H162" s="194"/>
    </row>
    <row r="163" spans="2:8" ht="12.75" customHeight="1">
      <c r="B163" s="69"/>
      <c r="C163" s="69"/>
      <c r="D163" s="69"/>
      <c r="E163" s="69"/>
      <c r="F163" s="69"/>
      <c r="G163" s="69"/>
      <c r="H163" s="69"/>
    </row>
    <row r="164" spans="2:8" ht="12.75" customHeight="1">
      <c r="B164" s="69" t="s">
        <v>110</v>
      </c>
      <c r="C164" s="69"/>
      <c r="D164" s="69"/>
      <c r="E164" s="69"/>
      <c r="F164" s="69"/>
      <c r="G164" s="69"/>
      <c r="H164" s="69"/>
    </row>
    <row r="165" spans="2:8" ht="12.75" customHeight="1">
      <c r="B165" s="69"/>
      <c r="C165" s="69"/>
      <c r="D165" s="69"/>
      <c r="E165" s="69"/>
      <c r="F165" s="69"/>
      <c r="G165" s="69"/>
      <c r="H165" s="69"/>
    </row>
    <row r="166" spans="2:8" ht="12.75" customHeight="1">
      <c r="B166" s="69" t="s">
        <v>111</v>
      </c>
      <c r="C166" s="69" t="s">
        <v>112</v>
      </c>
      <c r="D166" s="69" t="s">
        <v>10</v>
      </c>
      <c r="E166" s="69" t="s">
        <v>170</v>
      </c>
      <c r="F166" s="69"/>
      <c r="G166" s="69"/>
      <c r="H166" s="69"/>
    </row>
    <row r="167" spans="2:8" ht="12.75" customHeight="1">
      <c r="B167" s="69" t="s">
        <v>115</v>
      </c>
      <c r="C167" s="69" t="s">
        <v>116</v>
      </c>
      <c r="D167" s="69" t="s">
        <v>10</v>
      </c>
      <c r="E167" s="69" t="s">
        <v>155</v>
      </c>
      <c r="F167" s="69"/>
      <c r="G167" s="69"/>
      <c r="H167" s="69"/>
    </row>
    <row r="168" spans="2:8" ht="12.75" customHeight="1">
      <c r="B168" s="69" t="s">
        <v>118</v>
      </c>
      <c r="C168" s="69" t="s">
        <v>119</v>
      </c>
      <c r="D168" s="69" t="s">
        <v>10</v>
      </c>
      <c r="E168" s="69" t="s">
        <v>171</v>
      </c>
      <c r="F168" s="69"/>
      <c r="G168" s="69"/>
      <c r="H168" s="69"/>
    </row>
    <row r="169" spans="2:8" ht="12.75" customHeight="1">
      <c r="B169" s="69" t="s">
        <v>121</v>
      </c>
      <c r="C169" s="69" t="s">
        <v>122</v>
      </c>
      <c r="D169" s="69" t="s">
        <v>10</v>
      </c>
      <c r="E169" s="69" t="s">
        <v>123</v>
      </c>
      <c r="F169" s="69"/>
      <c r="G169" s="69"/>
      <c r="H169" s="69"/>
    </row>
    <row r="170" spans="2:8" ht="12.75" customHeight="1">
      <c r="B170" s="69" t="s">
        <v>124</v>
      </c>
      <c r="C170" s="69" t="s">
        <v>125</v>
      </c>
      <c r="D170" s="69" t="s">
        <v>10</v>
      </c>
      <c r="E170" s="69" t="s">
        <v>126</v>
      </c>
      <c r="F170" s="69"/>
      <c r="G170" s="69"/>
      <c r="H170" s="69"/>
    </row>
    <row r="171" spans="2:8" ht="12.75" customHeight="1">
      <c r="B171" s="69" t="s">
        <v>127</v>
      </c>
      <c r="C171" s="69" t="s">
        <v>128</v>
      </c>
      <c r="D171" s="69" t="s">
        <v>10</v>
      </c>
      <c r="E171" s="69" t="s">
        <v>172</v>
      </c>
      <c r="F171" s="69"/>
      <c r="G171" s="69"/>
      <c r="H171" s="69"/>
    </row>
    <row r="172" spans="2:8" ht="12.75" customHeight="1">
      <c r="B172" s="69" t="s">
        <v>130</v>
      </c>
      <c r="C172" s="69" t="s">
        <v>131</v>
      </c>
      <c r="D172" s="69" t="s">
        <v>10</v>
      </c>
      <c r="E172" s="69" t="s">
        <v>173</v>
      </c>
      <c r="F172" s="69"/>
      <c r="G172" s="69"/>
      <c r="H172" s="69"/>
    </row>
    <row r="173" spans="2:8" ht="12.75" customHeight="1">
      <c r="B173" s="69" t="s">
        <v>134</v>
      </c>
      <c r="C173" s="69" t="s">
        <v>135</v>
      </c>
      <c r="D173" s="69" t="s">
        <v>10</v>
      </c>
      <c r="E173" s="69" t="s">
        <v>174</v>
      </c>
      <c r="F173" s="69"/>
      <c r="G173" s="69"/>
      <c r="H173" s="69"/>
    </row>
    <row r="174" spans="2:8" ht="12.75" customHeight="1">
      <c r="B174" s="69" t="s">
        <v>137</v>
      </c>
      <c r="C174" s="69" t="s">
        <v>138</v>
      </c>
      <c r="D174" s="69" t="s">
        <v>10</v>
      </c>
      <c r="E174" s="69"/>
      <c r="F174" s="69"/>
      <c r="G174" s="69"/>
      <c r="H174" s="69"/>
    </row>
    <row r="175" spans="2:8" ht="12.75" customHeight="1">
      <c r="B175" s="69"/>
      <c r="C175" s="69" t="s">
        <v>139</v>
      </c>
      <c r="D175" s="69"/>
      <c r="E175" s="69"/>
      <c r="F175" s="69"/>
      <c r="G175" s="69"/>
      <c r="H175" s="69"/>
    </row>
    <row r="176" spans="2:8" ht="12.75" customHeight="1">
      <c r="B176" s="69"/>
      <c r="C176" s="69" t="s">
        <v>140</v>
      </c>
      <c r="D176" s="69"/>
      <c r="E176" s="69"/>
      <c r="F176" s="69"/>
      <c r="G176" s="69"/>
      <c r="H176" s="69"/>
    </row>
    <row r="177" spans="2:8" ht="12.75" customHeight="1">
      <c r="B177" s="69"/>
      <c r="C177" s="69" t="s">
        <v>141</v>
      </c>
      <c r="D177" s="69" t="s">
        <v>10</v>
      </c>
      <c r="E177" s="69" t="s">
        <v>114</v>
      </c>
      <c r="F177" s="69"/>
      <c r="G177" s="69"/>
      <c r="H177" s="69"/>
    </row>
    <row r="178" spans="2:8" ht="12.75" customHeight="1">
      <c r="B178" s="69"/>
      <c r="C178" s="69"/>
      <c r="D178" s="69"/>
      <c r="E178" s="69"/>
      <c r="F178" s="69"/>
      <c r="G178" s="69"/>
      <c r="H178" s="69"/>
    </row>
    <row r="179" spans="2:8" ht="12.75" customHeight="1">
      <c r="B179" s="69"/>
      <c r="C179" s="69" t="s">
        <v>143</v>
      </c>
      <c r="D179" s="69"/>
      <c r="E179" s="69"/>
      <c r="F179" s="69"/>
      <c r="G179" s="69"/>
      <c r="H179" s="69"/>
    </row>
    <row r="180" spans="2:8" ht="12.75" customHeight="1">
      <c r="B180" s="69"/>
      <c r="C180" s="69" t="s">
        <v>144</v>
      </c>
      <c r="D180" s="69" t="s">
        <v>10</v>
      </c>
      <c r="E180" s="69" t="s">
        <v>175</v>
      </c>
      <c r="F180" s="69"/>
      <c r="G180" s="69"/>
      <c r="H180" s="69"/>
    </row>
    <row r="181" spans="2:8" ht="12.75" customHeight="1">
      <c r="B181" s="69"/>
      <c r="C181" s="69"/>
      <c r="D181" s="69"/>
      <c r="E181" s="69"/>
      <c r="F181" s="69"/>
      <c r="G181" s="69"/>
      <c r="H181" s="69"/>
    </row>
    <row r="182" spans="2:8" ht="12.75" customHeight="1">
      <c r="B182" s="69" t="s">
        <v>145</v>
      </c>
      <c r="C182" s="69" t="s">
        <v>146</v>
      </c>
      <c r="D182" s="69" t="s">
        <v>10</v>
      </c>
      <c r="E182" s="69" t="s">
        <v>176</v>
      </c>
      <c r="F182" s="69"/>
      <c r="G182" s="69"/>
      <c r="H182" s="69"/>
    </row>
    <row r="183" spans="2:8" ht="12.75" customHeight="1">
      <c r="B183" s="69"/>
      <c r="C183" s="69"/>
      <c r="D183" s="69"/>
      <c r="E183" s="69"/>
      <c r="F183" s="69"/>
      <c r="G183" s="69"/>
      <c r="H183" s="69"/>
    </row>
    <row r="184" spans="2:8" ht="12.75" customHeight="1">
      <c r="B184" s="69"/>
      <c r="C184" s="69" t="s">
        <v>147</v>
      </c>
      <c r="D184" s="69"/>
      <c r="E184" s="69"/>
      <c r="F184" s="69"/>
      <c r="G184" s="69"/>
      <c r="H184" s="69"/>
    </row>
    <row r="185" spans="2:8" ht="12.75" customHeight="1">
      <c r="B185" s="69" t="s">
        <v>148</v>
      </c>
      <c r="C185" s="69"/>
      <c r="D185" s="69"/>
      <c r="E185" s="69"/>
      <c r="F185" s="69"/>
      <c r="G185" s="69"/>
      <c r="H185" s="69"/>
    </row>
    <row r="186" spans="2:8" ht="12.75" customHeight="1">
      <c r="B186" s="69"/>
      <c r="C186" s="69"/>
      <c r="D186" s="69"/>
      <c r="E186" s="69"/>
      <c r="F186" s="69"/>
      <c r="G186" s="69"/>
      <c r="H186" s="69"/>
    </row>
    <row r="187" spans="2:8" ht="12.75" customHeight="1">
      <c r="B187" s="69"/>
      <c r="C187" s="69"/>
      <c r="D187" s="69"/>
      <c r="E187" s="69"/>
      <c r="F187" s="69" t="s">
        <v>177</v>
      </c>
      <c r="G187" s="69"/>
      <c r="H187" s="69"/>
    </row>
    <row r="188" spans="2:8" ht="12.75" customHeight="1">
      <c r="B188" s="69"/>
      <c r="C188" s="69"/>
      <c r="D188" s="69"/>
      <c r="E188" s="69"/>
      <c r="F188" s="69"/>
      <c r="G188" s="69"/>
      <c r="H188" s="69"/>
    </row>
    <row r="189" spans="2:8" ht="12.75" customHeight="1">
      <c r="B189" s="69"/>
      <c r="C189" s="69"/>
      <c r="D189" s="69"/>
      <c r="E189" s="69"/>
      <c r="F189" s="69" t="s">
        <v>151</v>
      </c>
      <c r="G189" s="69"/>
      <c r="H189" s="69"/>
    </row>
    <row r="190" spans="2:8" ht="12.75" customHeight="1">
      <c r="B190" s="69"/>
      <c r="C190" s="69"/>
      <c r="D190" s="69"/>
      <c r="E190" s="69"/>
      <c r="F190" s="69"/>
      <c r="G190" s="69"/>
      <c r="H190" s="69"/>
    </row>
    <row r="191" spans="2:8" ht="12.75" customHeight="1">
      <c r="B191" s="69"/>
      <c r="C191" s="69"/>
      <c r="D191" s="69"/>
      <c r="E191" s="69"/>
      <c r="F191" s="69"/>
      <c r="G191" s="69"/>
      <c r="H191" s="69"/>
    </row>
    <row r="192" spans="2:8" ht="12.75" customHeight="1">
      <c r="B192" s="69"/>
      <c r="C192" s="69"/>
      <c r="D192" s="69"/>
      <c r="E192" s="69"/>
      <c r="F192" s="69"/>
      <c r="G192" s="69"/>
      <c r="H192" s="69"/>
    </row>
    <row r="193" spans="2:8" ht="12.75" customHeight="1">
      <c r="B193" s="69"/>
      <c r="C193" s="69"/>
      <c r="D193" s="69"/>
      <c r="E193" s="69"/>
      <c r="F193" s="69" t="s">
        <v>152</v>
      </c>
      <c r="G193" s="69"/>
      <c r="H193" s="69"/>
    </row>
    <row r="194" spans="2:8" ht="12.75" customHeight="1">
      <c r="B194" s="69"/>
      <c r="C194" s="69"/>
      <c r="D194" s="69"/>
      <c r="E194" s="69"/>
      <c r="F194" s="69"/>
      <c r="G194" s="69"/>
      <c r="H194" s="69"/>
    </row>
    <row r="195" spans="2:8" ht="12.75" customHeight="1"/>
    <row r="196" spans="2:8" ht="12.75" customHeight="1"/>
    <row r="197" spans="2:8" ht="12.75" customHeight="1"/>
    <row r="198" spans="2:8" ht="12.75" customHeight="1"/>
    <row r="199" spans="2:8" ht="12.75" customHeight="1"/>
    <row r="200" spans="2:8" ht="12.75" customHeight="1"/>
    <row r="201" spans="2:8" ht="12.75" customHeight="1"/>
    <row r="202" spans="2:8" ht="12.75" customHeight="1"/>
    <row r="203" spans="2:8" ht="12.75" customHeight="1"/>
    <row r="204" spans="2:8" ht="12.75" customHeight="1"/>
    <row r="205" spans="2:8" ht="12.75" customHeight="1"/>
    <row r="206" spans="2:8" ht="12.75" customHeight="1"/>
    <row r="207" spans="2:8" ht="12.75" customHeight="1"/>
    <row r="208" spans="2: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B92:H92"/>
    <mergeCell ref="B161:H161"/>
    <mergeCell ref="B162:H162"/>
    <mergeCell ref="B11:H11"/>
    <mergeCell ref="L11:R11"/>
    <mergeCell ref="B12:H12"/>
    <mergeCell ref="L12:R12"/>
    <mergeCell ref="L56:R56"/>
    <mergeCell ref="L57:R57"/>
    <mergeCell ref="B91:H91"/>
  </mergeCells>
  <pageMargins left="0.51181102362204722" right="0.11811023622047245" top="0.55118110236220474" bottom="0.35433070866141736" header="0" footer="0"/>
  <pageSetup paperSize="5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/>
  </sheetViews>
  <sheetFormatPr defaultColWidth="12.5703125" defaultRowHeight="15" customHeight="1"/>
  <cols>
    <col min="1" max="1" width="5.42578125" customWidth="1"/>
    <col min="2" max="2" width="3.7109375" customWidth="1"/>
    <col min="3" max="3" width="25.28515625" customWidth="1"/>
    <col min="4" max="4" width="2.140625" customWidth="1"/>
    <col min="5" max="5" width="20.28515625" customWidth="1"/>
    <col min="6" max="6" width="7.42578125" customWidth="1"/>
    <col min="7" max="9" width="8.5703125" customWidth="1"/>
    <col min="10" max="10" width="20.28515625" customWidth="1"/>
    <col min="11" max="11" width="6.42578125" customWidth="1"/>
    <col min="12" max="12" width="3.28515625" customWidth="1"/>
    <col min="13" max="13" width="25.7109375" customWidth="1"/>
    <col min="14" max="14" width="2.140625" customWidth="1"/>
    <col min="15" max="26" width="8.5703125" customWidth="1"/>
  </cols>
  <sheetData>
    <row r="1" spans="1:18" ht="12.75" customHeight="1"/>
    <row r="2" spans="1:18" ht="12.75" customHeight="1">
      <c r="B2" s="66"/>
      <c r="C2" s="66"/>
      <c r="D2" s="66"/>
      <c r="E2" s="66"/>
      <c r="F2" s="66" t="s">
        <v>178</v>
      </c>
      <c r="G2" s="66"/>
      <c r="H2" s="66"/>
      <c r="L2" s="66"/>
      <c r="M2" s="66"/>
      <c r="N2" s="66"/>
      <c r="O2" s="66"/>
      <c r="P2" s="66" t="s">
        <v>178</v>
      </c>
      <c r="Q2" s="66"/>
      <c r="R2" s="66"/>
    </row>
    <row r="3" spans="1:18" ht="12.75" customHeight="1">
      <c r="B3" s="66"/>
      <c r="C3" s="66"/>
      <c r="D3" s="66"/>
      <c r="E3" s="66"/>
      <c r="F3" s="66"/>
      <c r="G3" s="67" t="s">
        <v>179</v>
      </c>
      <c r="H3" s="66"/>
      <c r="L3" s="66"/>
      <c r="M3" s="66"/>
      <c r="N3" s="66"/>
      <c r="O3" s="66"/>
      <c r="P3" s="66"/>
      <c r="Q3" s="67" t="s">
        <v>179</v>
      </c>
      <c r="R3" s="66"/>
    </row>
    <row r="4" spans="1:18" ht="12.75" customHeight="1">
      <c r="B4" s="66"/>
      <c r="C4" s="66"/>
      <c r="D4" s="66"/>
      <c r="E4" s="66"/>
      <c r="F4" s="66"/>
      <c r="G4" s="68" t="s">
        <v>180</v>
      </c>
      <c r="H4" s="66"/>
      <c r="L4" s="66"/>
      <c r="M4" s="66"/>
      <c r="N4" s="66"/>
      <c r="O4" s="66"/>
      <c r="P4" s="66"/>
      <c r="Q4" s="68" t="s">
        <v>180</v>
      </c>
      <c r="R4" s="66"/>
    </row>
    <row r="5" spans="1:18" ht="12.75" customHeight="1">
      <c r="A5" s="69"/>
      <c r="B5" s="70"/>
      <c r="C5" s="70"/>
      <c r="D5" s="70"/>
      <c r="E5" s="70"/>
      <c r="F5" s="70"/>
      <c r="G5" s="70"/>
      <c r="H5" s="70"/>
      <c r="L5" s="66"/>
      <c r="M5" s="66"/>
      <c r="N5" s="66"/>
      <c r="O5" s="66"/>
      <c r="P5" s="66"/>
      <c r="Q5" s="66"/>
      <c r="R5" s="66"/>
    </row>
    <row r="6" spans="1:18" ht="12.75" customHeight="1">
      <c r="A6" s="69"/>
      <c r="B6" s="70" t="s">
        <v>101</v>
      </c>
      <c r="C6" s="70"/>
      <c r="D6" s="70" t="s">
        <v>10</v>
      </c>
      <c r="E6" s="70" t="s">
        <v>102</v>
      </c>
      <c r="F6" s="70"/>
      <c r="G6" s="70"/>
      <c r="H6" s="70"/>
      <c r="L6" s="66" t="s">
        <v>101</v>
      </c>
      <c r="M6" s="66"/>
      <c r="N6" s="66" t="s">
        <v>10</v>
      </c>
      <c r="O6" s="66" t="s">
        <v>102</v>
      </c>
      <c r="P6" s="66"/>
      <c r="Q6" s="66"/>
      <c r="R6" s="66"/>
    </row>
    <row r="7" spans="1:18" ht="12.75" customHeight="1">
      <c r="A7" s="69"/>
      <c r="B7" s="70" t="s">
        <v>103</v>
      </c>
      <c r="C7" s="70"/>
      <c r="D7" s="70" t="s">
        <v>10</v>
      </c>
      <c r="E7" s="70" t="s">
        <v>104</v>
      </c>
      <c r="F7" s="70"/>
      <c r="G7" s="70"/>
      <c r="H7" s="70"/>
      <c r="L7" s="66" t="s">
        <v>103</v>
      </c>
      <c r="M7" s="66"/>
      <c r="N7" s="66" t="s">
        <v>10</v>
      </c>
      <c r="O7" s="66" t="s">
        <v>104</v>
      </c>
      <c r="P7" s="66"/>
      <c r="Q7" s="66"/>
      <c r="R7" s="66"/>
    </row>
    <row r="8" spans="1:18" ht="12.75" customHeight="1">
      <c r="A8" s="69"/>
      <c r="B8" s="70" t="s">
        <v>105</v>
      </c>
      <c r="C8" s="70"/>
      <c r="D8" s="70" t="s">
        <v>10</v>
      </c>
      <c r="E8" s="70" t="s">
        <v>106</v>
      </c>
      <c r="F8" s="70"/>
      <c r="G8" s="70"/>
      <c r="H8" s="70"/>
      <c r="L8" s="66" t="s">
        <v>105</v>
      </c>
      <c r="M8" s="66"/>
      <c r="N8" s="66" t="s">
        <v>10</v>
      </c>
      <c r="O8" s="66" t="s">
        <v>106</v>
      </c>
      <c r="P8" s="66"/>
      <c r="Q8" s="66"/>
      <c r="R8" s="66"/>
    </row>
    <row r="9" spans="1:18" ht="9.75" customHeight="1">
      <c r="A9" s="69"/>
      <c r="B9" s="70"/>
      <c r="C9" s="70"/>
      <c r="D9" s="70"/>
      <c r="E9" s="70"/>
      <c r="F9" s="70"/>
      <c r="G9" s="70"/>
      <c r="H9" s="70"/>
      <c r="L9" s="66"/>
      <c r="M9" s="66"/>
      <c r="N9" s="66"/>
      <c r="O9" s="66"/>
      <c r="P9" s="66"/>
      <c r="Q9" s="66"/>
      <c r="R9" s="66"/>
    </row>
    <row r="10" spans="1:18" ht="9" customHeight="1">
      <c r="A10" s="69"/>
      <c r="B10" s="70"/>
      <c r="C10" s="70"/>
      <c r="D10" s="70"/>
      <c r="E10" s="70"/>
      <c r="F10" s="70"/>
      <c r="G10" s="70"/>
      <c r="H10" s="70"/>
      <c r="L10" s="66"/>
      <c r="M10" s="66"/>
      <c r="N10" s="66"/>
      <c r="O10" s="66"/>
      <c r="P10" s="66"/>
      <c r="Q10" s="66"/>
      <c r="R10" s="66"/>
    </row>
    <row r="11" spans="1:18" ht="12.75" customHeight="1">
      <c r="A11" s="69"/>
      <c r="B11" s="228" t="s">
        <v>107</v>
      </c>
      <c r="C11" s="194"/>
      <c r="D11" s="194"/>
      <c r="E11" s="194"/>
      <c r="F11" s="194"/>
      <c r="G11" s="194"/>
      <c r="H11" s="194"/>
      <c r="L11" s="228" t="s">
        <v>107</v>
      </c>
      <c r="M11" s="194"/>
      <c r="N11" s="194"/>
      <c r="O11" s="194"/>
      <c r="P11" s="194"/>
      <c r="Q11" s="194"/>
      <c r="R11" s="194"/>
    </row>
    <row r="12" spans="1:18" ht="12.75" customHeight="1">
      <c r="A12" s="69"/>
      <c r="B12" s="230" t="s">
        <v>181</v>
      </c>
      <c r="C12" s="194"/>
      <c r="D12" s="194"/>
      <c r="E12" s="194"/>
      <c r="F12" s="194"/>
      <c r="G12" s="194"/>
      <c r="H12" s="194"/>
      <c r="L12" s="225" t="s">
        <v>109</v>
      </c>
      <c r="M12" s="194"/>
      <c r="N12" s="194"/>
      <c r="O12" s="194"/>
      <c r="P12" s="194"/>
      <c r="Q12" s="194"/>
      <c r="R12" s="194"/>
    </row>
    <row r="13" spans="1:18" ht="8.25" customHeight="1">
      <c r="A13" s="69"/>
      <c r="B13" s="70"/>
      <c r="C13" s="70"/>
      <c r="D13" s="70"/>
      <c r="E13" s="70"/>
      <c r="F13" s="70"/>
      <c r="G13" s="70"/>
      <c r="H13" s="70"/>
      <c r="L13" s="66"/>
      <c r="M13" s="66"/>
      <c r="N13" s="66"/>
      <c r="O13" s="66"/>
      <c r="P13" s="66"/>
      <c r="Q13" s="66"/>
      <c r="R13" s="66"/>
    </row>
    <row r="14" spans="1:18" ht="12.75" customHeight="1">
      <c r="A14" s="69"/>
      <c r="B14" s="70" t="s">
        <v>110</v>
      </c>
      <c r="C14" s="70"/>
      <c r="D14" s="70"/>
      <c r="E14" s="70"/>
      <c r="F14" s="70"/>
      <c r="G14" s="70"/>
      <c r="H14" s="70"/>
      <c r="L14" s="66" t="s">
        <v>110</v>
      </c>
      <c r="M14" s="66"/>
      <c r="N14" s="66"/>
      <c r="O14" s="66"/>
      <c r="P14" s="66"/>
      <c r="Q14" s="66"/>
      <c r="R14" s="66"/>
    </row>
    <row r="15" spans="1:18" ht="12.75" customHeight="1">
      <c r="A15" s="69"/>
      <c r="B15" s="70"/>
      <c r="C15" s="70"/>
      <c r="D15" s="70"/>
      <c r="E15" s="70"/>
      <c r="F15" s="70"/>
      <c r="G15" s="70"/>
      <c r="H15" s="70"/>
      <c r="L15" s="66"/>
      <c r="M15" s="66"/>
      <c r="N15" s="66"/>
      <c r="O15" s="66"/>
      <c r="P15" s="66"/>
      <c r="Q15" s="66"/>
      <c r="R15" s="66"/>
    </row>
    <row r="16" spans="1:18" ht="12.75" customHeight="1">
      <c r="A16" s="69"/>
      <c r="B16" s="70" t="s">
        <v>111</v>
      </c>
      <c r="C16" s="70" t="s">
        <v>112</v>
      </c>
      <c r="D16" s="70" t="s">
        <v>10</v>
      </c>
      <c r="E16" s="70" t="s">
        <v>113</v>
      </c>
      <c r="F16" s="70"/>
      <c r="G16" s="70"/>
      <c r="H16" s="70"/>
      <c r="L16" s="66" t="s">
        <v>111</v>
      </c>
      <c r="M16" s="66" t="s">
        <v>112</v>
      </c>
      <c r="N16" s="66" t="s">
        <v>10</v>
      </c>
      <c r="O16" s="66" t="s">
        <v>114</v>
      </c>
      <c r="P16" s="66"/>
      <c r="Q16" s="66"/>
      <c r="R16" s="66"/>
    </row>
    <row r="17" spans="1:18" ht="12.75" customHeight="1">
      <c r="A17" s="69"/>
      <c r="B17" s="70" t="s">
        <v>115</v>
      </c>
      <c r="C17" s="70" t="s">
        <v>119</v>
      </c>
      <c r="D17" s="70" t="s">
        <v>10</v>
      </c>
      <c r="E17" s="70" t="str">
        <f>'Form.N-1'!E18</f>
        <v>Pemalang,06 Mei 1988</v>
      </c>
      <c r="F17" s="70"/>
      <c r="G17" s="70"/>
      <c r="H17" s="70"/>
      <c r="L17" s="66" t="s">
        <v>115</v>
      </c>
      <c r="M17" s="66" t="s">
        <v>119</v>
      </c>
      <c r="N17" s="66" t="s">
        <v>10</v>
      </c>
      <c r="O17" s="66" t="s">
        <v>114</v>
      </c>
      <c r="P17" s="66"/>
      <c r="Q17" s="66"/>
      <c r="R17" s="66"/>
    </row>
    <row r="18" spans="1:18" ht="12.75" customHeight="1">
      <c r="A18" s="69"/>
      <c r="B18" s="70" t="s">
        <v>118</v>
      </c>
      <c r="C18" s="70" t="s">
        <v>122</v>
      </c>
      <c r="D18" s="70" t="s">
        <v>10</v>
      </c>
      <c r="E18" s="70" t="s">
        <v>123</v>
      </c>
      <c r="F18" s="70"/>
      <c r="G18" s="70"/>
      <c r="H18" s="70"/>
      <c r="L18" s="66" t="s">
        <v>118</v>
      </c>
      <c r="M18" s="66" t="s">
        <v>122</v>
      </c>
      <c r="N18" s="66" t="s">
        <v>10</v>
      </c>
      <c r="O18" s="66" t="s">
        <v>123</v>
      </c>
      <c r="P18" s="66"/>
      <c r="Q18" s="66"/>
      <c r="R18" s="66"/>
    </row>
    <row r="19" spans="1:18" ht="12.75" customHeight="1">
      <c r="A19" s="69"/>
      <c r="B19" s="70" t="s">
        <v>121</v>
      </c>
      <c r="C19" s="70" t="s">
        <v>125</v>
      </c>
      <c r="D19" s="70" t="s">
        <v>10</v>
      </c>
      <c r="E19" s="70" t="s">
        <v>126</v>
      </c>
      <c r="F19" s="70"/>
      <c r="G19" s="70"/>
      <c r="H19" s="70"/>
      <c r="L19" s="66" t="s">
        <v>121</v>
      </c>
      <c r="M19" s="66" t="s">
        <v>125</v>
      </c>
      <c r="N19" s="66" t="s">
        <v>10</v>
      </c>
      <c r="O19" s="66" t="s">
        <v>126</v>
      </c>
      <c r="P19" s="66"/>
      <c r="Q19" s="66"/>
      <c r="R19" s="66"/>
    </row>
    <row r="20" spans="1:18" ht="12.75" customHeight="1">
      <c r="A20" s="69"/>
      <c r="B20" s="70" t="s">
        <v>124</v>
      </c>
      <c r="C20" s="70" t="s">
        <v>128</v>
      </c>
      <c r="D20" s="70" t="s">
        <v>10</v>
      </c>
      <c r="E20" s="70" t="s">
        <v>129</v>
      </c>
      <c r="F20" s="70"/>
      <c r="G20" s="70"/>
      <c r="H20" s="70"/>
      <c r="L20" s="66" t="s">
        <v>124</v>
      </c>
      <c r="M20" s="66" t="s">
        <v>128</v>
      </c>
      <c r="N20" s="66" t="s">
        <v>10</v>
      </c>
      <c r="O20" s="66" t="s">
        <v>114</v>
      </c>
      <c r="P20" s="66"/>
      <c r="Q20" s="66"/>
      <c r="R20" s="66"/>
    </row>
    <row r="21" spans="1:18" ht="12.75" customHeight="1">
      <c r="A21" s="69"/>
      <c r="B21" s="70" t="s">
        <v>127</v>
      </c>
      <c r="C21" s="70" t="s">
        <v>131</v>
      </c>
      <c r="D21" s="70" t="s">
        <v>10</v>
      </c>
      <c r="E21" s="70" t="s">
        <v>132</v>
      </c>
      <c r="F21" s="70"/>
      <c r="G21" s="70"/>
      <c r="H21" s="70"/>
      <c r="L21" s="66" t="s">
        <v>127</v>
      </c>
      <c r="M21" s="66" t="s">
        <v>131</v>
      </c>
      <c r="N21" s="66" t="s">
        <v>10</v>
      </c>
      <c r="O21" s="66" t="s">
        <v>133</v>
      </c>
      <c r="P21" s="66"/>
      <c r="Q21" s="66"/>
      <c r="R21" s="66"/>
    </row>
    <row r="22" spans="1:18" ht="9" customHeight="1">
      <c r="A22" s="69"/>
      <c r="B22" s="70"/>
      <c r="C22" s="69"/>
      <c r="D22" s="69"/>
      <c r="E22" s="69"/>
      <c r="F22" s="70"/>
      <c r="G22" s="70"/>
      <c r="H22" s="70"/>
      <c r="L22" s="66"/>
      <c r="P22" s="66"/>
      <c r="Q22" s="66"/>
      <c r="R22" s="66"/>
    </row>
    <row r="23" spans="1:18" ht="12.75" customHeight="1">
      <c r="A23" s="69"/>
      <c r="B23" s="70" t="s">
        <v>182</v>
      </c>
      <c r="C23" s="70"/>
      <c r="D23" s="70"/>
      <c r="E23" s="70"/>
      <c r="F23" s="70"/>
      <c r="G23" s="70"/>
      <c r="H23" s="70"/>
      <c r="L23" s="66" t="s">
        <v>182</v>
      </c>
      <c r="M23" s="66"/>
      <c r="N23" s="66"/>
      <c r="O23" s="66"/>
      <c r="P23" s="66"/>
      <c r="Q23" s="66"/>
      <c r="R23" s="66"/>
    </row>
    <row r="24" spans="1:18" ht="12.75" customHeight="1">
      <c r="A24" s="69"/>
      <c r="B24" s="70" t="s">
        <v>111</v>
      </c>
      <c r="C24" s="70" t="s">
        <v>112</v>
      </c>
      <c r="D24" s="70" t="s">
        <v>10</v>
      </c>
      <c r="E24" s="70" t="s">
        <v>136</v>
      </c>
      <c r="F24" s="70"/>
      <c r="G24" s="70"/>
      <c r="H24" s="70"/>
      <c r="L24" s="66" t="s">
        <v>111</v>
      </c>
      <c r="M24" s="66" t="s">
        <v>112</v>
      </c>
      <c r="N24" s="66" t="s">
        <v>10</v>
      </c>
      <c r="O24" s="66" t="s">
        <v>114</v>
      </c>
      <c r="P24" s="66"/>
      <c r="Q24" s="66"/>
      <c r="R24" s="66"/>
    </row>
    <row r="25" spans="1:18" ht="12.75" customHeight="1">
      <c r="A25" s="69"/>
      <c r="B25" s="70" t="s">
        <v>115</v>
      </c>
      <c r="C25" s="70" t="s">
        <v>119</v>
      </c>
      <c r="D25" s="70" t="s">
        <v>10</v>
      </c>
      <c r="E25" s="70" t="s">
        <v>183</v>
      </c>
      <c r="F25" s="70"/>
      <c r="G25" s="70"/>
      <c r="H25" s="70"/>
      <c r="L25" s="66" t="s">
        <v>115</v>
      </c>
      <c r="M25" s="66" t="s">
        <v>119</v>
      </c>
      <c r="N25" s="66" t="s">
        <v>10</v>
      </c>
      <c r="O25" s="66" t="s">
        <v>114</v>
      </c>
      <c r="P25" s="66"/>
      <c r="Q25" s="66"/>
      <c r="R25" s="66"/>
    </row>
    <row r="26" spans="1:18" ht="12.75" customHeight="1">
      <c r="A26" s="69"/>
      <c r="B26" s="70" t="s">
        <v>118</v>
      </c>
      <c r="C26" s="70" t="s">
        <v>122</v>
      </c>
      <c r="D26" s="70" t="s">
        <v>10</v>
      </c>
      <c r="E26" s="70" t="s">
        <v>123</v>
      </c>
      <c r="F26" s="70"/>
      <c r="G26" s="70"/>
      <c r="H26" s="70"/>
      <c r="L26" s="66" t="s">
        <v>118</v>
      </c>
      <c r="M26" s="66" t="s">
        <v>122</v>
      </c>
      <c r="N26" s="66" t="s">
        <v>10</v>
      </c>
      <c r="O26" s="66" t="s">
        <v>123</v>
      </c>
      <c r="P26" s="66"/>
      <c r="Q26" s="66"/>
      <c r="R26" s="66"/>
    </row>
    <row r="27" spans="1:18" ht="12.75" customHeight="1">
      <c r="A27" s="69"/>
      <c r="B27" s="70" t="s">
        <v>121</v>
      </c>
      <c r="C27" s="70" t="s">
        <v>125</v>
      </c>
      <c r="D27" s="70" t="s">
        <v>10</v>
      </c>
      <c r="E27" s="70" t="s">
        <v>126</v>
      </c>
      <c r="F27" s="70"/>
      <c r="G27" s="70"/>
      <c r="H27" s="70"/>
      <c r="L27" s="66" t="s">
        <v>121</v>
      </c>
      <c r="M27" s="66" t="s">
        <v>125</v>
      </c>
      <c r="N27" s="66" t="s">
        <v>10</v>
      </c>
      <c r="O27" s="66" t="s">
        <v>126</v>
      </c>
      <c r="P27" s="66"/>
      <c r="Q27" s="66"/>
      <c r="R27" s="66"/>
    </row>
    <row r="28" spans="1:18" ht="12.75" customHeight="1">
      <c r="A28" s="69"/>
      <c r="B28" s="70" t="s">
        <v>124</v>
      </c>
      <c r="C28" s="70" t="s">
        <v>128</v>
      </c>
      <c r="D28" s="70" t="s">
        <v>10</v>
      </c>
      <c r="E28" s="70" t="s">
        <v>129</v>
      </c>
      <c r="F28" s="70"/>
      <c r="G28" s="70"/>
      <c r="H28" s="70"/>
      <c r="L28" s="66" t="s">
        <v>124</v>
      </c>
      <c r="M28" s="66" t="s">
        <v>128</v>
      </c>
      <c r="N28" s="66" t="s">
        <v>10</v>
      </c>
      <c r="O28" s="66" t="s">
        <v>114</v>
      </c>
      <c r="P28" s="66"/>
      <c r="Q28" s="66"/>
      <c r="R28" s="66"/>
    </row>
    <row r="29" spans="1:18" ht="12.75" customHeight="1">
      <c r="A29" s="69"/>
      <c r="B29" s="70" t="s">
        <v>127</v>
      </c>
      <c r="C29" s="70" t="s">
        <v>131</v>
      </c>
      <c r="D29" s="70" t="s">
        <v>10</v>
      </c>
      <c r="E29" s="70" t="s">
        <v>184</v>
      </c>
      <c r="F29" s="70"/>
      <c r="G29" s="70"/>
      <c r="H29" s="70"/>
      <c r="L29" s="66" t="s">
        <v>127</v>
      </c>
      <c r="M29" s="66" t="s">
        <v>131</v>
      </c>
      <c r="N29" s="66" t="s">
        <v>10</v>
      </c>
      <c r="O29" s="66" t="s">
        <v>133</v>
      </c>
      <c r="P29" s="66"/>
      <c r="Q29" s="66"/>
      <c r="R29" s="66"/>
    </row>
    <row r="30" spans="1:18" ht="6.75" customHeight="1">
      <c r="A30" s="69"/>
      <c r="B30" s="70"/>
      <c r="C30" s="70"/>
      <c r="D30" s="70"/>
      <c r="E30" s="70"/>
      <c r="F30" s="70"/>
      <c r="G30" s="70"/>
      <c r="H30" s="70"/>
      <c r="L30" s="66"/>
      <c r="M30" s="66"/>
      <c r="N30" s="66"/>
      <c r="O30" s="66"/>
      <c r="P30" s="66"/>
      <c r="Q30" s="66"/>
      <c r="R30" s="66"/>
    </row>
    <row r="31" spans="1:18" ht="12.75" customHeight="1">
      <c r="A31" s="69"/>
      <c r="B31" s="70" t="s">
        <v>185</v>
      </c>
      <c r="C31" s="70"/>
      <c r="D31" s="70"/>
      <c r="E31" s="70"/>
      <c r="F31" s="70"/>
      <c r="G31" s="70"/>
      <c r="H31" s="70"/>
      <c r="L31" s="66" t="s">
        <v>185</v>
      </c>
      <c r="M31" s="66"/>
      <c r="N31" s="66"/>
      <c r="O31" s="66"/>
      <c r="P31" s="66"/>
      <c r="Q31" s="66"/>
      <c r="R31" s="66"/>
    </row>
    <row r="32" spans="1:18" ht="12.75" customHeight="1">
      <c r="A32" s="69"/>
      <c r="B32" s="70" t="s">
        <v>111</v>
      </c>
      <c r="C32" s="70" t="s">
        <v>112</v>
      </c>
      <c r="D32" s="70" t="s">
        <v>10</v>
      </c>
      <c r="E32" s="70" t="s">
        <v>186</v>
      </c>
      <c r="F32" s="70"/>
      <c r="G32" s="70"/>
      <c r="H32" s="70"/>
      <c r="L32" s="66" t="s">
        <v>111</v>
      </c>
      <c r="M32" s="66" t="s">
        <v>112</v>
      </c>
      <c r="N32" s="66" t="s">
        <v>10</v>
      </c>
      <c r="O32" s="66" t="s">
        <v>114</v>
      </c>
      <c r="P32" s="66"/>
      <c r="Q32" s="66"/>
      <c r="R32" s="66"/>
    </row>
    <row r="33" spans="1:18" ht="12.75" customHeight="1">
      <c r="A33" s="69"/>
      <c r="B33" s="70" t="s">
        <v>115</v>
      </c>
      <c r="C33" s="70" t="s">
        <v>119</v>
      </c>
      <c r="D33" s="70" t="s">
        <v>10</v>
      </c>
      <c r="E33" s="70" t="s">
        <v>187</v>
      </c>
      <c r="F33" s="70"/>
      <c r="G33" s="70"/>
      <c r="H33" s="70"/>
      <c r="L33" s="66" t="s">
        <v>115</v>
      </c>
      <c r="M33" s="66" t="s">
        <v>119</v>
      </c>
      <c r="N33" s="66" t="s">
        <v>10</v>
      </c>
      <c r="O33" s="66" t="s">
        <v>114</v>
      </c>
      <c r="P33" s="66"/>
      <c r="Q33" s="66"/>
      <c r="R33" s="66"/>
    </row>
    <row r="34" spans="1:18" ht="12.75" customHeight="1">
      <c r="A34" s="69"/>
      <c r="B34" s="70" t="s">
        <v>118</v>
      </c>
      <c r="C34" s="70" t="s">
        <v>122</v>
      </c>
      <c r="D34" s="70" t="s">
        <v>10</v>
      </c>
      <c r="E34" s="70" t="s">
        <v>123</v>
      </c>
      <c r="F34" s="70"/>
      <c r="G34" s="70"/>
      <c r="H34" s="70"/>
      <c r="L34" s="66" t="s">
        <v>118</v>
      </c>
      <c r="M34" s="66" t="s">
        <v>122</v>
      </c>
      <c r="N34" s="66" t="s">
        <v>10</v>
      </c>
      <c r="O34" s="66" t="s">
        <v>123</v>
      </c>
      <c r="P34" s="66"/>
      <c r="Q34" s="66"/>
      <c r="R34" s="66"/>
    </row>
    <row r="35" spans="1:18" ht="12.75" customHeight="1">
      <c r="A35" s="69"/>
      <c r="B35" s="70" t="s">
        <v>121</v>
      </c>
      <c r="C35" s="70" t="s">
        <v>125</v>
      </c>
      <c r="D35" s="70" t="s">
        <v>10</v>
      </c>
      <c r="E35" s="70" t="s">
        <v>126</v>
      </c>
      <c r="F35" s="70"/>
      <c r="G35" s="70"/>
      <c r="H35" s="70"/>
      <c r="L35" s="66" t="s">
        <v>121</v>
      </c>
      <c r="M35" s="66" t="s">
        <v>125</v>
      </c>
      <c r="N35" s="66" t="s">
        <v>10</v>
      </c>
      <c r="O35" s="66" t="s">
        <v>126</v>
      </c>
      <c r="P35" s="66"/>
      <c r="Q35" s="66"/>
      <c r="R35" s="66"/>
    </row>
    <row r="36" spans="1:18" ht="12.75" customHeight="1">
      <c r="A36" s="69"/>
      <c r="B36" s="70" t="s">
        <v>124</v>
      </c>
      <c r="C36" s="70" t="s">
        <v>128</v>
      </c>
      <c r="D36" s="70" t="s">
        <v>10</v>
      </c>
      <c r="E36" s="70" t="s">
        <v>172</v>
      </c>
      <c r="F36" s="70"/>
      <c r="G36" s="70"/>
      <c r="H36" s="70"/>
      <c r="L36" s="66" t="s">
        <v>124</v>
      </c>
      <c r="M36" s="66" t="s">
        <v>128</v>
      </c>
      <c r="N36" s="66" t="s">
        <v>10</v>
      </c>
      <c r="O36" s="66" t="s">
        <v>114</v>
      </c>
      <c r="P36" s="66"/>
      <c r="Q36" s="66"/>
      <c r="R36" s="66"/>
    </row>
    <row r="37" spans="1:18" ht="12.75" customHeight="1">
      <c r="A37" s="69"/>
      <c r="B37" s="70" t="s">
        <v>127</v>
      </c>
      <c r="C37" s="70" t="s">
        <v>131</v>
      </c>
      <c r="D37" s="70" t="s">
        <v>10</v>
      </c>
      <c r="E37" s="70" t="s">
        <v>132</v>
      </c>
      <c r="F37" s="70"/>
      <c r="G37" s="70"/>
      <c r="H37" s="70"/>
      <c r="L37" s="66" t="s">
        <v>127</v>
      </c>
      <c r="M37" s="66" t="s">
        <v>131</v>
      </c>
      <c r="N37" s="66" t="s">
        <v>10</v>
      </c>
      <c r="O37" s="66" t="s">
        <v>133</v>
      </c>
      <c r="P37" s="66"/>
      <c r="Q37" s="66"/>
      <c r="R37" s="66"/>
    </row>
    <row r="38" spans="1:18" ht="12.75" customHeight="1">
      <c r="A38" s="69"/>
      <c r="B38" s="70"/>
      <c r="C38" s="70"/>
      <c r="D38" s="70"/>
      <c r="E38" s="70"/>
      <c r="F38" s="70"/>
      <c r="G38" s="70"/>
      <c r="H38" s="70"/>
      <c r="L38" s="66"/>
      <c r="M38" s="66"/>
      <c r="N38" s="66"/>
      <c r="O38" s="66"/>
      <c r="P38" s="66"/>
      <c r="Q38" s="66"/>
      <c r="R38" s="66"/>
    </row>
    <row r="39" spans="1:18" ht="12.75" customHeight="1">
      <c r="A39" s="69"/>
      <c r="B39" s="70"/>
      <c r="C39" s="70" t="s">
        <v>147</v>
      </c>
      <c r="D39" s="70"/>
      <c r="E39" s="70"/>
      <c r="F39" s="70"/>
      <c r="G39" s="70"/>
      <c r="H39" s="70"/>
      <c r="L39" s="66"/>
      <c r="M39" s="66" t="s">
        <v>147</v>
      </c>
      <c r="N39" s="66"/>
      <c r="O39" s="66"/>
      <c r="P39" s="66"/>
      <c r="Q39" s="66"/>
      <c r="R39" s="66"/>
    </row>
    <row r="40" spans="1:18" ht="12.75" customHeight="1">
      <c r="A40" s="69"/>
      <c r="B40" s="70" t="s">
        <v>148</v>
      </c>
      <c r="C40" s="70"/>
      <c r="D40" s="70"/>
      <c r="E40" s="70"/>
      <c r="F40" s="70"/>
      <c r="G40" s="70"/>
      <c r="H40" s="70"/>
      <c r="L40" s="66" t="s">
        <v>148</v>
      </c>
      <c r="M40" s="66"/>
      <c r="N40" s="66"/>
      <c r="O40" s="66"/>
      <c r="P40" s="66"/>
      <c r="Q40" s="66"/>
      <c r="R40" s="66"/>
    </row>
    <row r="41" spans="1:18" ht="12.75" customHeight="1">
      <c r="A41" s="69"/>
      <c r="B41" s="70"/>
      <c r="C41" s="70"/>
      <c r="D41" s="70"/>
      <c r="E41" s="70"/>
      <c r="F41" s="70"/>
      <c r="G41" s="70"/>
      <c r="H41" s="70"/>
      <c r="L41" s="66"/>
      <c r="M41" s="66"/>
      <c r="N41" s="66"/>
      <c r="O41" s="66"/>
      <c r="P41" s="66"/>
      <c r="Q41" s="66"/>
      <c r="R41" s="66"/>
    </row>
    <row r="42" spans="1:18" ht="12.75" customHeight="1">
      <c r="A42" s="69"/>
      <c r="B42" s="70"/>
      <c r="C42" s="70"/>
      <c r="D42" s="70"/>
      <c r="E42" s="70"/>
      <c r="F42" s="70" t="s">
        <v>188</v>
      </c>
      <c r="G42" s="70"/>
      <c r="H42" s="70"/>
      <c r="L42" s="66"/>
      <c r="M42" s="66"/>
      <c r="N42" s="66"/>
      <c r="O42" s="66"/>
      <c r="P42" s="66" t="s">
        <v>189</v>
      </c>
      <c r="Q42" s="66"/>
      <c r="R42" s="66"/>
    </row>
    <row r="43" spans="1:18" ht="6.75" customHeight="1">
      <c r="A43" s="69"/>
      <c r="B43" s="70"/>
      <c r="C43" s="70"/>
      <c r="D43" s="70"/>
      <c r="E43" s="70"/>
      <c r="F43" s="70"/>
      <c r="G43" s="70"/>
      <c r="H43" s="70"/>
      <c r="L43" s="66"/>
      <c r="M43" s="66"/>
      <c r="N43" s="66"/>
      <c r="O43" s="66"/>
      <c r="P43" s="66"/>
      <c r="Q43" s="66"/>
      <c r="R43" s="66"/>
    </row>
    <row r="44" spans="1:18" ht="12.75" customHeight="1">
      <c r="A44" s="69"/>
      <c r="B44" s="70"/>
      <c r="C44" s="70"/>
      <c r="D44" s="70"/>
      <c r="E44" s="70"/>
      <c r="F44" s="70" t="s">
        <v>151</v>
      </c>
      <c r="G44" s="70"/>
      <c r="H44" s="70"/>
      <c r="L44" s="66"/>
      <c r="M44" s="66"/>
      <c r="N44" s="66"/>
      <c r="O44" s="66"/>
      <c r="P44" s="66" t="s">
        <v>151</v>
      </c>
      <c r="Q44" s="66"/>
      <c r="R44" s="66"/>
    </row>
    <row r="45" spans="1:18" ht="12.75" customHeight="1">
      <c r="A45" s="69"/>
      <c r="B45" s="70"/>
      <c r="C45" s="70"/>
      <c r="D45" s="70"/>
      <c r="E45" s="70"/>
      <c r="F45" s="70"/>
      <c r="G45" s="70"/>
      <c r="H45" s="70"/>
      <c r="L45" s="66"/>
      <c r="M45" s="66"/>
      <c r="N45" s="66"/>
      <c r="O45" s="66"/>
      <c r="P45" s="66"/>
      <c r="Q45" s="66"/>
      <c r="R45" s="66"/>
    </row>
    <row r="46" spans="1:18" ht="12.75" customHeight="1">
      <c r="A46" s="69"/>
      <c r="B46" s="70"/>
      <c r="C46" s="70"/>
      <c r="D46" s="70"/>
      <c r="E46" s="70"/>
      <c r="F46" s="70"/>
      <c r="G46" s="70"/>
      <c r="H46" s="70"/>
      <c r="L46" s="66"/>
      <c r="M46" s="66"/>
      <c r="N46" s="66"/>
      <c r="O46" s="66"/>
      <c r="P46" s="66"/>
      <c r="Q46" s="66"/>
      <c r="R46" s="66"/>
    </row>
    <row r="47" spans="1:18" ht="12.75" customHeight="1">
      <c r="A47" s="69"/>
      <c r="B47" s="70"/>
      <c r="C47" s="70"/>
      <c r="D47" s="70"/>
      <c r="E47" s="70"/>
      <c r="F47" s="70"/>
      <c r="G47" s="70"/>
      <c r="H47" s="70"/>
      <c r="L47" s="66"/>
      <c r="M47" s="66"/>
      <c r="N47" s="66"/>
      <c r="O47" s="66"/>
      <c r="P47" s="66"/>
      <c r="Q47" s="66"/>
      <c r="R47" s="66"/>
    </row>
    <row r="48" spans="1:18" ht="12.75" customHeight="1">
      <c r="A48" s="69"/>
      <c r="B48" s="70"/>
      <c r="C48" s="70"/>
      <c r="D48" s="70"/>
      <c r="E48" s="70"/>
      <c r="F48" s="70" t="s">
        <v>152</v>
      </c>
      <c r="G48" s="70"/>
      <c r="H48" s="70"/>
      <c r="L48" s="66"/>
      <c r="M48" s="66"/>
      <c r="N48" s="66"/>
      <c r="O48" s="66"/>
      <c r="P48" s="66" t="s">
        <v>152</v>
      </c>
      <c r="Q48" s="66"/>
      <c r="R48" s="66"/>
    </row>
    <row r="49" spans="1:18" ht="12.75" customHeight="1">
      <c r="A49" s="69"/>
      <c r="B49" s="69"/>
      <c r="C49" s="69"/>
      <c r="D49" s="69"/>
      <c r="E49" s="69"/>
      <c r="F49" s="69"/>
      <c r="G49" s="69"/>
      <c r="H49" s="69"/>
    </row>
    <row r="50" spans="1:18" ht="12.75" customHeight="1">
      <c r="A50" s="69"/>
      <c r="B50" s="69"/>
      <c r="C50" s="69"/>
      <c r="D50" s="69"/>
      <c r="E50" s="69"/>
      <c r="F50" s="69"/>
      <c r="G50" s="69"/>
      <c r="H50" s="69"/>
    </row>
    <row r="51" spans="1:18" ht="12.75" customHeight="1">
      <c r="A51" s="69"/>
      <c r="B51" s="69"/>
      <c r="C51" s="69"/>
      <c r="D51" s="69"/>
      <c r="E51" s="69"/>
      <c r="F51" s="69"/>
      <c r="G51" s="69"/>
      <c r="H51" s="69"/>
    </row>
    <row r="52" spans="1:18" ht="12.75" customHeight="1">
      <c r="A52" s="69"/>
      <c r="B52" s="69"/>
      <c r="C52" s="69"/>
      <c r="D52" s="69"/>
      <c r="E52" s="69"/>
      <c r="F52" s="69"/>
      <c r="G52" s="69"/>
      <c r="H52" s="69"/>
      <c r="L52" s="66"/>
      <c r="M52" s="66"/>
      <c r="N52" s="66"/>
      <c r="O52" s="66"/>
      <c r="P52" s="66" t="s">
        <v>178</v>
      </c>
      <c r="Q52" s="66"/>
      <c r="R52" s="66"/>
    </row>
    <row r="53" spans="1:18" ht="12.75" customHeight="1">
      <c r="A53" s="69"/>
      <c r="B53" s="69"/>
      <c r="C53" s="69"/>
      <c r="D53" s="69"/>
      <c r="E53" s="69"/>
      <c r="F53" s="69"/>
      <c r="G53" s="69"/>
      <c r="H53" s="69"/>
      <c r="L53" s="66"/>
      <c r="M53" s="66"/>
      <c r="N53" s="66"/>
      <c r="O53" s="66"/>
      <c r="P53" s="66"/>
      <c r="Q53" s="67" t="s">
        <v>179</v>
      </c>
      <c r="R53" s="66"/>
    </row>
    <row r="54" spans="1:18" ht="12.75" customHeight="1">
      <c r="A54" s="69"/>
      <c r="B54" s="69"/>
      <c r="C54" s="69"/>
      <c r="D54" s="69"/>
      <c r="E54" s="69"/>
      <c r="F54" s="69"/>
      <c r="G54" s="69"/>
      <c r="H54" s="69"/>
      <c r="L54" s="66"/>
      <c r="M54" s="66"/>
      <c r="N54" s="66"/>
      <c r="O54" s="66"/>
      <c r="P54" s="66"/>
      <c r="Q54" s="68" t="s">
        <v>180</v>
      </c>
      <c r="R54" s="66"/>
    </row>
    <row r="55" spans="1:18" ht="12.75" customHeight="1">
      <c r="A55" s="69"/>
      <c r="B55" s="69"/>
      <c r="C55" s="69"/>
      <c r="D55" s="69"/>
      <c r="E55" s="69"/>
      <c r="F55" s="69"/>
      <c r="G55" s="69"/>
      <c r="H55" s="69"/>
      <c r="L55" s="66"/>
      <c r="M55" s="66"/>
      <c r="N55" s="66"/>
      <c r="O55" s="66"/>
      <c r="P55" s="66"/>
      <c r="Q55" s="66"/>
      <c r="R55" s="66"/>
    </row>
    <row r="56" spans="1:18" ht="12.75" customHeight="1">
      <c r="A56" s="69"/>
      <c r="B56" s="69"/>
      <c r="C56" s="69"/>
      <c r="D56" s="69"/>
      <c r="E56" s="69"/>
      <c r="F56" s="69"/>
      <c r="G56" s="69"/>
      <c r="H56" s="69"/>
      <c r="L56" s="66" t="s">
        <v>101</v>
      </c>
      <c r="M56" s="66"/>
      <c r="N56" s="66" t="s">
        <v>10</v>
      </c>
      <c r="O56" s="66" t="s">
        <v>102</v>
      </c>
      <c r="P56" s="66"/>
      <c r="Q56" s="66"/>
      <c r="R56" s="66"/>
    </row>
    <row r="57" spans="1:18" ht="12.75" customHeight="1">
      <c r="A57" s="69"/>
      <c r="B57" s="69"/>
      <c r="C57" s="69"/>
      <c r="D57" s="69"/>
      <c r="E57" s="69"/>
      <c r="F57" s="69"/>
      <c r="G57" s="69"/>
      <c r="H57" s="69"/>
      <c r="L57" s="66" t="s">
        <v>103</v>
      </c>
      <c r="M57" s="66"/>
      <c r="N57" s="66" t="s">
        <v>10</v>
      </c>
      <c r="O57" s="66" t="s">
        <v>104</v>
      </c>
      <c r="P57" s="66"/>
      <c r="Q57" s="66"/>
      <c r="R57" s="66"/>
    </row>
    <row r="58" spans="1:18" ht="12.75" customHeight="1">
      <c r="A58" s="69"/>
      <c r="B58" s="69"/>
      <c r="C58" s="69"/>
      <c r="D58" s="69"/>
      <c r="E58" s="69"/>
      <c r="F58" s="69"/>
      <c r="G58" s="69"/>
      <c r="H58" s="69"/>
      <c r="L58" s="66" t="s">
        <v>105</v>
      </c>
      <c r="M58" s="66"/>
      <c r="N58" s="66" t="s">
        <v>10</v>
      </c>
      <c r="O58" s="66" t="s">
        <v>106</v>
      </c>
      <c r="P58" s="66"/>
      <c r="Q58" s="66"/>
      <c r="R58" s="66"/>
    </row>
    <row r="59" spans="1:18" ht="9" customHeight="1">
      <c r="A59" s="69"/>
      <c r="B59" s="69"/>
      <c r="C59" s="69"/>
      <c r="D59" s="69"/>
      <c r="E59" s="69"/>
      <c r="F59" s="69"/>
      <c r="G59" s="69"/>
      <c r="H59" s="69"/>
      <c r="L59" s="66"/>
      <c r="M59" s="66"/>
      <c r="N59" s="66"/>
      <c r="O59" s="66"/>
      <c r="P59" s="66"/>
      <c r="Q59" s="66"/>
      <c r="R59" s="66"/>
    </row>
    <row r="60" spans="1:18" ht="9" customHeight="1">
      <c r="A60" s="69"/>
      <c r="B60" s="69"/>
      <c r="C60" s="69"/>
      <c r="D60" s="69"/>
      <c r="E60" s="69"/>
      <c r="F60" s="69"/>
      <c r="G60" s="69"/>
      <c r="H60" s="69"/>
      <c r="L60" s="66"/>
      <c r="M60" s="66"/>
      <c r="N60" s="66"/>
      <c r="O60" s="66"/>
      <c r="P60" s="66"/>
      <c r="Q60" s="66"/>
      <c r="R60" s="66"/>
    </row>
    <row r="61" spans="1:18" ht="12.75" customHeight="1">
      <c r="A61" s="69"/>
      <c r="B61" s="69"/>
      <c r="C61" s="69"/>
      <c r="D61" s="69"/>
      <c r="E61" s="69"/>
      <c r="F61" s="69"/>
      <c r="G61" s="69"/>
      <c r="H61" s="69"/>
      <c r="L61" s="228" t="s">
        <v>107</v>
      </c>
      <c r="M61" s="194"/>
      <c r="N61" s="194"/>
      <c r="O61" s="194"/>
      <c r="P61" s="194"/>
      <c r="Q61" s="194"/>
      <c r="R61" s="194"/>
    </row>
    <row r="62" spans="1:18" ht="12.75" customHeight="1">
      <c r="A62" s="69"/>
      <c r="B62" s="69"/>
      <c r="C62" s="69"/>
      <c r="D62" s="69"/>
      <c r="E62" s="69"/>
      <c r="F62" s="69"/>
      <c r="G62" s="69"/>
      <c r="H62" s="69"/>
      <c r="L62" s="225" t="s">
        <v>109</v>
      </c>
      <c r="M62" s="194"/>
      <c r="N62" s="194"/>
      <c r="O62" s="194"/>
      <c r="P62" s="194"/>
      <c r="Q62" s="194"/>
      <c r="R62" s="194"/>
    </row>
    <row r="63" spans="1:18" ht="12.75" customHeight="1">
      <c r="A63" s="69"/>
      <c r="B63" s="69"/>
      <c r="C63" s="69"/>
      <c r="D63" s="69"/>
      <c r="E63" s="69"/>
      <c r="F63" s="69"/>
      <c r="G63" s="69"/>
      <c r="H63" s="69"/>
      <c r="L63" s="66"/>
      <c r="M63" s="66"/>
      <c r="N63" s="66"/>
      <c r="O63" s="66"/>
      <c r="P63" s="66"/>
      <c r="Q63" s="66"/>
      <c r="R63" s="66"/>
    </row>
    <row r="64" spans="1:18" ht="12.75" customHeight="1">
      <c r="A64" s="69"/>
      <c r="B64" s="69"/>
      <c r="C64" s="69"/>
      <c r="D64" s="69"/>
      <c r="E64" s="69"/>
      <c r="F64" s="69"/>
      <c r="G64" s="69"/>
      <c r="H64" s="69"/>
      <c r="L64" s="66" t="s">
        <v>110</v>
      </c>
      <c r="M64" s="66"/>
      <c r="N64" s="66"/>
      <c r="O64" s="66"/>
      <c r="P64" s="66"/>
      <c r="Q64" s="66"/>
      <c r="R64" s="66"/>
    </row>
    <row r="65" spans="1:18" ht="12.75" customHeight="1">
      <c r="A65" s="69"/>
      <c r="B65" s="69"/>
      <c r="C65" s="69"/>
      <c r="D65" s="69"/>
      <c r="E65" s="69"/>
      <c r="F65" s="69"/>
      <c r="G65" s="69"/>
      <c r="H65" s="69"/>
      <c r="L65" s="66"/>
      <c r="M65" s="66"/>
      <c r="N65" s="66"/>
      <c r="O65" s="66"/>
      <c r="P65" s="66"/>
      <c r="Q65" s="66"/>
      <c r="R65" s="66"/>
    </row>
    <row r="66" spans="1:18" ht="12.75" customHeight="1">
      <c r="A66" s="69"/>
      <c r="B66" s="69"/>
      <c r="C66" s="69"/>
      <c r="D66" s="69"/>
      <c r="E66" s="69"/>
      <c r="F66" s="69"/>
      <c r="G66" s="69"/>
      <c r="H66" s="69"/>
      <c r="L66" s="66" t="s">
        <v>111</v>
      </c>
      <c r="M66" s="66" t="s">
        <v>112</v>
      </c>
      <c r="N66" s="66" t="s">
        <v>10</v>
      </c>
      <c r="O66" s="66" t="s">
        <v>114</v>
      </c>
      <c r="P66" s="66"/>
      <c r="Q66" s="66"/>
      <c r="R66" s="66"/>
    </row>
    <row r="67" spans="1:18" ht="12.75" customHeight="1">
      <c r="L67" s="66" t="s">
        <v>115</v>
      </c>
      <c r="M67" s="66" t="s">
        <v>119</v>
      </c>
      <c r="N67" s="66" t="s">
        <v>10</v>
      </c>
      <c r="O67" s="66" t="s">
        <v>114</v>
      </c>
      <c r="P67" s="66"/>
      <c r="Q67" s="66"/>
      <c r="R67" s="66"/>
    </row>
    <row r="68" spans="1:18" ht="9.75" customHeight="1">
      <c r="L68" s="66"/>
      <c r="M68" s="66"/>
      <c r="N68" s="66"/>
      <c r="O68" s="66"/>
      <c r="P68" s="66"/>
      <c r="Q68" s="66"/>
      <c r="R68" s="66"/>
    </row>
    <row r="69" spans="1:18" ht="12.75" customHeight="1">
      <c r="A69" s="3"/>
      <c r="B69" s="3"/>
      <c r="C69" s="3"/>
      <c r="D69" s="3"/>
      <c r="E69" s="3"/>
      <c r="F69" s="3"/>
      <c r="G69" s="3"/>
      <c r="H69" s="3"/>
      <c r="L69" s="66"/>
      <c r="M69" s="66" t="s">
        <v>147</v>
      </c>
      <c r="N69" s="66"/>
      <c r="O69" s="66"/>
      <c r="P69" s="66"/>
      <c r="Q69" s="66"/>
      <c r="R69" s="66"/>
    </row>
    <row r="70" spans="1:18" ht="12.75" customHeight="1">
      <c r="A70" s="3"/>
      <c r="B70" s="3"/>
      <c r="C70" s="3"/>
      <c r="D70" s="3"/>
      <c r="E70" s="3"/>
      <c r="F70" s="3" t="s">
        <v>178</v>
      </c>
      <c r="G70" s="3"/>
      <c r="H70" s="3"/>
      <c r="L70" s="66" t="s">
        <v>148</v>
      </c>
      <c r="M70" s="66"/>
      <c r="N70" s="66"/>
      <c r="O70" s="66"/>
      <c r="P70" s="66"/>
      <c r="Q70" s="66"/>
      <c r="R70" s="66"/>
    </row>
    <row r="71" spans="1:18" ht="10.5" customHeight="1">
      <c r="A71" s="3"/>
      <c r="B71" s="3"/>
      <c r="C71" s="3"/>
      <c r="D71" s="3"/>
      <c r="E71" s="3"/>
      <c r="F71" s="3"/>
      <c r="G71" s="72" t="s">
        <v>179</v>
      </c>
      <c r="H71" s="3"/>
      <c r="L71" s="66"/>
      <c r="M71" s="66"/>
      <c r="N71" s="66"/>
      <c r="O71" s="66"/>
      <c r="P71" s="66"/>
      <c r="Q71" s="66"/>
      <c r="R71" s="66"/>
    </row>
    <row r="72" spans="1:18" ht="12.75" customHeight="1">
      <c r="A72" s="3"/>
      <c r="B72" s="3"/>
      <c r="C72" s="3"/>
      <c r="D72" s="3"/>
      <c r="E72" s="3"/>
      <c r="F72" s="3"/>
      <c r="G72" s="38" t="s">
        <v>180</v>
      </c>
      <c r="H72" s="3"/>
      <c r="L72" s="66"/>
      <c r="M72" s="66"/>
      <c r="N72" s="66"/>
      <c r="O72" s="66"/>
      <c r="P72" s="66" t="s">
        <v>189</v>
      </c>
      <c r="Q72" s="66"/>
      <c r="R72" s="66"/>
    </row>
    <row r="73" spans="1:18" ht="12.75" customHeight="1">
      <c r="A73" s="69"/>
      <c r="B73" s="69"/>
      <c r="C73" s="69"/>
      <c r="D73" s="69"/>
      <c r="E73" s="69"/>
      <c r="F73" s="69"/>
      <c r="G73" s="69"/>
      <c r="H73" s="69"/>
      <c r="L73" s="66"/>
      <c r="M73" s="66"/>
      <c r="N73" s="66"/>
      <c r="O73" s="66"/>
      <c r="P73" s="66"/>
      <c r="Q73" s="66"/>
      <c r="R73" s="66"/>
    </row>
    <row r="74" spans="1:18" ht="12.75" customHeight="1">
      <c r="A74" s="69"/>
      <c r="B74" s="69" t="s">
        <v>101</v>
      </c>
      <c r="C74" s="69"/>
      <c r="D74" s="69" t="s">
        <v>10</v>
      </c>
      <c r="E74" s="69" t="s">
        <v>102</v>
      </c>
      <c r="F74" s="69"/>
      <c r="G74" s="69"/>
      <c r="H74" s="69"/>
      <c r="L74" s="66"/>
      <c r="M74" s="66"/>
      <c r="N74" s="66"/>
      <c r="O74" s="66"/>
      <c r="P74" s="66" t="s">
        <v>151</v>
      </c>
      <c r="Q74" s="66"/>
      <c r="R74" s="66"/>
    </row>
    <row r="75" spans="1:18" ht="12.75" customHeight="1">
      <c r="A75" s="69"/>
      <c r="B75" s="69" t="s">
        <v>103</v>
      </c>
      <c r="C75" s="69"/>
      <c r="D75" s="69" t="s">
        <v>10</v>
      </c>
      <c r="E75" s="69" t="s">
        <v>104</v>
      </c>
      <c r="F75" s="69"/>
      <c r="G75" s="69"/>
      <c r="H75" s="69"/>
      <c r="L75" s="66"/>
      <c r="M75" s="66"/>
      <c r="N75" s="66"/>
      <c r="O75" s="66"/>
      <c r="P75" s="66"/>
      <c r="Q75" s="66"/>
      <c r="R75" s="66"/>
    </row>
    <row r="76" spans="1:18" ht="12.75" customHeight="1">
      <c r="A76" s="69"/>
      <c r="B76" s="69" t="s">
        <v>105</v>
      </c>
      <c r="C76" s="69"/>
      <c r="D76" s="69" t="s">
        <v>10</v>
      </c>
      <c r="E76" s="69" t="s">
        <v>106</v>
      </c>
      <c r="F76" s="69"/>
      <c r="G76" s="69"/>
      <c r="H76" s="69"/>
      <c r="L76" s="66"/>
      <c r="M76" s="66"/>
      <c r="N76" s="66"/>
      <c r="O76" s="66"/>
      <c r="P76" s="66"/>
      <c r="Q76" s="66"/>
      <c r="R76" s="66"/>
    </row>
    <row r="77" spans="1:18" ht="12.75" customHeight="1">
      <c r="A77" s="69"/>
      <c r="B77" s="69"/>
      <c r="C77" s="69"/>
      <c r="D77" s="69"/>
      <c r="E77" s="69"/>
      <c r="F77" s="69"/>
      <c r="G77" s="69"/>
      <c r="H77" s="69"/>
      <c r="L77" s="66"/>
      <c r="M77" s="66"/>
      <c r="N77" s="66"/>
      <c r="O77" s="66"/>
      <c r="P77" s="66"/>
      <c r="Q77" s="66"/>
      <c r="R77" s="66"/>
    </row>
    <row r="78" spans="1:18" ht="12.75" customHeight="1">
      <c r="A78" s="69"/>
      <c r="B78" s="69"/>
      <c r="C78" s="69"/>
      <c r="D78" s="69"/>
      <c r="E78" s="69"/>
      <c r="F78" s="69"/>
      <c r="G78" s="69"/>
      <c r="H78" s="69"/>
      <c r="L78" s="66"/>
      <c r="M78" s="66"/>
      <c r="N78" s="66"/>
      <c r="O78" s="66"/>
      <c r="P78" s="66" t="s">
        <v>152</v>
      </c>
      <c r="Q78" s="66"/>
      <c r="R78" s="66"/>
    </row>
    <row r="79" spans="1:18" ht="12.75" customHeight="1">
      <c r="A79" s="69"/>
      <c r="B79" s="228" t="s">
        <v>190</v>
      </c>
      <c r="C79" s="194"/>
      <c r="D79" s="194"/>
      <c r="E79" s="194"/>
      <c r="F79" s="194"/>
      <c r="G79" s="194"/>
      <c r="H79" s="194"/>
    </row>
    <row r="80" spans="1:18" ht="12.75" customHeight="1">
      <c r="A80" s="69"/>
      <c r="B80" s="230" t="s">
        <v>181</v>
      </c>
      <c r="C80" s="194"/>
      <c r="D80" s="194"/>
      <c r="E80" s="194"/>
      <c r="F80" s="194"/>
      <c r="G80" s="194"/>
      <c r="H80" s="194"/>
    </row>
    <row r="81" spans="1:8" ht="12.75" customHeight="1">
      <c r="A81" s="69"/>
      <c r="B81" s="70"/>
      <c r="C81" s="70"/>
      <c r="D81" s="70"/>
      <c r="E81" s="70"/>
      <c r="F81" s="70"/>
      <c r="G81" s="70"/>
      <c r="H81" s="70"/>
    </row>
    <row r="82" spans="1:8" ht="12.75" customHeight="1">
      <c r="A82" s="69"/>
      <c r="B82" s="70" t="s">
        <v>110</v>
      </c>
      <c r="C82" s="70"/>
      <c r="D82" s="70"/>
      <c r="E82" s="70"/>
      <c r="F82" s="70"/>
      <c r="G82" s="70"/>
      <c r="H82" s="70"/>
    </row>
    <row r="83" spans="1:8" ht="12.75" customHeight="1">
      <c r="A83" s="69"/>
      <c r="B83" s="70"/>
      <c r="C83" s="70"/>
      <c r="D83" s="70"/>
      <c r="E83" s="70"/>
      <c r="F83" s="70"/>
      <c r="G83" s="70"/>
      <c r="H83" s="70"/>
    </row>
    <row r="84" spans="1:8" ht="12.75" customHeight="1">
      <c r="A84" s="69"/>
      <c r="B84" s="70" t="s">
        <v>111</v>
      </c>
      <c r="C84" s="70" t="s">
        <v>112</v>
      </c>
      <c r="D84" s="70" t="s">
        <v>10</v>
      </c>
      <c r="E84" s="70" t="s">
        <v>191</v>
      </c>
      <c r="F84" s="70"/>
      <c r="G84" s="70"/>
      <c r="H84" s="70"/>
    </row>
    <row r="85" spans="1:8" ht="12.75" customHeight="1">
      <c r="A85" s="69"/>
      <c r="B85" s="70" t="s">
        <v>115</v>
      </c>
      <c r="C85" s="70" t="s">
        <v>119</v>
      </c>
      <c r="D85" s="70" t="s">
        <v>10</v>
      </c>
      <c r="E85" s="70" t="s">
        <v>120</v>
      </c>
      <c r="F85" s="70"/>
      <c r="G85" s="70"/>
      <c r="H85" s="70"/>
    </row>
    <row r="86" spans="1:8" ht="12.75" customHeight="1">
      <c r="A86" s="69"/>
      <c r="B86" s="70" t="s">
        <v>118</v>
      </c>
      <c r="C86" s="70" t="s">
        <v>122</v>
      </c>
      <c r="D86" s="70" t="s">
        <v>10</v>
      </c>
      <c r="E86" s="70" t="s">
        <v>123</v>
      </c>
      <c r="F86" s="70"/>
      <c r="G86" s="70"/>
      <c r="H86" s="70"/>
    </row>
    <row r="87" spans="1:8" ht="12.75" customHeight="1">
      <c r="A87" s="69"/>
      <c r="B87" s="70" t="s">
        <v>121</v>
      </c>
      <c r="C87" s="70" t="s">
        <v>125</v>
      </c>
      <c r="D87" s="70" t="s">
        <v>10</v>
      </c>
      <c r="E87" s="70" t="s">
        <v>126</v>
      </c>
      <c r="F87" s="70"/>
      <c r="G87" s="70"/>
      <c r="H87" s="70"/>
    </row>
    <row r="88" spans="1:8" ht="12.75" customHeight="1">
      <c r="A88" s="69"/>
      <c r="B88" s="70" t="s">
        <v>124</v>
      </c>
      <c r="C88" s="70" t="s">
        <v>128</v>
      </c>
      <c r="D88" s="70" t="s">
        <v>10</v>
      </c>
      <c r="E88" s="70" t="s">
        <v>129</v>
      </c>
      <c r="F88" s="70"/>
      <c r="G88" s="70"/>
      <c r="H88" s="70"/>
    </row>
    <row r="89" spans="1:8" ht="12.75" customHeight="1">
      <c r="A89" s="69"/>
      <c r="B89" s="70" t="s">
        <v>127</v>
      </c>
      <c r="C89" s="70" t="s">
        <v>131</v>
      </c>
      <c r="D89" s="70" t="s">
        <v>10</v>
      </c>
      <c r="E89" s="70" t="s">
        <v>132</v>
      </c>
      <c r="F89" s="70"/>
      <c r="G89" s="70"/>
      <c r="H89" s="70"/>
    </row>
    <row r="90" spans="1:8" ht="12.75" customHeight="1">
      <c r="A90" s="69"/>
      <c r="B90" s="70"/>
      <c r="C90" s="69"/>
      <c r="D90" s="69"/>
      <c r="E90" s="69"/>
      <c r="F90" s="70"/>
      <c r="G90" s="70"/>
      <c r="H90" s="70"/>
    </row>
    <row r="91" spans="1:8" ht="12.75" customHeight="1">
      <c r="A91" s="69"/>
      <c r="B91" s="70" t="s">
        <v>182</v>
      </c>
      <c r="C91" s="70"/>
      <c r="D91" s="70"/>
      <c r="E91" s="70"/>
      <c r="F91" s="70"/>
      <c r="G91" s="70"/>
      <c r="H91" s="70"/>
    </row>
    <row r="92" spans="1:8" ht="12.75" customHeight="1">
      <c r="A92" s="69"/>
      <c r="B92" s="70" t="s">
        <v>111</v>
      </c>
      <c r="C92" s="70" t="s">
        <v>112</v>
      </c>
      <c r="D92" s="70" t="s">
        <v>10</v>
      </c>
      <c r="E92" s="70" t="s">
        <v>136</v>
      </c>
      <c r="F92" s="70"/>
      <c r="G92" s="70"/>
      <c r="H92" s="70"/>
    </row>
    <row r="93" spans="1:8" ht="12.75" customHeight="1">
      <c r="A93" s="69"/>
      <c r="B93" s="70" t="s">
        <v>115</v>
      </c>
      <c r="C93" s="70" t="s">
        <v>119</v>
      </c>
      <c r="D93" s="70" t="s">
        <v>10</v>
      </c>
      <c r="E93" s="70" t="s">
        <v>183</v>
      </c>
      <c r="F93" s="70"/>
      <c r="G93" s="70"/>
      <c r="H93" s="70"/>
    </row>
    <row r="94" spans="1:8" ht="12.75" customHeight="1">
      <c r="A94" s="69"/>
      <c r="B94" s="70" t="s">
        <v>118</v>
      </c>
      <c r="C94" s="70" t="s">
        <v>122</v>
      </c>
      <c r="D94" s="70" t="s">
        <v>10</v>
      </c>
      <c r="E94" s="70" t="s">
        <v>123</v>
      </c>
      <c r="F94" s="70"/>
      <c r="G94" s="70"/>
      <c r="H94" s="70"/>
    </row>
    <row r="95" spans="1:8" ht="12.75" customHeight="1">
      <c r="A95" s="69"/>
      <c r="B95" s="70" t="s">
        <v>121</v>
      </c>
      <c r="C95" s="70" t="s">
        <v>125</v>
      </c>
      <c r="D95" s="70" t="s">
        <v>10</v>
      </c>
      <c r="E95" s="70" t="s">
        <v>126</v>
      </c>
      <c r="F95" s="70"/>
      <c r="G95" s="70"/>
      <c r="H95" s="70"/>
    </row>
    <row r="96" spans="1:8" ht="12.75" customHeight="1">
      <c r="A96" s="69"/>
      <c r="B96" s="70" t="s">
        <v>124</v>
      </c>
      <c r="C96" s="70" t="s">
        <v>128</v>
      </c>
      <c r="D96" s="70" t="s">
        <v>10</v>
      </c>
      <c r="E96" s="70" t="s">
        <v>192</v>
      </c>
      <c r="F96" s="70"/>
      <c r="G96" s="70"/>
      <c r="H96" s="70"/>
    </row>
    <row r="97" spans="1:8" ht="12.75" customHeight="1">
      <c r="A97" s="69"/>
      <c r="B97" s="70" t="s">
        <v>127</v>
      </c>
      <c r="C97" s="70" t="s">
        <v>131</v>
      </c>
      <c r="D97" s="70" t="s">
        <v>10</v>
      </c>
      <c r="E97" s="70" t="s">
        <v>184</v>
      </c>
      <c r="F97" s="70"/>
      <c r="G97" s="70"/>
      <c r="H97" s="70"/>
    </row>
    <row r="98" spans="1:8" ht="12.75" customHeight="1">
      <c r="A98" s="69"/>
      <c r="B98" s="70"/>
      <c r="C98" s="70"/>
      <c r="D98" s="70"/>
      <c r="E98" s="70"/>
      <c r="F98" s="70"/>
      <c r="G98" s="70"/>
      <c r="H98" s="70"/>
    </row>
    <row r="99" spans="1:8" ht="12.75" customHeight="1">
      <c r="A99" s="69"/>
      <c r="B99" s="70" t="s">
        <v>185</v>
      </c>
      <c r="C99" s="70"/>
      <c r="D99" s="70"/>
      <c r="E99" s="70"/>
      <c r="F99" s="70"/>
      <c r="G99" s="70"/>
      <c r="H99" s="70"/>
    </row>
    <row r="100" spans="1:8" ht="12.75" customHeight="1">
      <c r="A100" s="69"/>
      <c r="B100" s="70" t="s">
        <v>111</v>
      </c>
      <c r="C100" s="70" t="s">
        <v>112</v>
      </c>
      <c r="D100" s="70" t="s">
        <v>10</v>
      </c>
      <c r="E100" s="70" t="s">
        <v>186</v>
      </c>
      <c r="F100" s="70"/>
      <c r="G100" s="70"/>
      <c r="H100" s="70"/>
    </row>
    <row r="101" spans="1:8" ht="12.75" customHeight="1">
      <c r="A101" s="69"/>
      <c r="B101" s="70" t="s">
        <v>115</v>
      </c>
      <c r="C101" s="70" t="s">
        <v>119</v>
      </c>
      <c r="D101" s="70" t="s">
        <v>10</v>
      </c>
      <c r="E101" s="70" t="s">
        <v>187</v>
      </c>
      <c r="F101" s="70"/>
      <c r="G101" s="70"/>
      <c r="H101" s="70"/>
    </row>
    <row r="102" spans="1:8" ht="12.75" customHeight="1">
      <c r="A102" s="69"/>
      <c r="B102" s="70" t="s">
        <v>118</v>
      </c>
      <c r="C102" s="70" t="s">
        <v>122</v>
      </c>
      <c r="D102" s="70" t="s">
        <v>10</v>
      </c>
      <c r="E102" s="70" t="s">
        <v>123</v>
      </c>
      <c r="F102" s="70"/>
      <c r="G102" s="70"/>
      <c r="H102" s="70"/>
    </row>
    <row r="103" spans="1:8" ht="12.75" customHeight="1">
      <c r="A103" s="69"/>
      <c r="B103" s="70" t="s">
        <v>121</v>
      </c>
      <c r="C103" s="70" t="s">
        <v>125</v>
      </c>
      <c r="D103" s="70" t="s">
        <v>10</v>
      </c>
      <c r="E103" s="70" t="s">
        <v>126</v>
      </c>
      <c r="F103" s="70"/>
      <c r="G103" s="70"/>
      <c r="H103" s="70"/>
    </row>
    <row r="104" spans="1:8" ht="12.75" customHeight="1">
      <c r="A104" s="69"/>
      <c r="B104" s="70" t="s">
        <v>124</v>
      </c>
      <c r="C104" s="70" t="s">
        <v>128</v>
      </c>
      <c r="D104" s="70" t="s">
        <v>10</v>
      </c>
      <c r="E104" s="70" t="s">
        <v>193</v>
      </c>
      <c r="F104" s="70"/>
      <c r="G104" s="70"/>
      <c r="H104" s="70"/>
    </row>
    <row r="105" spans="1:8" ht="12.75" customHeight="1">
      <c r="A105" s="69"/>
      <c r="B105" s="70" t="s">
        <v>127</v>
      </c>
      <c r="C105" s="70" t="s">
        <v>131</v>
      </c>
      <c r="D105" s="70" t="s">
        <v>10</v>
      </c>
      <c r="E105" s="70" t="s">
        <v>132</v>
      </c>
      <c r="F105" s="70"/>
      <c r="G105" s="70"/>
      <c r="H105" s="70"/>
    </row>
    <row r="106" spans="1:8" ht="12.75" customHeight="1">
      <c r="A106" s="69"/>
      <c r="B106" s="70"/>
      <c r="C106" s="70"/>
      <c r="D106" s="70"/>
      <c r="E106" s="70"/>
      <c r="F106" s="70"/>
      <c r="G106" s="70"/>
      <c r="H106" s="70"/>
    </row>
    <row r="107" spans="1:8" ht="12.75" customHeight="1">
      <c r="A107" s="69"/>
      <c r="B107" s="70"/>
      <c r="C107" s="70" t="s">
        <v>147</v>
      </c>
      <c r="D107" s="70"/>
      <c r="E107" s="70"/>
      <c r="F107" s="70"/>
      <c r="G107" s="70"/>
      <c r="H107" s="70"/>
    </row>
    <row r="108" spans="1:8" ht="12.75" customHeight="1">
      <c r="A108" s="69"/>
      <c r="B108" s="70" t="s">
        <v>148</v>
      </c>
      <c r="C108" s="70"/>
      <c r="D108" s="70"/>
      <c r="E108" s="70"/>
      <c r="F108" s="70"/>
      <c r="G108" s="70"/>
      <c r="H108" s="70"/>
    </row>
    <row r="109" spans="1:8" ht="12.75" customHeight="1">
      <c r="A109" s="69"/>
      <c r="B109" s="70"/>
      <c r="C109" s="70"/>
      <c r="D109" s="70"/>
      <c r="E109" s="70"/>
      <c r="F109" s="70"/>
      <c r="G109" s="70"/>
      <c r="H109" s="70"/>
    </row>
    <row r="110" spans="1:8" ht="12.75" customHeight="1">
      <c r="A110" s="69"/>
      <c r="B110" s="70"/>
      <c r="C110" s="70"/>
      <c r="D110" s="70"/>
      <c r="E110" s="70"/>
      <c r="F110" s="70" t="s">
        <v>188</v>
      </c>
      <c r="G110" s="70"/>
      <c r="H110" s="70"/>
    </row>
    <row r="111" spans="1:8" ht="12.75" customHeight="1">
      <c r="A111" s="69"/>
      <c r="B111" s="70"/>
      <c r="C111" s="70"/>
      <c r="D111" s="70"/>
      <c r="E111" s="70"/>
      <c r="F111" s="70"/>
      <c r="G111" s="70"/>
      <c r="H111" s="70"/>
    </row>
    <row r="112" spans="1:8" ht="12.75" customHeight="1">
      <c r="A112" s="69"/>
      <c r="B112" s="70"/>
      <c r="C112" s="70"/>
      <c r="D112" s="70"/>
      <c r="E112" s="70"/>
      <c r="F112" s="70" t="s">
        <v>151</v>
      </c>
      <c r="G112" s="70"/>
      <c r="H112" s="70"/>
    </row>
    <row r="113" spans="1:8" ht="12.75" customHeight="1">
      <c r="A113" s="69"/>
      <c r="B113" s="70"/>
      <c r="C113" s="70"/>
      <c r="D113" s="70"/>
      <c r="E113" s="70"/>
      <c r="F113" s="70"/>
      <c r="G113" s="70"/>
      <c r="H113" s="70"/>
    </row>
    <row r="114" spans="1:8" ht="12.75" customHeight="1">
      <c r="A114" s="69"/>
      <c r="B114" s="70"/>
      <c r="C114" s="70"/>
      <c r="D114" s="70"/>
      <c r="E114" s="70"/>
      <c r="F114" s="70"/>
      <c r="G114" s="70"/>
      <c r="H114" s="70"/>
    </row>
    <row r="115" spans="1:8" ht="12.75" customHeight="1">
      <c r="A115" s="69"/>
      <c r="B115" s="70"/>
      <c r="C115" s="70"/>
      <c r="D115" s="70"/>
      <c r="E115" s="70"/>
      <c r="F115" s="70"/>
      <c r="G115" s="70"/>
      <c r="H115" s="70"/>
    </row>
    <row r="116" spans="1:8" ht="12.75" customHeight="1">
      <c r="A116" s="69"/>
      <c r="B116" s="70"/>
      <c r="C116" s="70"/>
      <c r="D116" s="70"/>
      <c r="E116" s="70"/>
      <c r="F116" s="70" t="s">
        <v>152</v>
      </c>
      <c r="G116" s="70"/>
      <c r="H116" s="70"/>
    </row>
    <row r="117" spans="1:8" ht="12.75" customHeight="1">
      <c r="A117" s="69"/>
      <c r="B117" s="69"/>
      <c r="C117" s="69"/>
      <c r="D117" s="69"/>
      <c r="E117" s="69"/>
      <c r="F117" s="69"/>
      <c r="G117" s="69"/>
      <c r="H117" s="69"/>
    </row>
    <row r="118" spans="1:8" ht="12.75" customHeight="1">
      <c r="A118" s="69"/>
      <c r="B118" s="69"/>
      <c r="C118" s="69"/>
      <c r="D118" s="69"/>
      <c r="E118" s="69"/>
      <c r="F118" s="69"/>
      <c r="G118" s="69"/>
      <c r="H118" s="69"/>
    </row>
    <row r="119" spans="1:8" ht="12.75" customHeight="1">
      <c r="A119" s="69"/>
      <c r="B119" s="69"/>
      <c r="C119" s="69"/>
      <c r="D119" s="69"/>
      <c r="E119" s="69"/>
      <c r="F119" s="69"/>
      <c r="G119" s="69"/>
      <c r="H119" s="69"/>
    </row>
    <row r="120" spans="1:8" ht="12.75" customHeight="1">
      <c r="A120" s="69"/>
      <c r="B120" s="69"/>
      <c r="C120" s="69"/>
      <c r="D120" s="69"/>
      <c r="E120" s="69"/>
      <c r="F120" s="69"/>
      <c r="G120" s="69"/>
      <c r="H120" s="69"/>
    </row>
    <row r="121" spans="1:8" ht="12.75" customHeight="1">
      <c r="A121" s="69"/>
      <c r="B121" s="69"/>
      <c r="C121" s="69"/>
      <c r="D121" s="69"/>
      <c r="E121" s="69"/>
      <c r="F121" s="69"/>
      <c r="G121" s="69"/>
      <c r="H121" s="69"/>
    </row>
    <row r="122" spans="1:8" ht="12.75" customHeight="1">
      <c r="A122" s="69"/>
      <c r="B122" s="69"/>
      <c r="C122" s="69"/>
      <c r="D122" s="69"/>
      <c r="E122" s="69"/>
      <c r="F122" s="69"/>
      <c r="G122" s="69"/>
      <c r="H122" s="69"/>
    </row>
    <row r="123" spans="1:8" ht="12.75" customHeight="1">
      <c r="A123" s="69"/>
      <c r="B123" s="69"/>
      <c r="C123" s="69"/>
      <c r="D123" s="69"/>
      <c r="E123" s="69"/>
      <c r="F123" s="69"/>
      <c r="G123" s="69"/>
      <c r="H123" s="69"/>
    </row>
    <row r="124" spans="1:8" ht="12.75" customHeight="1"/>
    <row r="125" spans="1:8" ht="12.75" customHeight="1"/>
    <row r="126" spans="1:8" ht="12.75" customHeight="1"/>
    <row r="127" spans="1:8" ht="12.75" customHeight="1"/>
    <row r="128" spans="1: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8" ht="12.75" customHeight="1"/>
    <row r="146" spans="1:8" ht="12.75" customHeight="1"/>
    <row r="147" spans="1:8" ht="12.75" customHeight="1"/>
    <row r="148" spans="1:8" ht="12.75" customHeight="1"/>
    <row r="149" spans="1:8" ht="12.75" customHeight="1"/>
    <row r="150" spans="1:8" ht="12.75" customHeight="1">
      <c r="A150" s="3"/>
      <c r="B150" s="3"/>
      <c r="C150" s="3"/>
      <c r="D150" s="3"/>
      <c r="E150" s="3"/>
      <c r="F150" s="3"/>
      <c r="G150" s="3"/>
      <c r="H150" s="3"/>
    </row>
    <row r="151" spans="1:8" ht="12.75" customHeight="1">
      <c r="A151" s="3"/>
      <c r="B151" s="3"/>
      <c r="C151" s="3"/>
      <c r="D151" s="3"/>
      <c r="E151" s="3"/>
      <c r="F151" s="3" t="s">
        <v>178</v>
      </c>
      <c r="G151" s="3"/>
      <c r="H151" s="3"/>
    </row>
    <row r="152" spans="1:8" ht="12.75" customHeight="1">
      <c r="A152" s="3"/>
      <c r="B152" s="3"/>
      <c r="C152" s="3"/>
      <c r="D152" s="3"/>
      <c r="E152" s="3"/>
      <c r="F152" s="3"/>
      <c r="G152" s="72" t="s">
        <v>179</v>
      </c>
      <c r="H152" s="3"/>
    </row>
    <row r="153" spans="1:8" ht="12.75" customHeight="1">
      <c r="A153" s="3"/>
      <c r="B153" s="3"/>
      <c r="C153" s="3"/>
      <c r="D153" s="3"/>
      <c r="E153" s="3"/>
      <c r="F153" s="3"/>
      <c r="G153" s="38" t="s">
        <v>180</v>
      </c>
      <c r="H153" s="3"/>
    </row>
    <row r="154" spans="1:8" ht="12.75" customHeight="1">
      <c r="A154" s="3"/>
      <c r="B154" s="3"/>
      <c r="C154" s="3"/>
      <c r="D154" s="3"/>
      <c r="E154" s="3"/>
      <c r="F154" s="3"/>
      <c r="G154" s="3"/>
      <c r="H154" s="3"/>
    </row>
    <row r="155" spans="1:8" ht="12.75" customHeight="1">
      <c r="A155" s="3"/>
      <c r="B155" s="3" t="s">
        <v>101</v>
      </c>
      <c r="C155" s="3"/>
      <c r="D155" s="3" t="s">
        <v>10</v>
      </c>
      <c r="E155" s="3" t="s">
        <v>102</v>
      </c>
      <c r="F155" s="3"/>
      <c r="G155" s="3"/>
      <c r="H155" s="3"/>
    </row>
    <row r="156" spans="1:8" ht="12.75" customHeight="1">
      <c r="A156" s="3"/>
      <c r="B156" s="3" t="s">
        <v>103</v>
      </c>
      <c r="C156" s="3"/>
      <c r="D156" s="3" t="s">
        <v>10</v>
      </c>
      <c r="E156" s="3" t="s">
        <v>104</v>
      </c>
      <c r="F156" s="3"/>
      <c r="G156" s="3"/>
      <c r="H156" s="3"/>
    </row>
    <row r="157" spans="1:8" ht="12.75" customHeight="1">
      <c r="A157" s="3"/>
      <c r="B157" s="3" t="s">
        <v>105</v>
      </c>
      <c r="C157" s="3"/>
      <c r="D157" s="3" t="s">
        <v>10</v>
      </c>
      <c r="E157" s="3" t="s">
        <v>106</v>
      </c>
      <c r="F157" s="3"/>
      <c r="G157" s="3"/>
      <c r="H157" s="3"/>
    </row>
    <row r="158" spans="1:8" ht="12.75" customHeight="1">
      <c r="A158" s="3"/>
      <c r="B158" s="3"/>
      <c r="C158" s="3"/>
      <c r="D158" s="3"/>
      <c r="E158" s="3"/>
      <c r="F158" s="3"/>
      <c r="G158" s="3"/>
      <c r="H158" s="3"/>
    </row>
    <row r="159" spans="1:8" ht="12.75" customHeight="1">
      <c r="A159" s="3"/>
      <c r="B159" s="3"/>
      <c r="C159" s="3"/>
      <c r="D159" s="3"/>
      <c r="E159" s="3"/>
      <c r="F159" s="3"/>
      <c r="G159" s="3"/>
      <c r="H159" s="3"/>
    </row>
    <row r="160" spans="1:8" ht="12.75" customHeight="1">
      <c r="A160" s="3"/>
      <c r="B160" s="195" t="s">
        <v>190</v>
      </c>
      <c r="C160" s="194"/>
      <c r="D160" s="194"/>
      <c r="E160" s="194"/>
      <c r="F160" s="194"/>
      <c r="G160" s="194"/>
      <c r="H160" s="194"/>
    </row>
    <row r="161" spans="1:8" ht="12.75" customHeight="1">
      <c r="A161" s="3"/>
      <c r="B161" s="225" t="s">
        <v>194</v>
      </c>
      <c r="C161" s="194"/>
      <c r="D161" s="194"/>
      <c r="E161" s="194"/>
      <c r="F161" s="194"/>
      <c r="G161" s="194"/>
      <c r="H161" s="194"/>
    </row>
    <row r="162" spans="1:8" ht="12.75" customHeight="1">
      <c r="A162" s="3"/>
      <c r="B162" s="69"/>
      <c r="C162" s="69"/>
      <c r="D162" s="69"/>
      <c r="E162" s="69"/>
      <c r="F162" s="69"/>
      <c r="G162" s="69"/>
      <c r="H162" s="3"/>
    </row>
    <row r="163" spans="1:8" ht="12.75" customHeight="1">
      <c r="A163" s="3"/>
      <c r="B163" s="69" t="s">
        <v>110</v>
      </c>
      <c r="C163" s="69"/>
      <c r="D163" s="69"/>
      <c r="E163" s="69"/>
      <c r="F163" s="69"/>
      <c r="G163" s="69"/>
      <c r="H163" s="3"/>
    </row>
    <row r="164" spans="1:8" ht="12.75" customHeight="1">
      <c r="A164" s="3"/>
      <c r="B164" s="69"/>
      <c r="C164" s="69"/>
      <c r="D164" s="69"/>
      <c r="E164" s="69"/>
      <c r="F164" s="69"/>
      <c r="G164" s="69"/>
      <c r="H164" s="3"/>
    </row>
    <row r="165" spans="1:8" ht="12.75" customHeight="1">
      <c r="A165" s="3"/>
      <c r="B165" s="69" t="s">
        <v>111</v>
      </c>
      <c r="C165" s="69" t="s">
        <v>112</v>
      </c>
      <c r="D165" s="69" t="s">
        <v>10</v>
      </c>
      <c r="E165" s="69" t="s">
        <v>170</v>
      </c>
      <c r="F165" s="69"/>
      <c r="G165" s="69"/>
      <c r="H165" s="3"/>
    </row>
    <row r="166" spans="1:8" ht="12.75" customHeight="1">
      <c r="A166" s="3"/>
      <c r="B166" s="69" t="s">
        <v>115</v>
      </c>
      <c r="C166" s="69" t="s">
        <v>119</v>
      </c>
      <c r="D166" s="69" t="s">
        <v>10</v>
      </c>
      <c r="E166" s="69" t="s">
        <v>195</v>
      </c>
      <c r="F166" s="69"/>
      <c r="G166" s="69"/>
      <c r="H166" s="3"/>
    </row>
    <row r="167" spans="1:8" ht="12.75" customHeight="1">
      <c r="A167" s="3"/>
      <c r="B167" s="69" t="s">
        <v>118</v>
      </c>
      <c r="C167" s="69" t="s">
        <v>122</v>
      </c>
      <c r="D167" s="69" t="s">
        <v>10</v>
      </c>
      <c r="E167" s="69" t="s">
        <v>123</v>
      </c>
      <c r="F167" s="69"/>
      <c r="G167" s="69"/>
      <c r="H167" s="3"/>
    </row>
    <row r="168" spans="1:8" ht="12.75" customHeight="1">
      <c r="A168" s="3"/>
      <c r="B168" s="69" t="s">
        <v>121</v>
      </c>
      <c r="C168" s="69" t="s">
        <v>125</v>
      </c>
      <c r="D168" s="69" t="s">
        <v>10</v>
      </c>
      <c r="E168" s="69" t="s">
        <v>126</v>
      </c>
      <c r="F168" s="69"/>
      <c r="G168" s="69"/>
      <c r="H168" s="3"/>
    </row>
    <row r="169" spans="1:8" ht="12.75" customHeight="1">
      <c r="A169" s="3"/>
      <c r="B169" s="69" t="s">
        <v>124</v>
      </c>
      <c r="C169" s="69" t="s">
        <v>128</v>
      </c>
      <c r="D169" s="69" t="s">
        <v>10</v>
      </c>
      <c r="E169" s="69" t="s">
        <v>172</v>
      </c>
      <c r="F169" s="69"/>
      <c r="G169" s="69"/>
      <c r="H169" s="3"/>
    </row>
    <row r="170" spans="1:8" ht="12.75" customHeight="1">
      <c r="A170" s="3"/>
      <c r="B170" s="69" t="s">
        <v>127</v>
      </c>
      <c r="C170" s="69" t="s">
        <v>131</v>
      </c>
      <c r="D170" s="69" t="s">
        <v>10</v>
      </c>
      <c r="E170" s="69" t="s">
        <v>173</v>
      </c>
      <c r="F170" s="69"/>
      <c r="G170" s="69"/>
      <c r="H170" s="3"/>
    </row>
    <row r="171" spans="1:8" ht="12.75" customHeight="1">
      <c r="A171" s="3"/>
      <c r="B171" s="69"/>
      <c r="C171" s="69"/>
      <c r="D171" s="69"/>
      <c r="E171" s="69"/>
      <c r="F171" s="69"/>
      <c r="G171" s="69"/>
      <c r="H171" s="3"/>
    </row>
    <row r="172" spans="1:8" ht="12.75" customHeight="1">
      <c r="A172" s="3"/>
      <c r="B172" s="69" t="s">
        <v>182</v>
      </c>
      <c r="C172" s="69"/>
      <c r="D172" s="69"/>
      <c r="E172" s="69"/>
      <c r="F172" s="69"/>
      <c r="G172" s="69"/>
      <c r="H172" s="3"/>
    </row>
    <row r="173" spans="1:8" ht="12.75" customHeight="1">
      <c r="A173" s="3"/>
      <c r="B173" s="69" t="s">
        <v>111</v>
      </c>
      <c r="C173" s="69" t="s">
        <v>112</v>
      </c>
      <c r="D173" s="69" t="s">
        <v>10</v>
      </c>
      <c r="E173" s="69" t="s">
        <v>196</v>
      </c>
      <c r="F173" s="69"/>
      <c r="G173" s="69"/>
      <c r="H173" s="3"/>
    </row>
    <row r="174" spans="1:8" ht="12.75" customHeight="1">
      <c r="A174" s="3"/>
      <c r="B174" s="69" t="s">
        <v>115</v>
      </c>
      <c r="C174" s="69" t="s">
        <v>119</v>
      </c>
      <c r="D174" s="69" t="s">
        <v>10</v>
      </c>
      <c r="E174" s="69" t="s">
        <v>197</v>
      </c>
      <c r="F174" s="69"/>
      <c r="G174" s="69"/>
      <c r="H174" s="3"/>
    </row>
    <row r="175" spans="1:8" ht="12.75" customHeight="1">
      <c r="A175" s="3"/>
      <c r="B175" s="69" t="s">
        <v>118</v>
      </c>
      <c r="C175" s="69" t="s">
        <v>122</v>
      </c>
      <c r="D175" s="69" t="s">
        <v>10</v>
      </c>
      <c r="E175" s="69" t="s">
        <v>123</v>
      </c>
      <c r="F175" s="69"/>
      <c r="G175" s="69"/>
      <c r="H175" s="3"/>
    </row>
    <row r="176" spans="1:8" ht="12.75" customHeight="1">
      <c r="A176" s="3"/>
      <c r="B176" s="69" t="s">
        <v>121</v>
      </c>
      <c r="C176" s="69" t="s">
        <v>125</v>
      </c>
      <c r="D176" s="69" t="s">
        <v>10</v>
      </c>
      <c r="E176" s="69" t="s">
        <v>126</v>
      </c>
      <c r="F176" s="69"/>
      <c r="G176" s="69"/>
      <c r="H176" s="3"/>
    </row>
    <row r="177" spans="1:8" ht="12.75" customHeight="1">
      <c r="A177" s="3"/>
      <c r="B177" s="69" t="s">
        <v>124</v>
      </c>
      <c r="C177" s="69" t="s">
        <v>128</v>
      </c>
      <c r="D177" s="69" t="s">
        <v>10</v>
      </c>
      <c r="E177" s="69" t="s">
        <v>198</v>
      </c>
      <c r="F177" s="69"/>
      <c r="G177" s="69"/>
      <c r="H177" s="3"/>
    </row>
    <row r="178" spans="1:8" ht="12.75" customHeight="1">
      <c r="A178" s="3"/>
      <c r="B178" s="69" t="s">
        <v>127</v>
      </c>
      <c r="C178" s="69" t="s">
        <v>131</v>
      </c>
      <c r="D178" s="69" t="s">
        <v>10</v>
      </c>
      <c r="E178" s="69" t="s">
        <v>173</v>
      </c>
      <c r="F178" s="69"/>
      <c r="G178" s="69"/>
      <c r="H178" s="3"/>
    </row>
    <row r="179" spans="1:8" ht="12.75" customHeight="1">
      <c r="A179" s="3"/>
      <c r="B179" s="69"/>
      <c r="C179" s="69"/>
      <c r="D179" s="69"/>
      <c r="E179" s="69"/>
      <c r="F179" s="69"/>
      <c r="G179" s="69"/>
      <c r="H179" s="3"/>
    </row>
    <row r="180" spans="1:8" ht="12.75" customHeight="1">
      <c r="A180" s="3"/>
      <c r="B180" s="69" t="s">
        <v>185</v>
      </c>
      <c r="C180" s="69"/>
      <c r="D180" s="69"/>
      <c r="E180" s="69"/>
      <c r="F180" s="69"/>
      <c r="G180" s="69"/>
      <c r="H180" s="3"/>
    </row>
    <row r="181" spans="1:8" ht="12.75" customHeight="1">
      <c r="A181" s="3"/>
      <c r="B181" s="69" t="s">
        <v>111</v>
      </c>
      <c r="C181" s="69" t="s">
        <v>112</v>
      </c>
      <c r="D181" s="69" t="s">
        <v>10</v>
      </c>
      <c r="E181" s="69" t="s">
        <v>199</v>
      </c>
      <c r="F181" s="69"/>
      <c r="G181" s="69"/>
      <c r="H181" s="3"/>
    </row>
    <row r="182" spans="1:8" ht="12.75" customHeight="1">
      <c r="A182" s="3"/>
      <c r="B182" s="69" t="s">
        <v>115</v>
      </c>
      <c r="C182" s="69" t="s">
        <v>119</v>
      </c>
      <c r="D182" s="69" t="s">
        <v>10</v>
      </c>
      <c r="E182" s="69" t="s">
        <v>200</v>
      </c>
      <c r="F182" s="69"/>
      <c r="G182" s="69"/>
      <c r="H182" s="3"/>
    </row>
    <row r="183" spans="1:8" ht="12.75" customHeight="1">
      <c r="A183" s="3"/>
      <c r="B183" s="69" t="s">
        <v>118</v>
      </c>
      <c r="C183" s="69" t="s">
        <v>122</v>
      </c>
      <c r="D183" s="69" t="s">
        <v>10</v>
      </c>
      <c r="E183" s="69" t="s">
        <v>123</v>
      </c>
      <c r="F183" s="69"/>
      <c r="G183" s="69"/>
      <c r="H183" s="3"/>
    </row>
    <row r="184" spans="1:8" ht="12.75" customHeight="1">
      <c r="A184" s="3"/>
      <c r="B184" s="69" t="s">
        <v>121</v>
      </c>
      <c r="C184" s="69" t="s">
        <v>125</v>
      </c>
      <c r="D184" s="69" t="s">
        <v>10</v>
      </c>
      <c r="E184" s="69" t="s">
        <v>126</v>
      </c>
      <c r="F184" s="69"/>
      <c r="G184" s="69"/>
      <c r="H184" s="3"/>
    </row>
    <row r="185" spans="1:8" ht="12.75" customHeight="1">
      <c r="A185" s="3"/>
      <c r="B185" s="69" t="s">
        <v>124</v>
      </c>
      <c r="C185" s="69" t="s">
        <v>128</v>
      </c>
      <c r="D185" s="69" t="s">
        <v>10</v>
      </c>
      <c r="E185" s="69" t="s">
        <v>193</v>
      </c>
      <c r="F185" s="69"/>
      <c r="G185" s="69"/>
      <c r="H185" s="3"/>
    </row>
    <row r="186" spans="1:8" ht="12.75" customHeight="1">
      <c r="A186" s="3"/>
      <c r="B186" s="69" t="s">
        <v>127</v>
      </c>
      <c r="C186" s="69" t="s">
        <v>131</v>
      </c>
      <c r="D186" s="69" t="s">
        <v>10</v>
      </c>
      <c r="E186" s="69" t="s">
        <v>173</v>
      </c>
      <c r="F186" s="69"/>
      <c r="G186" s="69"/>
      <c r="H186" s="3"/>
    </row>
    <row r="187" spans="1:8" ht="12.75" customHeight="1">
      <c r="A187" s="3"/>
      <c r="B187" s="69"/>
      <c r="C187" s="69"/>
      <c r="D187" s="69"/>
      <c r="E187" s="69"/>
      <c r="F187" s="69"/>
      <c r="G187" s="69"/>
      <c r="H187" s="3"/>
    </row>
    <row r="188" spans="1:8" ht="12.75" customHeight="1">
      <c r="A188" s="3"/>
      <c r="B188" s="69"/>
      <c r="C188" s="69" t="s">
        <v>147</v>
      </c>
      <c r="D188" s="69"/>
      <c r="E188" s="69"/>
      <c r="F188" s="69"/>
      <c r="G188" s="69"/>
      <c r="H188" s="3"/>
    </row>
    <row r="189" spans="1:8" ht="12.75" customHeight="1">
      <c r="A189" s="3"/>
      <c r="B189" s="69" t="s">
        <v>148</v>
      </c>
      <c r="C189" s="69"/>
      <c r="D189" s="69"/>
      <c r="E189" s="69"/>
      <c r="F189" s="69"/>
      <c r="G189" s="69"/>
      <c r="H189" s="3"/>
    </row>
    <row r="190" spans="1:8" ht="12.75" customHeight="1">
      <c r="A190" s="3"/>
      <c r="B190" s="69"/>
      <c r="C190" s="69"/>
      <c r="D190" s="69"/>
      <c r="E190" s="69"/>
      <c r="F190" s="69"/>
      <c r="G190" s="69"/>
      <c r="H190" s="3"/>
    </row>
    <row r="191" spans="1:8" ht="12.75" customHeight="1">
      <c r="A191" s="3"/>
      <c r="B191" s="69"/>
      <c r="C191" s="69"/>
      <c r="D191" s="69"/>
      <c r="E191" s="69"/>
      <c r="F191" s="69" t="s">
        <v>201</v>
      </c>
      <c r="G191" s="69"/>
      <c r="H191" s="3"/>
    </row>
    <row r="192" spans="1:8" ht="12.75" customHeight="1">
      <c r="A192" s="3"/>
      <c r="B192" s="69"/>
      <c r="C192" s="69"/>
      <c r="D192" s="69"/>
      <c r="E192" s="69"/>
      <c r="F192" s="69"/>
      <c r="G192" s="69"/>
      <c r="H192" s="3"/>
    </row>
    <row r="193" spans="1:8" ht="12.75" customHeight="1">
      <c r="A193" s="3"/>
      <c r="B193" s="69"/>
      <c r="C193" s="69"/>
      <c r="D193" s="69"/>
      <c r="E193" s="69"/>
      <c r="F193" s="69" t="s">
        <v>151</v>
      </c>
      <c r="G193" s="69"/>
      <c r="H193" s="3"/>
    </row>
    <row r="194" spans="1:8" ht="12.75" customHeight="1">
      <c r="A194" s="3"/>
      <c r="B194" s="69"/>
      <c r="C194" s="69"/>
      <c r="D194" s="69"/>
      <c r="E194" s="69"/>
      <c r="F194" s="69"/>
      <c r="G194" s="69"/>
      <c r="H194" s="3"/>
    </row>
    <row r="195" spans="1:8" ht="12.75" customHeight="1">
      <c r="A195" s="3"/>
      <c r="B195" s="69"/>
      <c r="C195" s="69"/>
      <c r="D195" s="69"/>
      <c r="E195" s="69"/>
      <c r="F195" s="69"/>
      <c r="G195" s="69"/>
      <c r="H195" s="3"/>
    </row>
    <row r="196" spans="1:8" ht="12.75" customHeight="1">
      <c r="A196" s="3"/>
      <c r="B196" s="69"/>
      <c r="C196" s="69"/>
      <c r="D196" s="69"/>
      <c r="E196" s="69"/>
      <c r="F196" s="69"/>
      <c r="G196" s="69"/>
      <c r="H196" s="3"/>
    </row>
    <row r="197" spans="1:8" ht="12.75" customHeight="1">
      <c r="A197" s="3"/>
      <c r="B197" s="69"/>
      <c r="C197" s="69"/>
      <c r="D197" s="69"/>
      <c r="E197" s="69"/>
      <c r="F197" s="69" t="s">
        <v>152</v>
      </c>
      <c r="G197" s="69"/>
      <c r="H197" s="3"/>
    </row>
    <row r="198" spans="1:8" ht="12.75" customHeight="1">
      <c r="A198" s="3"/>
      <c r="B198" s="69"/>
      <c r="C198" s="69"/>
      <c r="D198" s="69"/>
      <c r="E198" s="69"/>
      <c r="F198" s="69"/>
      <c r="G198" s="69"/>
      <c r="H198" s="3"/>
    </row>
    <row r="199" spans="1:8" ht="12.75" customHeight="1">
      <c r="A199" s="3"/>
      <c r="B199" s="69"/>
      <c r="C199" s="69"/>
      <c r="D199" s="69"/>
      <c r="E199" s="69"/>
      <c r="F199" s="69"/>
      <c r="G199" s="69"/>
      <c r="H199" s="3"/>
    </row>
    <row r="200" spans="1:8" ht="12.75" customHeight="1"/>
    <row r="201" spans="1:8" ht="12.75" customHeight="1"/>
    <row r="202" spans="1:8" ht="12.75" customHeight="1"/>
    <row r="203" spans="1:8" ht="12.75" customHeight="1"/>
    <row r="204" spans="1:8" ht="12.75" customHeight="1"/>
    <row r="205" spans="1:8" ht="12.75" customHeight="1"/>
    <row r="206" spans="1:8" ht="12.75" customHeight="1"/>
    <row r="207" spans="1:8" ht="12.75" customHeight="1"/>
    <row r="208" spans="1: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B80:H80"/>
    <mergeCell ref="B160:H160"/>
    <mergeCell ref="B161:H161"/>
    <mergeCell ref="B11:H11"/>
    <mergeCell ref="L11:R11"/>
    <mergeCell ref="B12:H12"/>
    <mergeCell ref="L12:R12"/>
    <mergeCell ref="L61:R61"/>
    <mergeCell ref="L62:R62"/>
    <mergeCell ref="B79:H79"/>
  </mergeCells>
  <pageMargins left="0.51181102362204722" right="0.11811023622047245" top="0.55118110236220474" bottom="0.35433070866141736" header="0" footer="0"/>
  <pageSetup paperSize="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000"/>
  <sheetViews>
    <sheetView workbookViewId="0"/>
  </sheetViews>
  <sheetFormatPr defaultColWidth="12.5703125" defaultRowHeight="15" customHeight="1"/>
  <cols>
    <col min="1" max="1" width="3" customWidth="1"/>
    <col min="2" max="2" width="5.7109375" customWidth="1"/>
    <col min="3" max="3" width="3.140625" customWidth="1"/>
    <col min="4" max="4" width="25.28515625" customWidth="1"/>
    <col min="5" max="5" width="2" customWidth="1"/>
    <col min="6" max="6" width="20" customWidth="1"/>
    <col min="7" max="7" width="8.85546875" customWidth="1"/>
    <col min="8" max="8" width="12.7109375" customWidth="1"/>
    <col min="9" max="9" width="8.5703125" customWidth="1"/>
    <col min="10" max="10" width="13.85546875" customWidth="1"/>
    <col min="11" max="11" width="7.42578125" customWidth="1"/>
    <col min="12" max="12" width="12.140625" customWidth="1"/>
    <col min="13" max="13" width="5.140625" customWidth="1"/>
    <col min="14" max="14" width="2.85546875" customWidth="1"/>
    <col min="15" max="15" width="20.85546875" customWidth="1"/>
    <col min="16" max="16" width="2.42578125" customWidth="1"/>
    <col min="17" max="26" width="8.5703125" customWidth="1"/>
  </cols>
  <sheetData>
    <row r="1" spans="2:20" ht="12.75" customHeight="1"/>
    <row r="2" spans="2:20" ht="12.75" customHeight="1">
      <c r="C2" s="66"/>
      <c r="D2" s="66"/>
      <c r="E2" s="66"/>
      <c r="F2" s="66"/>
      <c r="G2" s="66" t="s">
        <v>178</v>
      </c>
      <c r="H2" s="66"/>
      <c r="I2" s="66"/>
      <c r="N2" s="66"/>
      <c r="O2" s="66"/>
      <c r="P2" s="66"/>
      <c r="Q2" s="66"/>
      <c r="R2" s="66" t="s">
        <v>178</v>
      </c>
      <c r="S2" s="66"/>
      <c r="T2" s="66"/>
    </row>
    <row r="3" spans="2:20" ht="12.75" customHeight="1">
      <c r="C3" s="66"/>
      <c r="D3" s="66"/>
      <c r="E3" s="66"/>
      <c r="F3" s="66"/>
      <c r="G3" s="66"/>
      <c r="H3" s="67" t="s">
        <v>202</v>
      </c>
      <c r="I3" s="66"/>
      <c r="N3" s="66"/>
      <c r="O3" s="66"/>
      <c r="P3" s="66"/>
      <c r="Q3" s="66"/>
      <c r="R3" s="66"/>
      <c r="S3" s="67" t="s">
        <v>202</v>
      </c>
      <c r="T3" s="66"/>
    </row>
    <row r="4" spans="2:20" ht="12.75" customHeight="1">
      <c r="C4" s="66"/>
      <c r="D4" s="66"/>
      <c r="E4" s="66"/>
      <c r="F4" s="66"/>
      <c r="G4" s="66"/>
      <c r="H4" s="68" t="s">
        <v>203</v>
      </c>
      <c r="I4" s="66"/>
      <c r="N4" s="66"/>
      <c r="O4" s="66"/>
      <c r="P4" s="66"/>
      <c r="Q4" s="66"/>
      <c r="R4" s="66"/>
      <c r="S4" s="68" t="s">
        <v>203</v>
      </c>
      <c r="T4" s="66"/>
    </row>
    <row r="5" spans="2:20" ht="12.75" customHeight="1">
      <c r="C5" s="66"/>
      <c r="D5" s="66"/>
      <c r="E5" s="66"/>
      <c r="F5" s="66"/>
      <c r="G5" s="66"/>
      <c r="H5" s="66"/>
      <c r="I5" s="66"/>
      <c r="N5" s="66"/>
      <c r="O5" s="66"/>
      <c r="P5" s="66"/>
      <c r="Q5" s="66"/>
      <c r="R5" s="66"/>
      <c r="S5" s="66"/>
      <c r="T5" s="66"/>
    </row>
    <row r="6" spans="2:20" ht="12.75" customHeight="1">
      <c r="C6" s="228" t="s">
        <v>204</v>
      </c>
      <c r="D6" s="194"/>
      <c r="E6" s="194"/>
      <c r="F6" s="194"/>
      <c r="G6" s="194"/>
      <c r="H6" s="194"/>
      <c r="I6" s="194"/>
      <c r="N6" s="228" t="s">
        <v>204</v>
      </c>
      <c r="O6" s="194"/>
      <c r="P6" s="194"/>
      <c r="Q6" s="194"/>
      <c r="R6" s="194"/>
      <c r="S6" s="194"/>
      <c r="T6" s="194"/>
    </row>
    <row r="7" spans="2:20" ht="12.75" customHeight="1">
      <c r="C7" s="225"/>
      <c r="D7" s="194"/>
      <c r="E7" s="194"/>
      <c r="F7" s="194"/>
      <c r="G7" s="194"/>
      <c r="H7" s="194"/>
      <c r="I7" s="194"/>
      <c r="N7" s="225"/>
      <c r="O7" s="194"/>
      <c r="P7" s="194"/>
      <c r="Q7" s="194"/>
      <c r="R7" s="194"/>
      <c r="S7" s="194"/>
      <c r="T7" s="194"/>
    </row>
    <row r="8" spans="2:20" ht="12.75" customHeight="1">
      <c r="B8" s="69"/>
      <c r="C8" s="69"/>
      <c r="D8" s="69"/>
      <c r="E8" s="69"/>
      <c r="F8" s="69"/>
      <c r="G8" s="69"/>
      <c r="H8" s="69"/>
      <c r="I8" s="66"/>
      <c r="N8" s="66"/>
      <c r="O8" s="66"/>
      <c r="P8" s="66"/>
      <c r="Q8" s="66"/>
      <c r="R8" s="66"/>
      <c r="S8" s="66"/>
      <c r="T8" s="66"/>
    </row>
    <row r="9" spans="2:20" ht="12.75" customHeight="1">
      <c r="B9" s="69" t="s">
        <v>205</v>
      </c>
      <c r="C9" s="69"/>
      <c r="D9" s="69"/>
      <c r="E9" s="69"/>
      <c r="F9" s="69"/>
      <c r="G9" s="69"/>
      <c r="H9" s="69"/>
      <c r="I9" s="66"/>
      <c r="M9" s="66" t="s">
        <v>205</v>
      </c>
      <c r="O9" s="66"/>
      <c r="P9" s="66"/>
      <c r="Q9" s="66"/>
      <c r="R9" s="66"/>
      <c r="S9" s="66"/>
      <c r="T9" s="66"/>
    </row>
    <row r="10" spans="2:20" ht="12.75" customHeight="1">
      <c r="B10" s="69" t="s">
        <v>206</v>
      </c>
      <c r="C10" s="69" t="s">
        <v>207</v>
      </c>
      <c r="D10" s="69"/>
      <c r="E10" s="69"/>
      <c r="F10" s="69"/>
      <c r="G10" s="69"/>
      <c r="H10" s="69"/>
      <c r="I10" s="66"/>
      <c r="M10" s="3" t="s">
        <v>206</v>
      </c>
      <c r="N10" s="66" t="s">
        <v>207</v>
      </c>
      <c r="O10" s="66"/>
      <c r="P10" s="66"/>
      <c r="Q10" s="66"/>
      <c r="R10" s="66"/>
      <c r="S10" s="66"/>
      <c r="T10" s="66"/>
    </row>
    <row r="11" spans="2:20" ht="12.75" customHeight="1">
      <c r="B11" s="69"/>
      <c r="C11" s="69" t="s">
        <v>111</v>
      </c>
      <c r="D11" s="69" t="s">
        <v>112</v>
      </c>
      <c r="E11" s="69" t="s">
        <v>10</v>
      </c>
      <c r="F11" s="69" t="s">
        <v>191</v>
      </c>
      <c r="G11" s="69"/>
      <c r="H11" s="69"/>
      <c r="I11" s="66"/>
      <c r="N11" s="66" t="s">
        <v>111</v>
      </c>
      <c r="O11" s="66" t="s">
        <v>112</v>
      </c>
      <c r="P11" s="66" t="s">
        <v>10</v>
      </c>
      <c r="Q11" s="66" t="s">
        <v>114</v>
      </c>
      <c r="R11" s="66"/>
      <c r="S11" s="66"/>
      <c r="T11" s="66"/>
    </row>
    <row r="12" spans="2:20" ht="12.75" customHeight="1">
      <c r="B12" s="69"/>
      <c r="C12" s="69" t="s">
        <v>115</v>
      </c>
      <c r="D12" s="69" t="s">
        <v>208</v>
      </c>
      <c r="E12" s="69"/>
      <c r="F12" s="69" t="s">
        <v>136</v>
      </c>
      <c r="G12" s="69"/>
      <c r="H12" s="69"/>
      <c r="I12" s="66"/>
      <c r="N12" s="66" t="s">
        <v>115</v>
      </c>
      <c r="O12" s="66" t="s">
        <v>208</v>
      </c>
      <c r="P12" s="66"/>
      <c r="Q12" s="66"/>
      <c r="R12" s="66"/>
      <c r="S12" s="66"/>
      <c r="T12" s="66"/>
    </row>
    <row r="13" spans="2:20" ht="12.75" customHeight="1">
      <c r="B13" s="69"/>
      <c r="C13" s="69" t="s">
        <v>118</v>
      </c>
      <c r="D13" s="69" t="s">
        <v>119</v>
      </c>
      <c r="E13" s="69" t="s">
        <v>10</v>
      </c>
      <c r="F13" s="69" t="s">
        <v>120</v>
      </c>
      <c r="G13" s="69"/>
      <c r="H13" s="69"/>
      <c r="I13" s="66"/>
      <c r="N13" s="66" t="s">
        <v>118</v>
      </c>
      <c r="O13" s="66" t="s">
        <v>119</v>
      </c>
      <c r="P13" s="66" t="s">
        <v>10</v>
      </c>
      <c r="Q13" s="66" t="s">
        <v>114</v>
      </c>
      <c r="R13" s="66"/>
      <c r="S13" s="66"/>
      <c r="T13" s="66"/>
    </row>
    <row r="14" spans="2:20" ht="12.75" customHeight="1">
      <c r="B14" s="69"/>
      <c r="C14" s="69" t="s">
        <v>121</v>
      </c>
      <c r="D14" s="69" t="s">
        <v>122</v>
      </c>
      <c r="E14" s="69" t="s">
        <v>10</v>
      </c>
      <c r="F14" s="69" t="s">
        <v>123</v>
      </c>
      <c r="G14" s="69"/>
      <c r="H14" s="69"/>
      <c r="I14" s="66"/>
      <c r="N14" s="66" t="s">
        <v>121</v>
      </c>
      <c r="O14" s="66" t="s">
        <v>122</v>
      </c>
      <c r="P14" s="66" t="s">
        <v>10</v>
      </c>
      <c r="Q14" s="66" t="s">
        <v>123</v>
      </c>
      <c r="R14" s="66"/>
      <c r="S14" s="66"/>
      <c r="T14" s="66"/>
    </row>
    <row r="15" spans="2:20" ht="12.75" customHeight="1">
      <c r="B15" s="69"/>
      <c r="C15" s="69" t="s">
        <v>124</v>
      </c>
      <c r="D15" s="69" t="s">
        <v>125</v>
      </c>
      <c r="E15" s="69" t="s">
        <v>10</v>
      </c>
      <c r="F15" s="69" t="s">
        <v>126</v>
      </c>
      <c r="G15" s="69"/>
      <c r="H15" s="69"/>
      <c r="I15" s="66"/>
      <c r="N15" s="66" t="s">
        <v>124</v>
      </c>
      <c r="O15" s="66" t="s">
        <v>125</v>
      </c>
      <c r="P15" s="66" t="s">
        <v>10</v>
      </c>
      <c r="Q15" s="66" t="s">
        <v>126</v>
      </c>
      <c r="R15" s="66"/>
      <c r="S15" s="66"/>
      <c r="T15" s="66"/>
    </row>
    <row r="16" spans="2:20" ht="12.75" customHeight="1">
      <c r="B16" s="69"/>
      <c r="C16" s="69" t="s">
        <v>127</v>
      </c>
      <c r="D16" s="69" t="s">
        <v>128</v>
      </c>
      <c r="E16" s="69" t="s">
        <v>10</v>
      </c>
      <c r="F16" s="69" t="s">
        <v>129</v>
      </c>
      <c r="G16" s="69"/>
      <c r="H16" s="69"/>
      <c r="I16" s="66"/>
      <c r="N16" s="66" t="s">
        <v>127</v>
      </c>
      <c r="O16" s="66" t="s">
        <v>128</v>
      </c>
      <c r="P16" s="66" t="s">
        <v>10</v>
      </c>
      <c r="Q16" s="66" t="s">
        <v>114</v>
      </c>
      <c r="R16" s="66"/>
      <c r="S16" s="66"/>
      <c r="T16" s="66"/>
    </row>
    <row r="17" spans="2:20" ht="12.75" customHeight="1">
      <c r="B17" s="69"/>
      <c r="C17" s="69" t="s">
        <v>130</v>
      </c>
      <c r="D17" s="69" t="s">
        <v>131</v>
      </c>
      <c r="E17" s="69" t="s">
        <v>10</v>
      </c>
      <c r="F17" s="69" t="s">
        <v>209</v>
      </c>
      <c r="G17" s="69"/>
      <c r="H17" s="69"/>
      <c r="I17" s="66"/>
      <c r="N17" s="66" t="s">
        <v>130</v>
      </c>
      <c r="O17" s="66" t="s">
        <v>131</v>
      </c>
      <c r="P17" s="66" t="s">
        <v>10</v>
      </c>
      <c r="Q17" s="66" t="s">
        <v>133</v>
      </c>
      <c r="R17" s="66"/>
      <c r="S17" s="66"/>
      <c r="T17" s="66"/>
    </row>
    <row r="18" spans="2:20" ht="12.75" customHeight="1">
      <c r="B18" s="69"/>
      <c r="C18" s="69"/>
      <c r="D18" s="69"/>
      <c r="E18" s="69"/>
      <c r="F18" s="69"/>
      <c r="G18" s="69"/>
      <c r="H18" s="69"/>
      <c r="I18" s="66"/>
      <c r="N18" s="66"/>
      <c r="R18" s="66"/>
      <c r="S18" s="66"/>
      <c r="T18" s="66"/>
    </row>
    <row r="19" spans="2:20" ht="12.75" customHeight="1">
      <c r="B19" s="69" t="s">
        <v>206</v>
      </c>
      <c r="C19" s="69" t="s">
        <v>210</v>
      </c>
      <c r="D19" s="69"/>
      <c r="E19" s="69"/>
      <c r="F19" s="69"/>
      <c r="G19" s="69"/>
      <c r="H19" s="69"/>
      <c r="I19" s="66"/>
      <c r="M19" s="3" t="s">
        <v>206</v>
      </c>
      <c r="N19" s="66" t="s">
        <v>210</v>
      </c>
      <c r="O19" s="66"/>
      <c r="P19" s="66"/>
      <c r="Q19" s="66"/>
      <c r="R19" s="66"/>
      <c r="S19" s="66"/>
      <c r="T19" s="66"/>
    </row>
    <row r="20" spans="2:20" ht="12.75" customHeight="1">
      <c r="B20" s="69"/>
      <c r="C20" s="69" t="s">
        <v>111</v>
      </c>
      <c r="D20" s="69" t="s">
        <v>112</v>
      </c>
      <c r="E20" s="69" t="s">
        <v>10</v>
      </c>
      <c r="F20" s="69" t="s">
        <v>211</v>
      </c>
      <c r="G20" s="69"/>
      <c r="H20" s="69"/>
      <c r="I20" s="66"/>
      <c r="N20" s="66" t="s">
        <v>111</v>
      </c>
      <c r="O20" s="66" t="s">
        <v>112</v>
      </c>
      <c r="P20" s="66" t="s">
        <v>10</v>
      </c>
      <c r="Q20" s="66" t="s">
        <v>114</v>
      </c>
      <c r="R20" s="66"/>
      <c r="S20" s="66"/>
      <c r="T20" s="66"/>
    </row>
    <row r="21" spans="2:20" ht="12.75" customHeight="1">
      <c r="B21" s="69"/>
      <c r="C21" s="69" t="s">
        <v>115</v>
      </c>
      <c r="D21" s="69" t="s">
        <v>208</v>
      </c>
      <c r="E21" s="69"/>
      <c r="F21" s="69" t="s">
        <v>212</v>
      </c>
      <c r="G21" s="69"/>
      <c r="H21" s="69"/>
      <c r="I21" s="66"/>
      <c r="N21" s="66" t="s">
        <v>115</v>
      </c>
      <c r="O21" s="66" t="s">
        <v>208</v>
      </c>
      <c r="P21" s="66"/>
      <c r="Q21" s="66"/>
      <c r="R21" s="66"/>
      <c r="S21" s="66"/>
      <c r="T21" s="66"/>
    </row>
    <row r="22" spans="2:20" ht="12.75" customHeight="1">
      <c r="B22" s="69"/>
      <c r="C22" s="69" t="s">
        <v>118</v>
      </c>
      <c r="D22" s="69" t="s">
        <v>119</v>
      </c>
      <c r="E22" s="69" t="s">
        <v>10</v>
      </c>
      <c r="F22" s="69" t="s">
        <v>213</v>
      </c>
      <c r="G22" s="69"/>
      <c r="H22" s="69"/>
      <c r="I22" s="66"/>
      <c r="N22" s="66" t="s">
        <v>118</v>
      </c>
      <c r="O22" s="66" t="s">
        <v>119</v>
      </c>
      <c r="P22" s="66" t="s">
        <v>10</v>
      </c>
      <c r="Q22" s="66" t="s">
        <v>114</v>
      </c>
      <c r="R22" s="66"/>
      <c r="S22" s="66"/>
      <c r="T22" s="66"/>
    </row>
    <row r="23" spans="2:20" ht="12.75" customHeight="1">
      <c r="B23" s="69"/>
      <c r="C23" s="69" t="s">
        <v>121</v>
      </c>
      <c r="D23" s="69" t="s">
        <v>122</v>
      </c>
      <c r="E23" s="69" t="s">
        <v>10</v>
      </c>
      <c r="F23" s="69" t="s">
        <v>123</v>
      </c>
      <c r="G23" s="69"/>
      <c r="H23" s="69"/>
      <c r="I23" s="66"/>
      <c r="N23" s="66" t="s">
        <v>121</v>
      </c>
      <c r="O23" s="66" t="s">
        <v>122</v>
      </c>
      <c r="P23" s="66" t="s">
        <v>10</v>
      </c>
      <c r="Q23" s="66" t="s">
        <v>123</v>
      </c>
      <c r="R23" s="66"/>
      <c r="S23" s="66"/>
      <c r="T23" s="66"/>
    </row>
    <row r="24" spans="2:20" ht="12.75" customHeight="1">
      <c r="B24" s="69"/>
      <c r="C24" s="69" t="s">
        <v>124</v>
      </c>
      <c r="D24" s="69" t="s">
        <v>125</v>
      </c>
      <c r="E24" s="69" t="s">
        <v>10</v>
      </c>
      <c r="F24" s="69" t="s">
        <v>126</v>
      </c>
      <c r="G24" s="69"/>
      <c r="H24" s="69"/>
      <c r="I24" s="66"/>
      <c r="N24" s="66" t="s">
        <v>124</v>
      </c>
      <c r="O24" s="66" t="s">
        <v>125</v>
      </c>
      <c r="P24" s="66" t="s">
        <v>10</v>
      </c>
      <c r="Q24" s="66" t="s">
        <v>126</v>
      </c>
      <c r="R24" s="66"/>
      <c r="S24" s="66"/>
      <c r="T24" s="66"/>
    </row>
    <row r="25" spans="2:20" ht="12.75" customHeight="1">
      <c r="B25" s="69"/>
      <c r="C25" s="69" t="s">
        <v>127</v>
      </c>
      <c r="D25" s="69" t="s">
        <v>128</v>
      </c>
      <c r="E25" s="69" t="s">
        <v>10</v>
      </c>
      <c r="F25" s="69"/>
      <c r="G25" s="69"/>
      <c r="H25" s="69"/>
      <c r="I25" s="66"/>
      <c r="N25" s="66" t="s">
        <v>127</v>
      </c>
      <c r="O25" s="66" t="s">
        <v>128</v>
      </c>
      <c r="P25" s="66" t="s">
        <v>10</v>
      </c>
      <c r="Q25" s="66" t="s">
        <v>114</v>
      </c>
      <c r="R25" s="66"/>
      <c r="S25" s="66"/>
      <c r="T25" s="66"/>
    </row>
    <row r="26" spans="2:20" ht="12.75" customHeight="1">
      <c r="B26" s="69"/>
      <c r="C26" s="69" t="s">
        <v>130</v>
      </c>
      <c r="D26" s="69" t="s">
        <v>131</v>
      </c>
      <c r="E26" s="69" t="s">
        <v>10</v>
      </c>
      <c r="F26" s="69" t="s">
        <v>214</v>
      </c>
      <c r="G26" s="69"/>
      <c r="H26" s="69"/>
      <c r="I26" s="66"/>
      <c r="N26" s="66" t="s">
        <v>130</v>
      </c>
      <c r="O26" s="66" t="s">
        <v>131</v>
      </c>
      <c r="P26" s="66" t="s">
        <v>10</v>
      </c>
      <c r="Q26" s="66" t="s">
        <v>133</v>
      </c>
      <c r="R26" s="66"/>
      <c r="S26" s="66"/>
      <c r="T26" s="66"/>
    </row>
    <row r="27" spans="2:20" ht="12.75" customHeight="1">
      <c r="B27" s="69"/>
      <c r="C27" s="69"/>
      <c r="D27" s="69"/>
      <c r="E27" s="69"/>
      <c r="F27" s="69" t="s">
        <v>215</v>
      </c>
      <c r="G27" s="69"/>
      <c r="H27" s="69"/>
      <c r="I27" s="66"/>
      <c r="N27" s="66"/>
      <c r="O27" s="66"/>
      <c r="P27" s="66"/>
      <c r="Q27" s="66"/>
      <c r="R27" s="66"/>
      <c r="S27" s="66"/>
      <c r="T27" s="66"/>
    </row>
    <row r="28" spans="2:20" ht="12.75" customHeight="1">
      <c r="B28" s="69"/>
      <c r="C28" s="69"/>
      <c r="D28" s="69"/>
      <c r="E28" s="69"/>
      <c r="F28" s="69"/>
      <c r="G28" s="69"/>
      <c r="H28" s="69"/>
      <c r="I28" s="66"/>
      <c r="N28" s="66"/>
      <c r="O28" s="66"/>
      <c r="P28" s="66"/>
      <c r="Q28" s="66"/>
      <c r="R28" s="66"/>
      <c r="S28" s="66"/>
      <c r="T28" s="66"/>
    </row>
    <row r="29" spans="2:20" ht="12.75" customHeight="1">
      <c r="B29" s="69"/>
      <c r="C29" s="69" t="s">
        <v>216</v>
      </c>
      <c r="D29" s="69"/>
      <c r="E29" s="69"/>
      <c r="F29" s="69"/>
      <c r="G29" s="69"/>
      <c r="H29" s="69"/>
      <c r="I29" s="66"/>
      <c r="N29" s="66" t="s">
        <v>216</v>
      </c>
      <c r="O29" s="66"/>
      <c r="P29" s="66"/>
      <c r="Q29" s="66"/>
      <c r="R29" s="66"/>
      <c r="S29" s="66"/>
      <c r="T29" s="66"/>
    </row>
    <row r="30" spans="2:20" ht="12.75" customHeight="1">
      <c r="B30" s="69"/>
      <c r="C30" s="69" t="s">
        <v>217</v>
      </c>
      <c r="D30" s="69"/>
      <c r="E30" s="69"/>
      <c r="F30" s="69"/>
      <c r="G30" s="69"/>
      <c r="H30" s="69"/>
      <c r="I30" s="66"/>
      <c r="N30" s="66" t="s">
        <v>217</v>
      </c>
      <c r="O30" s="66"/>
      <c r="P30" s="66"/>
      <c r="Q30" s="66"/>
      <c r="R30" s="66"/>
      <c r="S30" s="66"/>
      <c r="T30" s="66"/>
    </row>
    <row r="31" spans="2:20" ht="12.75" customHeight="1">
      <c r="B31" s="69"/>
      <c r="C31" s="69" t="s">
        <v>218</v>
      </c>
      <c r="D31" s="69"/>
      <c r="E31" s="69"/>
      <c r="F31" s="69"/>
      <c r="G31" s="69"/>
      <c r="H31" s="69"/>
      <c r="I31" s="66"/>
      <c r="N31" s="66" t="s">
        <v>218</v>
      </c>
      <c r="O31" s="66"/>
      <c r="P31" s="66"/>
      <c r="Q31" s="66"/>
      <c r="R31" s="66"/>
      <c r="S31" s="66"/>
      <c r="T31" s="66"/>
    </row>
    <row r="32" spans="2:20" ht="12.75" customHeight="1">
      <c r="B32" s="69"/>
      <c r="C32" s="69"/>
      <c r="D32" s="69"/>
      <c r="E32" s="69"/>
      <c r="F32" s="69"/>
      <c r="G32" s="69"/>
      <c r="H32" s="69"/>
      <c r="I32" s="66"/>
      <c r="N32" s="66"/>
      <c r="O32" s="66"/>
      <c r="P32" s="66"/>
      <c r="Q32" s="66"/>
      <c r="R32" s="66"/>
      <c r="S32" s="66"/>
      <c r="T32" s="66"/>
    </row>
    <row r="33" spans="2:20" ht="12.75" customHeight="1">
      <c r="B33" s="69"/>
      <c r="C33" s="69"/>
      <c r="D33" s="69"/>
      <c r="E33" s="69"/>
      <c r="F33" s="69"/>
      <c r="G33" s="69" t="s">
        <v>219</v>
      </c>
      <c r="H33" s="69"/>
      <c r="I33" s="66"/>
      <c r="N33" s="66"/>
      <c r="O33" s="66"/>
      <c r="P33" s="66"/>
      <c r="Q33" s="66"/>
      <c r="R33" s="66" t="s">
        <v>150</v>
      </c>
      <c r="S33" s="66"/>
      <c r="T33" s="66"/>
    </row>
    <row r="34" spans="2:20" ht="12.75" customHeight="1">
      <c r="B34" s="69"/>
      <c r="C34" s="69"/>
      <c r="D34" s="69"/>
      <c r="E34" s="69"/>
      <c r="F34" s="69"/>
      <c r="G34" s="69"/>
      <c r="H34" s="69"/>
      <c r="I34" s="66"/>
      <c r="N34" s="66"/>
      <c r="O34" s="66"/>
      <c r="P34" s="66"/>
      <c r="Q34" s="66"/>
      <c r="R34" s="66"/>
      <c r="S34" s="66"/>
      <c r="T34" s="66"/>
    </row>
    <row r="35" spans="2:20" ht="12.75" customHeight="1">
      <c r="B35" s="69"/>
      <c r="C35" s="69" t="s">
        <v>206</v>
      </c>
      <c r="D35" s="69" t="s">
        <v>220</v>
      </c>
      <c r="E35" s="69"/>
      <c r="F35" s="69"/>
      <c r="G35" s="69" t="s">
        <v>221</v>
      </c>
      <c r="H35" s="69"/>
      <c r="I35" s="66"/>
      <c r="N35" s="66" t="s">
        <v>206</v>
      </c>
      <c r="O35" s="66" t="s">
        <v>220</v>
      </c>
      <c r="P35" s="66"/>
      <c r="Q35" s="66"/>
      <c r="R35" s="66" t="s">
        <v>221</v>
      </c>
      <c r="S35" s="66"/>
      <c r="T35" s="66"/>
    </row>
    <row r="36" spans="2:20" ht="12.75" customHeight="1">
      <c r="B36" s="69"/>
      <c r="C36" s="69"/>
      <c r="D36" s="69"/>
      <c r="E36" s="69"/>
      <c r="F36" s="69"/>
      <c r="G36" s="69"/>
      <c r="H36" s="69"/>
      <c r="I36" s="66"/>
      <c r="N36" s="66"/>
      <c r="O36" s="66"/>
      <c r="P36" s="66"/>
      <c r="Q36" s="66"/>
      <c r="R36" s="66"/>
      <c r="S36" s="66"/>
      <c r="T36" s="66"/>
    </row>
    <row r="37" spans="2:20" ht="12.75" customHeight="1">
      <c r="B37" s="69"/>
      <c r="C37" s="69"/>
      <c r="D37" s="69"/>
      <c r="E37" s="69"/>
      <c r="F37" s="69"/>
      <c r="G37" s="69"/>
      <c r="H37" s="69"/>
      <c r="I37" s="66"/>
      <c r="N37" s="66"/>
      <c r="O37" s="66"/>
      <c r="P37" s="66"/>
      <c r="Q37" s="66"/>
      <c r="R37" s="66"/>
      <c r="S37" s="66"/>
      <c r="T37" s="66"/>
    </row>
    <row r="38" spans="2:20" ht="12.75" customHeight="1">
      <c r="B38" s="69"/>
      <c r="C38" s="69"/>
      <c r="D38" s="69"/>
      <c r="E38" s="69"/>
      <c r="F38" s="69"/>
      <c r="G38" s="69"/>
      <c r="H38" s="69"/>
      <c r="I38" s="66"/>
      <c r="N38" s="66"/>
      <c r="O38" s="66"/>
      <c r="P38" s="66"/>
      <c r="Q38" s="66"/>
      <c r="R38" s="66"/>
      <c r="S38" s="66"/>
      <c r="T38" s="66"/>
    </row>
    <row r="39" spans="2:20" ht="12.75" customHeight="1">
      <c r="B39" s="69"/>
      <c r="C39" s="69"/>
      <c r="D39" s="69" t="s">
        <v>191</v>
      </c>
      <c r="E39" s="69"/>
      <c r="F39" s="69"/>
      <c r="G39" s="69" t="s">
        <v>211</v>
      </c>
      <c r="H39" s="69"/>
      <c r="I39" s="66"/>
      <c r="N39" s="66"/>
      <c r="O39" s="66" t="s">
        <v>222</v>
      </c>
      <c r="P39" s="66"/>
      <c r="Q39" s="66"/>
      <c r="R39" s="66" t="s">
        <v>222</v>
      </c>
      <c r="S39" s="66"/>
      <c r="T39" s="66"/>
    </row>
    <row r="40" spans="2:20" ht="12.75" customHeight="1">
      <c r="B40" s="69"/>
      <c r="C40" s="69"/>
      <c r="D40" s="69"/>
      <c r="E40" s="69"/>
      <c r="F40" s="69"/>
      <c r="G40" s="69"/>
      <c r="H40" s="69"/>
    </row>
    <row r="41" spans="2:20" ht="12.75" customHeight="1">
      <c r="B41" s="69"/>
      <c r="C41" s="69"/>
      <c r="D41" s="69"/>
      <c r="E41" s="69"/>
      <c r="F41" s="69"/>
      <c r="G41" s="69"/>
      <c r="H41" s="69"/>
    </row>
    <row r="42" spans="2:20" ht="12.75" customHeight="1"/>
    <row r="43" spans="2:20" ht="12.75" customHeight="1"/>
    <row r="44" spans="2:20" ht="12.75" customHeight="1"/>
    <row r="45" spans="2:20" ht="12.75" customHeight="1"/>
    <row r="46" spans="2:20" ht="12.75" customHeight="1"/>
    <row r="47" spans="2:20" ht="12.75" customHeight="1"/>
    <row r="48" spans="2:2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spans="2:9" ht="12.75" customHeight="1"/>
    <row r="82" spans="2:9" ht="12.75" customHeight="1"/>
    <row r="83" spans="2:9" ht="12.75" customHeight="1"/>
    <row r="84" spans="2:9" ht="12.75" customHeight="1">
      <c r="C84" s="66"/>
      <c r="D84" s="66"/>
      <c r="E84" s="66"/>
      <c r="F84" s="66"/>
      <c r="G84" s="66" t="s">
        <v>178</v>
      </c>
      <c r="H84" s="66"/>
      <c r="I84" s="66"/>
    </row>
    <row r="85" spans="2:9" ht="12.75" customHeight="1">
      <c r="C85" s="66"/>
      <c r="D85" s="66"/>
      <c r="E85" s="66"/>
      <c r="F85" s="66"/>
      <c r="G85" s="66"/>
      <c r="H85" s="67" t="s">
        <v>202</v>
      </c>
      <c r="I85" s="66"/>
    </row>
    <row r="86" spans="2:9" ht="12.75" customHeight="1">
      <c r="C86" s="66"/>
      <c r="D86" s="66"/>
      <c r="E86" s="66"/>
      <c r="F86" s="66"/>
      <c r="G86" s="66"/>
      <c r="H86" s="68" t="s">
        <v>203</v>
      </c>
      <c r="I86" s="66"/>
    </row>
    <row r="87" spans="2:9" ht="12.75" customHeight="1">
      <c r="C87" s="66"/>
      <c r="D87" s="66"/>
      <c r="E87" s="66"/>
      <c r="F87" s="66"/>
      <c r="G87" s="66"/>
      <c r="H87" s="66"/>
      <c r="I87" s="66"/>
    </row>
    <row r="88" spans="2:9" ht="12.75" customHeight="1">
      <c r="C88" s="228" t="s">
        <v>204</v>
      </c>
      <c r="D88" s="194"/>
      <c r="E88" s="194"/>
      <c r="F88" s="194"/>
      <c r="G88" s="194"/>
      <c r="H88" s="194"/>
      <c r="I88" s="194"/>
    </row>
    <row r="89" spans="2:9" ht="12.75" customHeight="1">
      <c r="C89" s="225"/>
      <c r="D89" s="194"/>
      <c r="E89" s="194"/>
      <c r="F89" s="194"/>
      <c r="G89" s="194"/>
      <c r="H89" s="194"/>
      <c r="I89" s="194"/>
    </row>
    <row r="90" spans="2:9" ht="12.75" customHeight="1">
      <c r="B90" s="69"/>
      <c r="C90" s="69"/>
      <c r="D90" s="69"/>
      <c r="E90" s="69"/>
      <c r="F90" s="69"/>
      <c r="G90" s="69"/>
      <c r="H90" s="69"/>
      <c r="I90" s="66"/>
    </row>
    <row r="91" spans="2:9" ht="12.75" customHeight="1">
      <c r="B91" s="69" t="s">
        <v>205</v>
      </c>
      <c r="C91" s="69"/>
      <c r="D91" s="69"/>
      <c r="E91" s="69"/>
      <c r="F91" s="69"/>
      <c r="G91" s="69"/>
      <c r="H91" s="69"/>
      <c r="I91" s="66"/>
    </row>
    <row r="92" spans="2:9" ht="12.75" customHeight="1">
      <c r="B92" s="69" t="s">
        <v>206</v>
      </c>
      <c r="C92" s="69" t="s">
        <v>207</v>
      </c>
      <c r="D92" s="69"/>
      <c r="E92" s="69"/>
      <c r="F92" s="69"/>
      <c r="G92" s="69"/>
      <c r="H92" s="69"/>
      <c r="I92" s="66"/>
    </row>
    <row r="93" spans="2:9" ht="12.75" customHeight="1">
      <c r="B93" s="69"/>
      <c r="C93" s="69" t="s">
        <v>111</v>
      </c>
      <c r="D93" s="69" t="s">
        <v>112</v>
      </c>
      <c r="E93" s="69" t="s">
        <v>10</v>
      </c>
      <c r="F93" s="69" t="s">
        <v>223</v>
      </c>
      <c r="G93" s="69"/>
      <c r="H93" s="69"/>
      <c r="I93" s="66"/>
    </row>
    <row r="94" spans="2:9" ht="12.75" customHeight="1">
      <c r="B94" s="69"/>
      <c r="C94" s="69" t="s">
        <v>115</v>
      </c>
      <c r="D94" s="69" t="s">
        <v>208</v>
      </c>
      <c r="E94" s="69"/>
      <c r="F94" s="69" t="s">
        <v>224</v>
      </c>
      <c r="G94" s="69"/>
      <c r="H94" s="69"/>
      <c r="I94" s="66"/>
    </row>
    <row r="95" spans="2:9" ht="12.75" customHeight="1">
      <c r="B95" s="69"/>
      <c r="C95" s="69" t="s">
        <v>118</v>
      </c>
      <c r="D95" s="69" t="s">
        <v>119</v>
      </c>
      <c r="E95" s="69" t="s">
        <v>10</v>
      </c>
      <c r="F95" s="69" t="s">
        <v>225</v>
      </c>
      <c r="G95" s="69"/>
      <c r="H95" s="69"/>
      <c r="I95" s="66"/>
    </row>
    <row r="96" spans="2:9" ht="12.75" customHeight="1">
      <c r="B96" s="69"/>
      <c r="C96" s="69" t="s">
        <v>121</v>
      </c>
      <c r="D96" s="69" t="s">
        <v>122</v>
      </c>
      <c r="E96" s="69" t="s">
        <v>10</v>
      </c>
      <c r="F96" s="69" t="s">
        <v>123</v>
      </c>
      <c r="G96" s="69"/>
      <c r="H96" s="69"/>
      <c r="I96" s="66"/>
    </row>
    <row r="97" spans="2:9" ht="12.75" customHeight="1">
      <c r="B97" s="69"/>
      <c r="C97" s="69" t="s">
        <v>124</v>
      </c>
      <c r="D97" s="69" t="s">
        <v>125</v>
      </c>
      <c r="E97" s="69" t="s">
        <v>10</v>
      </c>
      <c r="F97" s="69" t="s">
        <v>126</v>
      </c>
      <c r="G97" s="69"/>
      <c r="H97" s="69"/>
      <c r="I97" s="66"/>
    </row>
    <row r="98" spans="2:9" ht="12.75" customHeight="1">
      <c r="B98" s="69"/>
      <c r="C98" s="69" t="s">
        <v>127</v>
      </c>
      <c r="D98" s="69" t="s">
        <v>128</v>
      </c>
      <c r="E98" s="69" t="s">
        <v>10</v>
      </c>
      <c r="F98" s="69" t="s">
        <v>226</v>
      </c>
      <c r="G98" s="69"/>
      <c r="H98" s="69"/>
      <c r="I98" s="66"/>
    </row>
    <row r="99" spans="2:9" ht="12.75" customHeight="1">
      <c r="B99" s="69"/>
      <c r="C99" s="69" t="s">
        <v>130</v>
      </c>
      <c r="D99" s="69" t="s">
        <v>131</v>
      </c>
      <c r="E99" s="69" t="s">
        <v>10</v>
      </c>
      <c r="F99" s="69" t="s">
        <v>227</v>
      </c>
      <c r="G99" s="69"/>
      <c r="H99" s="69"/>
      <c r="I99" s="66"/>
    </row>
    <row r="100" spans="2:9" ht="12.75" customHeight="1">
      <c r="B100" s="69"/>
      <c r="C100" s="69"/>
      <c r="D100" s="69"/>
      <c r="E100" s="69"/>
      <c r="F100" s="69"/>
      <c r="G100" s="69"/>
      <c r="H100" s="69"/>
      <c r="I100" s="66"/>
    </row>
    <row r="101" spans="2:9" ht="12.75" customHeight="1">
      <c r="B101" s="69" t="s">
        <v>206</v>
      </c>
      <c r="C101" s="69" t="s">
        <v>210</v>
      </c>
      <c r="D101" s="69"/>
      <c r="E101" s="69"/>
      <c r="F101" s="69"/>
      <c r="G101" s="69"/>
      <c r="H101" s="69"/>
      <c r="I101" s="66"/>
    </row>
    <row r="102" spans="2:9" ht="12.75" customHeight="1">
      <c r="B102" s="69"/>
      <c r="C102" s="69" t="s">
        <v>111</v>
      </c>
      <c r="D102" s="69" t="s">
        <v>112</v>
      </c>
      <c r="E102" s="69" t="s">
        <v>10</v>
      </c>
      <c r="F102" s="69" t="s">
        <v>154</v>
      </c>
      <c r="G102" s="69"/>
      <c r="H102" s="69"/>
      <c r="I102" s="66"/>
    </row>
    <row r="103" spans="2:9" ht="12.75" customHeight="1">
      <c r="B103" s="69"/>
      <c r="C103" s="69" t="s">
        <v>115</v>
      </c>
      <c r="D103" s="69" t="s">
        <v>208</v>
      </c>
      <c r="E103" s="69"/>
      <c r="F103" s="69" t="s">
        <v>159</v>
      </c>
      <c r="G103" s="69"/>
      <c r="H103" s="69"/>
      <c r="I103" s="66"/>
    </row>
    <row r="104" spans="2:9" ht="12.75" customHeight="1">
      <c r="B104" s="69"/>
      <c r="C104" s="69" t="s">
        <v>118</v>
      </c>
      <c r="D104" s="69" t="s">
        <v>119</v>
      </c>
      <c r="E104" s="69" t="s">
        <v>10</v>
      </c>
      <c r="F104" s="69" t="s">
        <v>228</v>
      </c>
      <c r="G104" s="69"/>
      <c r="H104" s="69"/>
      <c r="I104" s="66"/>
    </row>
    <row r="105" spans="2:9" ht="12.75" customHeight="1">
      <c r="B105" s="69"/>
      <c r="C105" s="69" t="s">
        <v>121</v>
      </c>
      <c r="D105" s="69" t="s">
        <v>122</v>
      </c>
      <c r="E105" s="69" t="s">
        <v>10</v>
      </c>
      <c r="F105" s="69" t="s">
        <v>123</v>
      </c>
      <c r="G105" s="69"/>
      <c r="H105" s="69"/>
      <c r="I105" s="66"/>
    </row>
    <row r="106" spans="2:9" ht="12.75" customHeight="1">
      <c r="B106" s="69"/>
      <c r="C106" s="69" t="s">
        <v>124</v>
      </c>
      <c r="D106" s="69" t="s">
        <v>125</v>
      </c>
      <c r="E106" s="69" t="s">
        <v>10</v>
      </c>
      <c r="F106" s="69" t="s">
        <v>126</v>
      </c>
      <c r="G106" s="69"/>
      <c r="H106" s="69"/>
      <c r="I106" s="66"/>
    </row>
    <row r="107" spans="2:9" ht="12.75" customHeight="1">
      <c r="B107" s="69"/>
      <c r="C107" s="69" t="s">
        <v>127</v>
      </c>
      <c r="D107" s="69" t="s">
        <v>128</v>
      </c>
      <c r="E107" s="69" t="s">
        <v>10</v>
      </c>
      <c r="F107" s="69" t="s">
        <v>198</v>
      </c>
      <c r="G107" s="69"/>
      <c r="H107" s="69"/>
      <c r="I107" s="66"/>
    </row>
    <row r="108" spans="2:9" ht="12.75" customHeight="1">
      <c r="B108" s="69"/>
      <c r="C108" s="69" t="s">
        <v>130</v>
      </c>
      <c r="D108" s="69" t="s">
        <v>131</v>
      </c>
      <c r="E108" s="69" t="s">
        <v>10</v>
      </c>
      <c r="F108" s="69" t="s">
        <v>229</v>
      </c>
      <c r="G108" s="69"/>
      <c r="H108" s="69"/>
      <c r="I108" s="66"/>
    </row>
    <row r="109" spans="2:9" ht="12.75" customHeight="1">
      <c r="B109" s="69"/>
      <c r="C109" s="69"/>
      <c r="D109" s="69"/>
      <c r="E109" s="69"/>
      <c r="F109" s="69"/>
      <c r="G109" s="69"/>
      <c r="H109" s="69"/>
      <c r="I109" s="66"/>
    </row>
    <row r="110" spans="2:9" ht="12.75" customHeight="1">
      <c r="B110" s="69"/>
      <c r="C110" s="69" t="s">
        <v>216</v>
      </c>
      <c r="D110" s="69"/>
      <c r="E110" s="69"/>
      <c r="F110" s="69"/>
      <c r="G110" s="69"/>
      <c r="H110" s="69"/>
      <c r="I110" s="66"/>
    </row>
    <row r="111" spans="2:9" ht="12.75" customHeight="1">
      <c r="B111" s="69"/>
      <c r="C111" s="69" t="s">
        <v>217</v>
      </c>
      <c r="D111" s="69"/>
      <c r="E111" s="69"/>
      <c r="F111" s="69"/>
      <c r="G111" s="69"/>
      <c r="H111" s="69"/>
      <c r="I111" s="66"/>
    </row>
    <row r="112" spans="2:9" ht="12.75" customHeight="1">
      <c r="B112" s="69"/>
      <c r="C112" s="69" t="s">
        <v>218</v>
      </c>
      <c r="D112" s="69"/>
      <c r="E112" s="69"/>
      <c r="F112" s="69"/>
      <c r="G112" s="69"/>
      <c r="H112" s="69"/>
      <c r="I112" s="66"/>
    </row>
    <row r="113" spans="2:9" ht="12.75" customHeight="1">
      <c r="B113" s="69"/>
      <c r="C113" s="69"/>
      <c r="D113" s="69"/>
      <c r="E113" s="69"/>
      <c r="F113" s="69"/>
      <c r="G113" s="69"/>
      <c r="H113" s="69"/>
      <c r="I113" s="66"/>
    </row>
    <row r="114" spans="2:9" ht="12.75" customHeight="1">
      <c r="B114" s="69"/>
      <c r="C114" s="69"/>
      <c r="D114" s="69"/>
      <c r="E114" s="69"/>
      <c r="F114" s="69"/>
      <c r="G114" s="69" t="s">
        <v>230</v>
      </c>
      <c r="H114" s="69"/>
      <c r="I114" s="66"/>
    </row>
    <row r="115" spans="2:9" ht="12.75" customHeight="1">
      <c r="B115" s="69"/>
      <c r="C115" s="69"/>
      <c r="D115" s="69"/>
      <c r="E115" s="69"/>
      <c r="F115" s="69"/>
      <c r="G115" s="69"/>
      <c r="H115" s="69"/>
      <c r="I115" s="66"/>
    </row>
    <row r="116" spans="2:9" ht="12.75" customHeight="1">
      <c r="B116" s="69"/>
      <c r="C116" s="69" t="s">
        <v>206</v>
      </c>
      <c r="D116" s="69" t="s">
        <v>220</v>
      </c>
      <c r="E116" s="69"/>
      <c r="F116" s="69"/>
      <c r="G116" s="69" t="s">
        <v>221</v>
      </c>
      <c r="H116" s="69"/>
      <c r="I116" s="66"/>
    </row>
    <row r="117" spans="2:9" ht="12.75" customHeight="1">
      <c r="B117" s="69"/>
      <c r="C117" s="69"/>
      <c r="D117" s="69"/>
      <c r="E117" s="69"/>
      <c r="F117" s="69"/>
      <c r="G117" s="69"/>
      <c r="H117" s="69"/>
      <c r="I117" s="66"/>
    </row>
    <row r="118" spans="2:9" ht="12.75" customHeight="1">
      <c r="B118" s="69"/>
      <c r="C118" s="69"/>
      <c r="D118" s="69"/>
      <c r="E118" s="69"/>
      <c r="F118" s="69"/>
      <c r="G118" s="69"/>
      <c r="H118" s="69"/>
      <c r="I118" s="66"/>
    </row>
    <row r="119" spans="2:9" ht="12.75" customHeight="1">
      <c r="B119" s="69"/>
      <c r="C119" s="69"/>
      <c r="D119" s="69"/>
      <c r="E119" s="69"/>
      <c r="F119" s="69"/>
      <c r="G119" s="69"/>
      <c r="H119" s="69"/>
      <c r="I119" s="66"/>
    </row>
    <row r="120" spans="2:9" ht="12.75" customHeight="1">
      <c r="B120" s="69"/>
      <c r="C120" s="69"/>
      <c r="D120" s="69" t="s">
        <v>223</v>
      </c>
      <c r="E120" s="69"/>
      <c r="F120" s="69"/>
      <c r="G120" s="69" t="s">
        <v>154</v>
      </c>
      <c r="H120" s="69"/>
      <c r="I120" s="66"/>
    </row>
    <row r="121" spans="2:9" ht="12.75" customHeight="1">
      <c r="B121" s="69"/>
      <c r="C121" s="69"/>
      <c r="D121" s="69"/>
      <c r="E121" s="69"/>
      <c r="F121" s="69"/>
      <c r="G121" s="69"/>
      <c r="H121" s="69"/>
    </row>
    <row r="122" spans="2:9" ht="12.75" customHeight="1"/>
    <row r="123" spans="2:9" ht="12.75" customHeight="1"/>
    <row r="124" spans="2:9" ht="12.75" customHeight="1"/>
    <row r="125" spans="2:9" ht="12.75" customHeight="1"/>
    <row r="126" spans="2:9" ht="12.75" customHeight="1"/>
    <row r="127" spans="2:9" ht="12.75" customHeight="1"/>
    <row r="128" spans="2:9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spans="2:9" ht="12.75" customHeight="1"/>
    <row r="162" spans="2:9" ht="12.75" customHeight="1"/>
    <row r="163" spans="2:9" ht="12.75" customHeight="1"/>
    <row r="164" spans="2:9" ht="12.75" customHeight="1">
      <c r="C164" s="66"/>
      <c r="D164" s="66"/>
      <c r="E164" s="66"/>
      <c r="F164" s="66"/>
      <c r="G164" s="66" t="s">
        <v>178</v>
      </c>
      <c r="H164" s="66"/>
      <c r="I164" s="66"/>
    </row>
    <row r="165" spans="2:9" ht="12.75" customHeight="1">
      <c r="C165" s="66"/>
      <c r="D165" s="66"/>
      <c r="E165" s="66"/>
      <c r="F165" s="66"/>
      <c r="G165" s="66"/>
      <c r="H165" s="67" t="s">
        <v>202</v>
      </c>
      <c r="I165" s="66"/>
    </row>
    <row r="166" spans="2:9" ht="12.75" customHeight="1">
      <c r="C166" s="66"/>
      <c r="D166" s="66"/>
      <c r="E166" s="66"/>
      <c r="F166" s="66"/>
      <c r="G166" s="66"/>
      <c r="H166" s="68" t="s">
        <v>203</v>
      </c>
      <c r="I166" s="66"/>
    </row>
    <row r="167" spans="2:9" ht="12.75" customHeight="1">
      <c r="C167" s="66"/>
      <c r="D167" s="66"/>
      <c r="E167" s="66"/>
      <c r="F167" s="66"/>
      <c r="G167" s="66"/>
      <c r="H167" s="66"/>
      <c r="I167" s="66"/>
    </row>
    <row r="168" spans="2:9" ht="12.75" customHeight="1">
      <c r="C168" s="228" t="s">
        <v>204</v>
      </c>
      <c r="D168" s="194"/>
      <c r="E168" s="194"/>
      <c r="F168" s="194"/>
      <c r="G168" s="194"/>
      <c r="H168" s="194"/>
      <c r="I168" s="194"/>
    </row>
    <row r="169" spans="2:9" ht="12.75" customHeight="1">
      <c r="C169" s="225"/>
      <c r="D169" s="194"/>
      <c r="E169" s="194"/>
      <c r="F169" s="194"/>
      <c r="G169" s="194"/>
      <c r="H169" s="194"/>
      <c r="I169" s="194"/>
    </row>
    <row r="170" spans="2:9" ht="12.75" customHeight="1">
      <c r="B170" s="69"/>
      <c r="C170" s="69"/>
      <c r="D170" s="69"/>
      <c r="E170" s="69"/>
      <c r="F170" s="69"/>
      <c r="G170" s="69"/>
      <c r="H170" s="69"/>
      <c r="I170" s="66"/>
    </row>
    <row r="171" spans="2:9" ht="12.75" customHeight="1">
      <c r="B171" s="69" t="s">
        <v>205</v>
      </c>
      <c r="C171" s="69"/>
      <c r="D171" s="69"/>
      <c r="E171" s="69"/>
      <c r="F171" s="69"/>
      <c r="G171" s="69"/>
      <c r="H171" s="69"/>
      <c r="I171" s="66"/>
    </row>
    <row r="172" spans="2:9" ht="12.75" customHeight="1">
      <c r="B172" s="69" t="s">
        <v>206</v>
      </c>
      <c r="C172" s="69" t="s">
        <v>207</v>
      </c>
      <c r="D172" s="69"/>
      <c r="E172" s="69"/>
      <c r="F172" s="69"/>
      <c r="G172" s="69"/>
      <c r="H172" s="69"/>
      <c r="I172" s="66"/>
    </row>
    <row r="173" spans="2:9" ht="12.75" customHeight="1">
      <c r="B173" s="69"/>
      <c r="C173" s="69" t="s">
        <v>111</v>
      </c>
      <c r="D173" s="69" t="s">
        <v>112</v>
      </c>
      <c r="E173" s="69" t="s">
        <v>10</v>
      </c>
      <c r="F173" s="69" t="s">
        <v>231</v>
      </c>
      <c r="G173" s="69"/>
      <c r="H173" s="69"/>
      <c r="I173" s="66"/>
    </row>
    <row r="174" spans="2:9" ht="12.75" customHeight="1">
      <c r="B174" s="69"/>
      <c r="C174" s="69" t="s">
        <v>115</v>
      </c>
      <c r="D174" s="69" t="s">
        <v>208</v>
      </c>
      <c r="E174" s="69"/>
      <c r="F174" s="69" t="s">
        <v>232</v>
      </c>
      <c r="G174" s="69"/>
      <c r="H174" s="69"/>
      <c r="I174" s="66"/>
    </row>
    <row r="175" spans="2:9" ht="12.75" customHeight="1">
      <c r="B175" s="69"/>
      <c r="C175" s="69" t="s">
        <v>118</v>
      </c>
      <c r="D175" s="69" t="s">
        <v>119</v>
      </c>
      <c r="E175" s="69" t="s">
        <v>10</v>
      </c>
      <c r="F175" s="69" t="s">
        <v>233</v>
      </c>
      <c r="G175" s="69"/>
      <c r="H175" s="69"/>
      <c r="I175" s="66"/>
    </row>
    <row r="176" spans="2:9" ht="12.75" customHeight="1">
      <c r="B176" s="69"/>
      <c r="C176" s="69" t="s">
        <v>121</v>
      </c>
      <c r="D176" s="69" t="s">
        <v>122</v>
      </c>
      <c r="E176" s="69" t="s">
        <v>10</v>
      </c>
      <c r="F176" s="69" t="s">
        <v>123</v>
      </c>
      <c r="G176" s="69"/>
      <c r="H176" s="69"/>
      <c r="I176" s="66"/>
    </row>
    <row r="177" spans="2:9" ht="12.75" customHeight="1">
      <c r="B177" s="69"/>
      <c r="C177" s="69" t="s">
        <v>124</v>
      </c>
      <c r="D177" s="69" t="s">
        <v>125</v>
      </c>
      <c r="E177" s="69" t="s">
        <v>10</v>
      </c>
      <c r="F177" s="69" t="s">
        <v>126</v>
      </c>
      <c r="G177" s="69"/>
      <c r="H177" s="69"/>
      <c r="I177" s="66"/>
    </row>
    <row r="178" spans="2:9" ht="12.75" customHeight="1">
      <c r="B178" s="69"/>
      <c r="C178" s="69" t="s">
        <v>127</v>
      </c>
      <c r="D178" s="69" t="s">
        <v>128</v>
      </c>
      <c r="E178" s="69" t="s">
        <v>10</v>
      </c>
      <c r="F178" s="69" t="s">
        <v>234</v>
      </c>
      <c r="G178" s="69"/>
      <c r="H178" s="69"/>
      <c r="I178" s="66"/>
    </row>
    <row r="179" spans="2:9" ht="12.75" customHeight="1">
      <c r="B179" s="69"/>
      <c r="C179" s="69" t="s">
        <v>130</v>
      </c>
      <c r="D179" s="69" t="s">
        <v>131</v>
      </c>
      <c r="E179" s="69" t="s">
        <v>10</v>
      </c>
      <c r="F179" s="69" t="s">
        <v>235</v>
      </c>
      <c r="G179" s="69"/>
      <c r="H179" s="69"/>
      <c r="I179" s="66"/>
    </row>
    <row r="180" spans="2:9" ht="12.75" customHeight="1">
      <c r="B180" s="69"/>
      <c r="C180" s="69"/>
      <c r="D180" s="69"/>
      <c r="E180" s="69"/>
      <c r="F180" s="69"/>
      <c r="G180" s="69"/>
      <c r="H180" s="69"/>
      <c r="I180" s="66"/>
    </row>
    <row r="181" spans="2:9" ht="12.75" customHeight="1">
      <c r="B181" s="69" t="s">
        <v>206</v>
      </c>
      <c r="C181" s="69" t="s">
        <v>210</v>
      </c>
      <c r="D181" s="69"/>
      <c r="E181" s="69"/>
      <c r="F181" s="69"/>
      <c r="G181" s="69"/>
      <c r="H181" s="69"/>
      <c r="I181" s="66"/>
    </row>
    <row r="182" spans="2:9" ht="12.75" customHeight="1">
      <c r="B182" s="69"/>
      <c r="C182" s="69" t="s">
        <v>111</v>
      </c>
      <c r="D182" s="69" t="s">
        <v>112</v>
      </c>
      <c r="E182" s="69" t="s">
        <v>10</v>
      </c>
      <c r="F182" s="69" t="s">
        <v>170</v>
      </c>
      <c r="G182" s="69"/>
      <c r="H182" s="69"/>
      <c r="I182" s="66"/>
    </row>
    <row r="183" spans="2:9" ht="12.75" customHeight="1">
      <c r="B183" s="69"/>
      <c r="C183" s="69" t="s">
        <v>115</v>
      </c>
      <c r="D183" s="69" t="s">
        <v>208</v>
      </c>
      <c r="E183" s="69"/>
      <c r="F183" s="69" t="s">
        <v>236</v>
      </c>
      <c r="G183" s="69"/>
      <c r="H183" s="69"/>
      <c r="I183" s="66"/>
    </row>
    <row r="184" spans="2:9" ht="12.75" customHeight="1">
      <c r="B184" s="69"/>
      <c r="C184" s="69" t="s">
        <v>118</v>
      </c>
      <c r="D184" s="69" t="s">
        <v>119</v>
      </c>
      <c r="E184" s="69" t="s">
        <v>10</v>
      </c>
      <c r="F184" s="69" t="s">
        <v>237</v>
      </c>
      <c r="G184" s="69"/>
      <c r="H184" s="69"/>
      <c r="I184" s="66"/>
    </row>
    <row r="185" spans="2:9" ht="12.75" customHeight="1">
      <c r="B185" s="69"/>
      <c r="C185" s="69" t="s">
        <v>121</v>
      </c>
      <c r="D185" s="69" t="s">
        <v>122</v>
      </c>
      <c r="E185" s="69" t="s">
        <v>10</v>
      </c>
      <c r="F185" s="69" t="s">
        <v>123</v>
      </c>
      <c r="G185" s="69"/>
      <c r="H185" s="69"/>
      <c r="I185" s="66"/>
    </row>
    <row r="186" spans="2:9" ht="12.75" customHeight="1">
      <c r="B186" s="69"/>
      <c r="C186" s="69" t="s">
        <v>124</v>
      </c>
      <c r="D186" s="69" t="s">
        <v>125</v>
      </c>
      <c r="E186" s="69" t="s">
        <v>10</v>
      </c>
      <c r="F186" s="69" t="s">
        <v>126</v>
      </c>
      <c r="G186" s="69"/>
      <c r="H186" s="69"/>
      <c r="I186" s="66"/>
    </row>
    <row r="187" spans="2:9" ht="12.75" customHeight="1">
      <c r="B187" s="69"/>
      <c r="C187" s="69" t="s">
        <v>127</v>
      </c>
      <c r="D187" s="69" t="s">
        <v>128</v>
      </c>
      <c r="E187" s="69" t="s">
        <v>10</v>
      </c>
      <c r="F187" s="69" t="s">
        <v>172</v>
      </c>
      <c r="G187" s="69"/>
      <c r="H187" s="69"/>
      <c r="I187" s="66"/>
    </row>
    <row r="188" spans="2:9" ht="12.75" customHeight="1">
      <c r="B188" s="69"/>
      <c r="C188" s="69" t="s">
        <v>130</v>
      </c>
      <c r="D188" s="69" t="s">
        <v>131</v>
      </c>
      <c r="E188" s="69" t="s">
        <v>10</v>
      </c>
      <c r="F188" s="69" t="s">
        <v>173</v>
      </c>
      <c r="G188" s="69"/>
      <c r="H188" s="69"/>
      <c r="I188" s="66"/>
    </row>
    <row r="189" spans="2:9" ht="12.75" customHeight="1">
      <c r="B189" s="69"/>
      <c r="C189" s="69"/>
      <c r="D189" s="69"/>
      <c r="E189" s="69"/>
      <c r="F189" s="69"/>
      <c r="G189" s="69"/>
      <c r="H189" s="69"/>
      <c r="I189" s="66"/>
    </row>
    <row r="190" spans="2:9" ht="12.75" customHeight="1">
      <c r="B190" s="69"/>
      <c r="C190" s="69" t="s">
        <v>216</v>
      </c>
      <c r="D190" s="69"/>
      <c r="E190" s="69"/>
      <c r="F190" s="69"/>
      <c r="G190" s="69"/>
      <c r="H190" s="69"/>
      <c r="I190" s="66"/>
    </row>
    <row r="191" spans="2:9" ht="12.75" customHeight="1">
      <c r="B191" s="69"/>
      <c r="C191" s="69" t="s">
        <v>217</v>
      </c>
      <c r="D191" s="69"/>
      <c r="E191" s="69"/>
      <c r="F191" s="69"/>
      <c r="G191" s="69"/>
      <c r="H191" s="69"/>
      <c r="I191" s="66"/>
    </row>
    <row r="192" spans="2:9" ht="12.75" customHeight="1">
      <c r="B192" s="69"/>
      <c r="C192" s="69" t="s">
        <v>218</v>
      </c>
      <c r="D192" s="69"/>
      <c r="E192" s="69"/>
      <c r="F192" s="69"/>
      <c r="G192" s="69"/>
      <c r="H192" s="69"/>
      <c r="I192" s="66"/>
    </row>
    <row r="193" spans="2:9" ht="12.75" customHeight="1">
      <c r="B193" s="69"/>
      <c r="C193" s="69"/>
      <c r="D193" s="69"/>
      <c r="E193" s="69"/>
      <c r="F193" s="69"/>
      <c r="G193" s="69"/>
      <c r="H193" s="69"/>
      <c r="I193" s="66"/>
    </row>
    <row r="194" spans="2:9" ht="12.75" customHeight="1">
      <c r="B194" s="69"/>
      <c r="C194" s="69"/>
      <c r="D194" s="69"/>
      <c r="E194" s="69"/>
      <c r="F194" s="69"/>
      <c r="G194" s="69" t="s">
        <v>238</v>
      </c>
      <c r="H194" s="69"/>
      <c r="I194" s="66"/>
    </row>
    <row r="195" spans="2:9" ht="12.75" customHeight="1">
      <c r="B195" s="69"/>
      <c r="C195" s="69"/>
      <c r="D195" s="69"/>
      <c r="E195" s="69"/>
      <c r="F195" s="69"/>
      <c r="G195" s="69"/>
      <c r="H195" s="69"/>
      <c r="I195" s="66"/>
    </row>
    <row r="196" spans="2:9" ht="12.75" customHeight="1">
      <c r="B196" s="69"/>
      <c r="C196" s="69" t="s">
        <v>206</v>
      </c>
      <c r="D196" s="69" t="s">
        <v>220</v>
      </c>
      <c r="E196" s="69"/>
      <c r="F196" s="69"/>
      <c r="G196" s="69" t="s">
        <v>221</v>
      </c>
      <c r="H196" s="69"/>
      <c r="I196" s="66"/>
    </row>
    <row r="197" spans="2:9" ht="12.75" customHeight="1">
      <c r="B197" s="69"/>
      <c r="C197" s="69"/>
      <c r="D197" s="69"/>
      <c r="E197" s="69"/>
      <c r="F197" s="69"/>
      <c r="G197" s="69"/>
      <c r="H197" s="69"/>
      <c r="I197" s="66"/>
    </row>
    <row r="198" spans="2:9" ht="12.75" customHeight="1">
      <c r="B198" s="69"/>
      <c r="C198" s="69"/>
      <c r="D198" s="69"/>
      <c r="E198" s="69"/>
      <c r="F198" s="69"/>
      <c r="G198" s="69"/>
      <c r="H198" s="69"/>
      <c r="I198" s="66"/>
    </row>
    <row r="199" spans="2:9" ht="12.75" customHeight="1">
      <c r="B199" s="69"/>
      <c r="C199" s="69"/>
      <c r="D199" s="69"/>
      <c r="E199" s="69"/>
      <c r="F199" s="69"/>
      <c r="G199" s="69"/>
      <c r="H199" s="69"/>
      <c r="I199" s="66"/>
    </row>
    <row r="200" spans="2:9" ht="12.75" customHeight="1">
      <c r="B200" s="69"/>
      <c r="C200" s="69"/>
      <c r="D200" s="69" t="s">
        <v>231</v>
      </c>
      <c r="E200" s="69"/>
      <c r="F200" s="69"/>
      <c r="G200" s="69" t="s">
        <v>170</v>
      </c>
      <c r="H200" s="69"/>
      <c r="I200" s="66"/>
    </row>
    <row r="201" spans="2:9" ht="12.75" customHeight="1">
      <c r="B201" s="69"/>
      <c r="C201" s="69"/>
      <c r="D201" s="69"/>
      <c r="E201" s="69"/>
      <c r="F201" s="69"/>
      <c r="G201" s="69"/>
      <c r="H201" s="69"/>
    </row>
    <row r="202" spans="2:9" ht="12.75" customHeight="1"/>
    <row r="203" spans="2:9" ht="12.75" customHeight="1"/>
    <row r="204" spans="2:9" ht="12.75" customHeight="1"/>
    <row r="205" spans="2:9" ht="12.75" customHeight="1"/>
    <row r="206" spans="2:9" ht="12.75" customHeight="1"/>
    <row r="207" spans="2:9" ht="12.75" customHeight="1"/>
    <row r="208" spans="2:9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C89:I89"/>
    <mergeCell ref="C168:I168"/>
    <mergeCell ref="C169:I169"/>
    <mergeCell ref="C6:I6"/>
    <mergeCell ref="N6:T6"/>
    <mergeCell ref="C7:I7"/>
    <mergeCell ref="N7:T7"/>
    <mergeCell ref="C88:I88"/>
  </mergeCells>
  <pageMargins left="0.51181102362204722" right="0.51181102362204722" top="0.74803149606299213" bottom="0.55118110236220474" header="0" footer="0"/>
  <pageSetup paperSize="5" scale="85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703125" defaultRowHeight="15" customHeight="1"/>
  <cols>
    <col min="1" max="1" width="5.5703125" customWidth="1"/>
    <col min="2" max="3" width="3.42578125" customWidth="1"/>
    <col min="4" max="4" width="25.85546875" customWidth="1"/>
    <col min="5" max="5" width="2.140625" customWidth="1"/>
    <col min="6" max="6" width="28.42578125" customWidth="1"/>
    <col min="7" max="10" width="8.5703125" customWidth="1"/>
    <col min="11" max="11" width="11" customWidth="1"/>
    <col min="12" max="12" width="6.5703125" customWidth="1"/>
    <col min="13" max="13" width="4" customWidth="1"/>
    <col min="14" max="14" width="3.28515625" customWidth="1"/>
    <col min="15" max="15" width="22.7109375" customWidth="1"/>
    <col min="16" max="16" width="2.28515625" customWidth="1"/>
    <col min="17" max="26" width="8.5703125" customWidth="1"/>
  </cols>
  <sheetData>
    <row r="1" spans="1:20" ht="12.75" customHeight="1"/>
    <row r="2" spans="1:20" ht="12.75" customHeight="1"/>
    <row r="3" spans="1:20" ht="12.75" customHeight="1"/>
    <row r="4" spans="1:20" ht="12.75" customHeight="1"/>
    <row r="5" spans="1:20" ht="12.75" customHeight="1"/>
    <row r="6" spans="1:20" ht="12.75" customHeight="1">
      <c r="C6" s="66"/>
      <c r="D6" s="66"/>
      <c r="E6" s="66"/>
      <c r="F6" s="66"/>
      <c r="G6" s="66"/>
      <c r="H6" s="66"/>
      <c r="I6" s="66"/>
      <c r="N6" s="66"/>
      <c r="O6" s="66"/>
      <c r="P6" s="66"/>
      <c r="Q6" s="66"/>
      <c r="R6" s="66" t="s">
        <v>178</v>
      </c>
      <c r="S6" s="66"/>
      <c r="T6" s="66"/>
    </row>
    <row r="7" spans="1:20" ht="12.75" customHeight="1">
      <c r="A7" s="231" t="s">
        <v>34</v>
      </c>
      <c r="B7" s="194"/>
      <c r="C7" s="194"/>
      <c r="D7" s="194"/>
      <c r="E7" s="194"/>
      <c r="F7" s="194"/>
      <c r="G7" s="194"/>
      <c r="H7" s="194"/>
      <c r="I7" s="194"/>
      <c r="J7" s="194"/>
      <c r="N7" s="66"/>
      <c r="O7" s="66"/>
      <c r="P7" s="66"/>
      <c r="Q7" s="66"/>
      <c r="R7" s="66"/>
      <c r="S7" s="67" t="s">
        <v>239</v>
      </c>
      <c r="T7" s="66"/>
    </row>
    <row r="8" spans="1:20" ht="12.75" customHeight="1">
      <c r="A8" s="231" t="s">
        <v>240</v>
      </c>
      <c r="B8" s="194"/>
      <c r="C8" s="194"/>
      <c r="D8" s="194"/>
      <c r="E8" s="194"/>
      <c r="F8" s="194"/>
      <c r="G8" s="194"/>
      <c r="H8" s="194"/>
      <c r="I8" s="194"/>
      <c r="J8" s="194"/>
      <c r="N8" s="66"/>
      <c r="O8" s="66"/>
      <c r="P8" s="66"/>
      <c r="Q8" s="66"/>
      <c r="R8" s="66"/>
      <c r="S8" s="68" t="s">
        <v>241</v>
      </c>
      <c r="T8" s="66"/>
    </row>
    <row r="9" spans="1:20" ht="12.75" customHeight="1">
      <c r="A9" s="231" t="s">
        <v>242</v>
      </c>
      <c r="B9" s="194"/>
      <c r="C9" s="194"/>
      <c r="D9" s="194"/>
      <c r="E9" s="194"/>
      <c r="F9" s="194"/>
      <c r="G9" s="194"/>
      <c r="H9" s="194"/>
      <c r="I9" s="194"/>
      <c r="J9" s="194"/>
      <c r="N9" s="66"/>
      <c r="O9" s="66"/>
      <c r="P9" s="66"/>
      <c r="Q9" s="66"/>
      <c r="R9" s="66"/>
      <c r="S9" s="66"/>
      <c r="T9" s="66"/>
    </row>
    <row r="10" spans="1:20" ht="12.75" customHeight="1">
      <c r="A10" s="73"/>
      <c r="B10" s="69"/>
      <c r="C10" s="70"/>
      <c r="D10" s="70"/>
      <c r="E10" s="70"/>
      <c r="F10" s="70"/>
      <c r="G10" s="70"/>
      <c r="H10" s="70"/>
      <c r="I10" s="70"/>
      <c r="N10" s="66" t="s">
        <v>101</v>
      </c>
      <c r="O10" s="66"/>
      <c r="P10" s="66" t="s">
        <v>10</v>
      </c>
      <c r="Q10" s="66" t="s">
        <v>102</v>
      </c>
      <c r="R10" s="66"/>
      <c r="S10" s="66"/>
      <c r="T10" s="66"/>
    </row>
    <row r="11" spans="1:20" ht="12.75" customHeight="1">
      <c r="A11" s="73"/>
      <c r="B11" s="69"/>
      <c r="C11" s="70"/>
      <c r="D11" s="70"/>
      <c r="E11" s="70"/>
      <c r="F11" s="70"/>
      <c r="G11" s="70"/>
      <c r="H11" s="70"/>
      <c r="I11" s="70"/>
      <c r="N11" s="66" t="s">
        <v>103</v>
      </c>
      <c r="O11" s="66"/>
      <c r="P11" s="66" t="s">
        <v>10</v>
      </c>
      <c r="Q11" s="66" t="s">
        <v>104</v>
      </c>
      <c r="R11" s="66"/>
      <c r="S11" s="66"/>
      <c r="T11" s="66"/>
    </row>
    <row r="12" spans="1:20" ht="12.75" customHeight="1">
      <c r="A12" s="232" t="s">
        <v>243</v>
      </c>
      <c r="B12" s="194"/>
      <c r="C12" s="194"/>
      <c r="D12" s="194"/>
      <c r="E12" s="194"/>
      <c r="F12" s="194"/>
      <c r="G12" s="194"/>
      <c r="H12" s="194"/>
      <c r="I12" s="194"/>
      <c r="J12" s="194"/>
      <c r="N12" s="66" t="s">
        <v>105</v>
      </c>
      <c r="O12" s="66"/>
      <c r="P12" s="66" t="s">
        <v>10</v>
      </c>
      <c r="Q12" s="66" t="s">
        <v>106</v>
      </c>
      <c r="R12" s="66"/>
      <c r="S12" s="66"/>
      <c r="T12" s="66"/>
    </row>
    <row r="13" spans="1:20" ht="12.75" customHeight="1">
      <c r="A13" s="233" t="s">
        <v>244</v>
      </c>
      <c r="B13" s="194"/>
      <c r="C13" s="194"/>
      <c r="D13" s="194"/>
      <c r="E13" s="194"/>
      <c r="F13" s="194"/>
      <c r="G13" s="194"/>
      <c r="H13" s="194"/>
      <c r="I13" s="194"/>
      <c r="J13" s="194"/>
      <c r="N13" s="66"/>
      <c r="O13" s="66"/>
      <c r="P13" s="66"/>
      <c r="Q13" s="66"/>
      <c r="R13" s="66"/>
      <c r="S13" s="66"/>
      <c r="T13" s="66"/>
    </row>
    <row r="14" spans="1:20" ht="12.75" customHeight="1">
      <c r="A14" s="69"/>
      <c r="B14" s="69"/>
      <c r="C14" s="228"/>
      <c r="D14" s="194"/>
      <c r="E14" s="194"/>
      <c r="F14" s="194"/>
      <c r="G14" s="194"/>
      <c r="H14" s="194"/>
      <c r="I14" s="194"/>
      <c r="N14" s="228" t="s">
        <v>245</v>
      </c>
      <c r="O14" s="194"/>
      <c r="P14" s="194"/>
      <c r="Q14" s="194"/>
      <c r="R14" s="194"/>
      <c r="S14" s="194"/>
      <c r="T14" s="194"/>
    </row>
    <row r="15" spans="1:20" ht="12.75" customHeight="1">
      <c r="A15" s="69"/>
      <c r="B15" s="69"/>
      <c r="C15" s="70"/>
      <c r="D15" s="70"/>
      <c r="E15" s="70"/>
      <c r="F15" s="70"/>
      <c r="G15" s="70"/>
      <c r="H15" s="70"/>
      <c r="I15" s="70"/>
      <c r="N15" s="66"/>
      <c r="O15" s="66"/>
      <c r="P15" s="66"/>
      <c r="Q15" s="66"/>
      <c r="R15" s="66"/>
      <c r="S15" s="66"/>
      <c r="T15" s="66"/>
    </row>
    <row r="16" spans="1:20" ht="12.75" customHeight="1">
      <c r="A16" s="69"/>
      <c r="B16" s="70" t="s">
        <v>246</v>
      </c>
      <c r="C16" s="69"/>
      <c r="D16" s="70"/>
      <c r="E16" s="70"/>
      <c r="F16" s="70"/>
      <c r="G16" s="70"/>
      <c r="H16" s="70"/>
      <c r="I16" s="70"/>
      <c r="M16" s="66" t="s">
        <v>110</v>
      </c>
      <c r="O16" s="66"/>
      <c r="P16" s="66"/>
      <c r="Q16" s="66"/>
      <c r="R16" s="66"/>
      <c r="S16" s="66"/>
      <c r="T16" s="66"/>
    </row>
    <row r="17" spans="1:20" ht="12.75" customHeight="1">
      <c r="A17" s="69"/>
      <c r="B17" s="69"/>
      <c r="C17" s="70"/>
      <c r="D17" s="70"/>
      <c r="E17" s="70"/>
      <c r="F17" s="70"/>
      <c r="G17" s="70"/>
      <c r="H17" s="70"/>
      <c r="I17" s="70"/>
      <c r="N17" s="66"/>
      <c r="O17" s="66"/>
      <c r="P17" s="66"/>
      <c r="Q17" s="66"/>
      <c r="R17" s="66"/>
      <c r="S17" s="66"/>
      <c r="T17" s="66"/>
    </row>
    <row r="18" spans="1:20" ht="12.75" customHeight="1">
      <c r="A18" s="69"/>
      <c r="B18" s="69" t="s">
        <v>206</v>
      </c>
      <c r="C18" s="70" t="s">
        <v>111</v>
      </c>
      <c r="D18" s="70" t="s">
        <v>112</v>
      </c>
      <c r="E18" s="70" t="s">
        <v>10</v>
      </c>
      <c r="F18" s="70" t="s">
        <v>247</v>
      </c>
      <c r="G18" s="70"/>
      <c r="H18" s="70"/>
      <c r="I18" s="70"/>
      <c r="M18" s="64" t="s">
        <v>206</v>
      </c>
      <c r="N18" s="66" t="s">
        <v>111</v>
      </c>
      <c r="O18" s="66" t="s">
        <v>112</v>
      </c>
      <c r="P18" s="66" t="s">
        <v>10</v>
      </c>
      <c r="Q18" s="66" t="s">
        <v>114</v>
      </c>
      <c r="R18" s="66"/>
      <c r="S18" s="66"/>
      <c r="T18" s="66"/>
    </row>
    <row r="19" spans="1:20" ht="12.75" customHeight="1">
      <c r="A19" s="69"/>
      <c r="B19" s="69"/>
      <c r="C19" s="70" t="s">
        <v>115</v>
      </c>
      <c r="D19" s="70" t="s">
        <v>248</v>
      </c>
      <c r="E19" s="70" t="s">
        <v>10</v>
      </c>
      <c r="F19" s="70" t="s">
        <v>249</v>
      </c>
      <c r="G19" s="70"/>
      <c r="H19" s="70"/>
      <c r="I19" s="70"/>
      <c r="N19" s="66"/>
      <c r="O19" s="66"/>
      <c r="P19" s="66"/>
      <c r="Q19" s="66"/>
      <c r="R19" s="66"/>
      <c r="S19" s="66"/>
      <c r="T19" s="66"/>
    </row>
    <row r="20" spans="1:20" ht="12.75" customHeight="1">
      <c r="A20" s="69"/>
      <c r="B20" s="69"/>
      <c r="C20" s="70" t="s">
        <v>118</v>
      </c>
      <c r="D20" s="70" t="s">
        <v>119</v>
      </c>
      <c r="E20" s="70" t="s">
        <v>10</v>
      </c>
      <c r="F20" s="70" t="s">
        <v>250</v>
      </c>
      <c r="G20" s="70"/>
      <c r="H20" s="70"/>
      <c r="I20" s="70"/>
      <c r="N20" s="66" t="s">
        <v>115</v>
      </c>
      <c r="O20" s="66" t="s">
        <v>119</v>
      </c>
      <c r="P20" s="66" t="s">
        <v>10</v>
      </c>
      <c r="Q20" s="66" t="s">
        <v>114</v>
      </c>
      <c r="R20" s="66"/>
      <c r="S20" s="66"/>
      <c r="T20" s="66"/>
    </row>
    <row r="21" spans="1:20" ht="12.75" customHeight="1">
      <c r="A21" s="69"/>
      <c r="B21" s="69"/>
      <c r="C21" s="70" t="s">
        <v>121</v>
      </c>
      <c r="D21" s="70" t="s">
        <v>251</v>
      </c>
      <c r="E21" s="70" t="s">
        <v>10</v>
      </c>
      <c r="F21" s="70" t="s">
        <v>252</v>
      </c>
      <c r="G21" s="70"/>
      <c r="H21" s="70"/>
      <c r="I21" s="70"/>
      <c r="N21" s="66" t="s">
        <v>118</v>
      </c>
      <c r="O21" s="66" t="s">
        <v>122</v>
      </c>
      <c r="P21" s="66" t="s">
        <v>10</v>
      </c>
      <c r="Q21" s="66" t="s">
        <v>123</v>
      </c>
      <c r="R21" s="66"/>
      <c r="S21" s="66"/>
      <c r="T21" s="66"/>
    </row>
    <row r="22" spans="1:20" ht="12.75" customHeight="1">
      <c r="A22" s="69"/>
      <c r="B22" s="69"/>
      <c r="C22" s="70" t="s">
        <v>124</v>
      </c>
      <c r="D22" s="70" t="s">
        <v>128</v>
      </c>
      <c r="E22" s="70" t="s">
        <v>10</v>
      </c>
      <c r="F22" s="70" t="s">
        <v>129</v>
      </c>
      <c r="G22" s="70"/>
      <c r="H22" s="70"/>
      <c r="I22" s="70"/>
      <c r="N22" s="66" t="s">
        <v>124</v>
      </c>
      <c r="O22" s="66" t="s">
        <v>128</v>
      </c>
      <c r="P22" s="66" t="s">
        <v>10</v>
      </c>
      <c r="Q22" s="66" t="s">
        <v>114</v>
      </c>
      <c r="R22" s="66"/>
      <c r="S22" s="66"/>
      <c r="T22" s="66"/>
    </row>
    <row r="23" spans="1:20" ht="12.75" customHeight="1">
      <c r="A23" s="69"/>
      <c r="B23" s="69"/>
      <c r="C23" s="70" t="s">
        <v>127</v>
      </c>
      <c r="D23" s="70" t="s">
        <v>131</v>
      </c>
      <c r="E23" s="70" t="s">
        <v>10</v>
      </c>
      <c r="F23" s="70" t="s">
        <v>253</v>
      </c>
      <c r="G23" s="70"/>
      <c r="H23" s="70"/>
      <c r="I23" s="70"/>
      <c r="N23" s="66" t="s">
        <v>127</v>
      </c>
      <c r="O23" s="66" t="s">
        <v>131</v>
      </c>
      <c r="P23" s="66" t="s">
        <v>10</v>
      </c>
      <c r="Q23" s="66" t="s">
        <v>133</v>
      </c>
      <c r="R23" s="66"/>
      <c r="S23" s="66"/>
      <c r="T23" s="66"/>
    </row>
    <row r="24" spans="1:20" ht="12.75" customHeight="1">
      <c r="A24" s="69"/>
      <c r="B24" s="69"/>
      <c r="C24" s="70" t="s">
        <v>130</v>
      </c>
      <c r="D24" s="70" t="s">
        <v>254</v>
      </c>
      <c r="E24" s="70" t="s">
        <v>10</v>
      </c>
      <c r="F24" s="70" t="s">
        <v>255</v>
      </c>
      <c r="G24" s="70"/>
      <c r="H24" s="70"/>
      <c r="I24" s="70"/>
      <c r="N24" s="66"/>
      <c r="O24" s="66"/>
      <c r="P24" s="66"/>
      <c r="Q24" s="66"/>
      <c r="R24" s="66"/>
      <c r="S24" s="66"/>
      <c r="T24" s="66"/>
    </row>
    <row r="25" spans="1:20" ht="12.75" customHeight="1">
      <c r="A25" s="69"/>
      <c r="B25" s="69"/>
      <c r="C25" s="70"/>
      <c r="D25" s="70"/>
      <c r="E25" s="70"/>
      <c r="F25" s="70" t="s">
        <v>256</v>
      </c>
      <c r="G25" s="70"/>
      <c r="H25" s="70"/>
      <c r="I25" s="70"/>
      <c r="N25" s="66"/>
      <c r="O25" s="66"/>
      <c r="P25" s="66"/>
      <c r="Q25" s="66"/>
      <c r="R25" s="66"/>
      <c r="S25" s="66"/>
      <c r="T25" s="66"/>
    </row>
    <row r="26" spans="1:20" ht="12.75" customHeight="1">
      <c r="A26" s="69"/>
      <c r="B26" s="69"/>
      <c r="C26" s="70" t="s">
        <v>134</v>
      </c>
      <c r="D26" s="70" t="s">
        <v>257</v>
      </c>
      <c r="E26" s="70" t="s">
        <v>10</v>
      </c>
      <c r="F26" s="70" t="s">
        <v>258</v>
      </c>
      <c r="G26" s="70"/>
      <c r="H26" s="70"/>
      <c r="I26" s="70"/>
      <c r="N26" s="66"/>
      <c r="O26" s="66"/>
      <c r="P26" s="66"/>
      <c r="Q26" s="66"/>
      <c r="R26" s="66"/>
      <c r="S26" s="66"/>
      <c r="T26" s="66"/>
    </row>
    <row r="27" spans="1:20" ht="12.75" customHeight="1">
      <c r="A27" s="69"/>
      <c r="B27" s="69"/>
      <c r="C27" s="70"/>
      <c r="D27" s="70"/>
      <c r="E27" s="70"/>
      <c r="F27" s="70" t="s">
        <v>259</v>
      </c>
      <c r="G27" s="70"/>
      <c r="H27" s="70"/>
      <c r="I27" s="70"/>
      <c r="N27" s="66"/>
      <c r="O27" s="66"/>
      <c r="P27" s="66"/>
      <c r="Q27" s="66"/>
      <c r="R27" s="66"/>
      <c r="S27" s="66"/>
      <c r="T27" s="66"/>
    </row>
    <row r="28" spans="1:20" ht="12.75" customHeight="1">
      <c r="A28" s="69"/>
      <c r="B28" s="69"/>
      <c r="C28" s="70"/>
      <c r="D28" s="70"/>
      <c r="E28" s="70"/>
      <c r="F28" s="70"/>
      <c r="G28" s="70"/>
      <c r="H28" s="70"/>
      <c r="I28" s="70"/>
      <c r="N28" s="66"/>
      <c r="O28" s="66"/>
      <c r="P28" s="66"/>
      <c r="Q28" s="66"/>
      <c r="R28" s="66"/>
      <c r="S28" s="66"/>
      <c r="T28" s="66"/>
    </row>
    <row r="29" spans="1:20" ht="12.75" customHeight="1">
      <c r="A29" s="69"/>
      <c r="B29" s="69"/>
      <c r="C29" s="70" t="s">
        <v>137</v>
      </c>
      <c r="D29" s="70" t="s">
        <v>260</v>
      </c>
      <c r="E29" s="70" t="s">
        <v>10</v>
      </c>
      <c r="F29" s="70" t="s">
        <v>261</v>
      </c>
      <c r="G29" s="70"/>
      <c r="H29" s="70"/>
      <c r="I29" s="70"/>
      <c r="N29" s="66"/>
      <c r="O29" s="66"/>
      <c r="P29" s="66"/>
      <c r="Q29" s="66"/>
      <c r="R29" s="66"/>
      <c r="S29" s="66"/>
      <c r="T29" s="66"/>
    </row>
    <row r="30" spans="1:20" ht="12.75" customHeight="1">
      <c r="A30" s="69"/>
      <c r="B30" s="69"/>
      <c r="C30" s="70" t="s">
        <v>145</v>
      </c>
      <c r="D30" s="70" t="s">
        <v>262</v>
      </c>
      <c r="E30" s="70" t="s">
        <v>10</v>
      </c>
      <c r="F30" s="70" t="s">
        <v>263</v>
      </c>
      <c r="G30" s="70"/>
      <c r="H30" s="70"/>
      <c r="I30" s="70"/>
      <c r="N30" s="66"/>
      <c r="O30" s="66"/>
      <c r="P30" s="66"/>
      <c r="Q30" s="66"/>
      <c r="R30" s="66"/>
      <c r="S30" s="66"/>
      <c r="T30" s="66"/>
    </row>
    <row r="31" spans="1:20" ht="12.75" customHeight="1">
      <c r="A31" s="69"/>
      <c r="B31" s="69"/>
      <c r="C31" s="70"/>
      <c r="D31" s="70"/>
      <c r="E31" s="70"/>
      <c r="F31" s="70" t="s">
        <v>264</v>
      </c>
      <c r="G31" s="70"/>
      <c r="H31" s="70"/>
      <c r="I31" s="70"/>
      <c r="N31" s="66"/>
      <c r="O31" s="66"/>
      <c r="P31" s="66"/>
      <c r="Q31" s="66"/>
      <c r="R31" s="66"/>
      <c r="S31" s="66"/>
      <c r="T31" s="66"/>
    </row>
    <row r="32" spans="1:20" ht="12.75" customHeight="1">
      <c r="A32" s="69"/>
      <c r="B32" s="69"/>
      <c r="C32" s="70"/>
      <c r="D32" s="70"/>
      <c r="E32" s="70"/>
      <c r="F32" s="70" t="s">
        <v>265</v>
      </c>
      <c r="G32" s="70"/>
      <c r="H32" s="70"/>
      <c r="I32" s="70"/>
      <c r="N32" s="66"/>
      <c r="O32" s="66"/>
      <c r="P32" s="66"/>
      <c r="Q32" s="66"/>
      <c r="R32" s="66"/>
      <c r="S32" s="66"/>
      <c r="T32" s="66"/>
    </row>
    <row r="33" spans="1:20" ht="12.75" customHeight="1">
      <c r="A33" s="69"/>
      <c r="B33" s="69"/>
      <c r="C33" s="70"/>
      <c r="D33" s="70"/>
      <c r="E33" s="70"/>
      <c r="F33" s="70" t="s">
        <v>266</v>
      </c>
      <c r="G33" s="70"/>
      <c r="H33" s="70"/>
      <c r="I33" s="70"/>
      <c r="N33" s="66"/>
      <c r="O33" s="66"/>
      <c r="P33" s="66"/>
      <c r="Q33" s="66"/>
      <c r="R33" s="66"/>
      <c r="S33" s="66"/>
      <c r="T33" s="66"/>
    </row>
    <row r="34" spans="1:20" ht="12.75" customHeight="1">
      <c r="A34" s="69"/>
      <c r="B34" s="69"/>
      <c r="C34" s="70"/>
      <c r="D34" s="70"/>
      <c r="E34" s="70"/>
      <c r="F34" s="70" t="s">
        <v>267</v>
      </c>
      <c r="G34" s="70"/>
      <c r="H34" s="70"/>
      <c r="I34" s="70"/>
      <c r="N34" s="66"/>
      <c r="O34" s="66"/>
      <c r="P34" s="66"/>
      <c r="Q34" s="66"/>
      <c r="R34" s="66"/>
      <c r="S34" s="66"/>
      <c r="T34" s="66"/>
    </row>
    <row r="35" spans="1:20" ht="12.75" customHeight="1">
      <c r="A35" s="69"/>
      <c r="B35" s="69"/>
      <c r="C35" s="70"/>
      <c r="D35" s="70"/>
      <c r="E35" s="70"/>
      <c r="F35" s="70" t="s">
        <v>268</v>
      </c>
      <c r="G35" s="70"/>
      <c r="H35" s="70"/>
      <c r="I35" s="70"/>
      <c r="N35" s="66"/>
      <c r="O35" s="66"/>
      <c r="P35" s="66"/>
      <c r="Q35" s="66"/>
      <c r="R35" s="66"/>
      <c r="S35" s="66"/>
      <c r="T35" s="66"/>
    </row>
    <row r="36" spans="1:20" ht="12.75" customHeight="1">
      <c r="A36" s="69"/>
      <c r="B36" s="69"/>
      <c r="C36" s="70"/>
      <c r="D36" s="70"/>
      <c r="E36" s="70"/>
      <c r="F36" s="70" t="s">
        <v>269</v>
      </c>
      <c r="G36" s="70"/>
      <c r="H36" s="70"/>
      <c r="I36" s="70"/>
      <c r="N36" s="66"/>
      <c r="O36" s="66"/>
      <c r="P36" s="66"/>
      <c r="Q36" s="66"/>
      <c r="R36" s="66"/>
      <c r="S36" s="66"/>
      <c r="T36" s="66"/>
    </row>
    <row r="37" spans="1:20" ht="12.75" customHeight="1">
      <c r="A37" s="69"/>
      <c r="B37" s="69"/>
      <c r="C37" s="70"/>
      <c r="D37" s="69"/>
      <c r="E37" s="69"/>
      <c r="F37" s="69" t="s">
        <v>270</v>
      </c>
      <c r="G37" s="70"/>
      <c r="H37" s="70"/>
      <c r="I37" s="70"/>
      <c r="N37" s="66"/>
      <c r="R37" s="66"/>
      <c r="S37" s="66"/>
      <c r="T37" s="66"/>
    </row>
    <row r="38" spans="1:20" ht="12.75" customHeight="1">
      <c r="A38" s="69"/>
      <c r="B38" s="69"/>
      <c r="C38" s="70"/>
      <c r="D38" s="69"/>
      <c r="E38" s="69"/>
      <c r="F38" s="69" t="s">
        <v>271</v>
      </c>
      <c r="G38" s="70"/>
      <c r="H38" s="70"/>
      <c r="I38" s="70"/>
      <c r="N38" s="66"/>
      <c r="R38" s="66"/>
      <c r="S38" s="66"/>
      <c r="T38" s="66"/>
    </row>
    <row r="39" spans="1:20" ht="12.75" customHeight="1">
      <c r="A39" s="69"/>
      <c r="B39" s="69"/>
      <c r="C39" s="70"/>
      <c r="D39" s="70"/>
      <c r="E39" s="70"/>
      <c r="F39" s="70"/>
      <c r="G39" s="70"/>
      <c r="H39" s="70"/>
      <c r="I39" s="70"/>
      <c r="N39" s="66"/>
      <c r="O39" s="66"/>
      <c r="P39" s="66"/>
      <c r="Q39" s="66"/>
      <c r="R39" s="66"/>
      <c r="S39" s="66"/>
      <c r="T39" s="66"/>
    </row>
    <row r="40" spans="1:20" ht="12.75" customHeight="1">
      <c r="A40" s="69"/>
      <c r="B40" s="69"/>
      <c r="C40" s="70"/>
      <c r="D40" s="70" t="s">
        <v>147</v>
      </c>
      <c r="E40" s="70"/>
      <c r="F40" s="70"/>
      <c r="G40" s="70"/>
      <c r="H40" s="70"/>
      <c r="I40" s="70"/>
      <c r="N40" s="66"/>
      <c r="O40" s="66" t="s">
        <v>147</v>
      </c>
      <c r="P40" s="66"/>
      <c r="Q40" s="66"/>
      <c r="R40" s="66"/>
      <c r="S40" s="66"/>
      <c r="T40" s="66"/>
    </row>
    <row r="41" spans="1:20" ht="12.75" customHeight="1">
      <c r="A41" s="69"/>
      <c r="B41" s="70" t="s">
        <v>148</v>
      </c>
      <c r="C41" s="69"/>
      <c r="D41" s="70"/>
      <c r="E41" s="70"/>
      <c r="F41" s="70"/>
      <c r="G41" s="70"/>
      <c r="H41" s="70"/>
      <c r="I41" s="70"/>
      <c r="M41" s="66" t="s">
        <v>148</v>
      </c>
      <c r="O41" s="66"/>
      <c r="P41" s="66"/>
      <c r="Q41" s="66"/>
      <c r="R41" s="66"/>
      <c r="S41" s="66"/>
      <c r="T41" s="66"/>
    </row>
    <row r="42" spans="1:20" ht="9.75" customHeight="1">
      <c r="A42" s="69"/>
      <c r="B42" s="69"/>
      <c r="C42" s="70"/>
      <c r="D42" s="70"/>
      <c r="E42" s="70"/>
      <c r="F42" s="70"/>
      <c r="G42" s="70"/>
      <c r="H42" s="70"/>
      <c r="I42" s="70"/>
      <c r="N42" s="66"/>
      <c r="O42" s="66"/>
      <c r="P42" s="66"/>
      <c r="Q42" s="66"/>
      <c r="R42" s="66"/>
      <c r="S42" s="66"/>
      <c r="T42" s="66"/>
    </row>
    <row r="43" spans="1:20" ht="12.75" customHeight="1">
      <c r="A43" s="69"/>
      <c r="B43" s="69"/>
      <c r="C43" s="70"/>
      <c r="D43" s="70"/>
      <c r="E43" s="70"/>
      <c r="F43" s="70"/>
      <c r="G43" s="70" t="s">
        <v>272</v>
      </c>
      <c r="H43" s="70"/>
      <c r="I43" s="70"/>
      <c r="N43" s="66"/>
      <c r="O43" s="66"/>
      <c r="P43" s="66"/>
      <c r="Q43" s="66"/>
      <c r="R43" s="66" t="s">
        <v>150</v>
      </c>
      <c r="S43" s="66"/>
      <c r="T43" s="66"/>
    </row>
    <row r="44" spans="1:20" ht="9" customHeight="1">
      <c r="A44" s="69"/>
      <c r="B44" s="69"/>
      <c r="C44" s="70"/>
      <c r="D44" s="70"/>
      <c r="E44" s="70"/>
      <c r="F44" s="70"/>
      <c r="G44" s="70"/>
      <c r="H44" s="70"/>
      <c r="I44" s="70"/>
      <c r="N44" s="66"/>
      <c r="O44" s="66"/>
      <c r="P44" s="66"/>
      <c r="Q44" s="66"/>
      <c r="R44" s="66"/>
      <c r="S44" s="66"/>
      <c r="T44" s="66"/>
    </row>
    <row r="45" spans="1:20" ht="12.75" customHeight="1">
      <c r="A45" s="69"/>
      <c r="B45" s="69"/>
      <c r="C45" s="70"/>
      <c r="D45" s="70" t="s">
        <v>273</v>
      </c>
      <c r="E45" s="70"/>
      <c r="F45" s="70"/>
      <c r="G45" s="70" t="s">
        <v>274</v>
      </c>
      <c r="H45" s="70"/>
      <c r="I45" s="70"/>
      <c r="N45" s="66"/>
      <c r="O45" s="66"/>
      <c r="P45" s="66"/>
      <c r="Q45" s="66"/>
      <c r="R45" s="66" t="s">
        <v>151</v>
      </c>
      <c r="S45" s="66"/>
      <c r="T45" s="66"/>
    </row>
    <row r="46" spans="1:20" ht="12.75" customHeight="1">
      <c r="A46" s="69"/>
      <c r="B46" s="69"/>
      <c r="C46" s="70"/>
      <c r="D46" s="70"/>
      <c r="E46" s="70"/>
      <c r="F46" s="70"/>
      <c r="G46" s="70"/>
      <c r="H46" s="70"/>
      <c r="I46" s="70"/>
      <c r="N46" s="66"/>
      <c r="O46" s="66"/>
      <c r="P46" s="66"/>
      <c r="Q46" s="66"/>
      <c r="R46" s="66"/>
      <c r="S46" s="66"/>
      <c r="T46" s="66"/>
    </row>
    <row r="47" spans="1:20" ht="12.75" customHeight="1">
      <c r="A47" s="69"/>
      <c r="B47" s="69"/>
      <c r="C47" s="70"/>
      <c r="D47" s="70"/>
      <c r="E47" s="70"/>
      <c r="F47" s="70"/>
      <c r="G47" s="70"/>
      <c r="H47" s="70"/>
      <c r="I47" s="70"/>
      <c r="N47" s="66"/>
      <c r="O47" s="66"/>
      <c r="P47" s="66"/>
      <c r="Q47" s="66"/>
      <c r="R47" s="66"/>
      <c r="S47" s="66"/>
      <c r="T47" s="66"/>
    </row>
    <row r="48" spans="1:20" ht="12.75" customHeight="1">
      <c r="A48" s="69"/>
      <c r="B48" s="69"/>
      <c r="C48" s="70"/>
      <c r="D48" s="70"/>
      <c r="E48" s="70"/>
      <c r="F48" s="70"/>
      <c r="G48" s="70"/>
      <c r="H48" s="70"/>
      <c r="I48" s="70"/>
      <c r="N48" s="66"/>
      <c r="O48" s="66"/>
      <c r="P48" s="66"/>
      <c r="Q48" s="66"/>
      <c r="R48" s="66"/>
      <c r="S48" s="66"/>
      <c r="T48" s="66"/>
    </row>
    <row r="49" spans="1:20" ht="12.75" customHeight="1">
      <c r="A49" s="69"/>
      <c r="B49" s="69"/>
      <c r="C49" s="70"/>
      <c r="D49" s="70" t="s">
        <v>247</v>
      </c>
      <c r="E49" s="70"/>
      <c r="F49" s="70"/>
      <c r="G49" s="70" t="s">
        <v>275</v>
      </c>
      <c r="H49" s="70"/>
      <c r="I49" s="70"/>
      <c r="N49" s="66"/>
      <c r="O49" s="66"/>
      <c r="P49" s="66"/>
      <c r="Q49" s="66"/>
      <c r="R49" s="66" t="s">
        <v>152</v>
      </c>
      <c r="S49" s="66"/>
      <c r="T49" s="66"/>
    </row>
    <row r="50" spans="1:20" ht="12.75" customHeight="1">
      <c r="A50" s="69"/>
      <c r="B50" s="69"/>
      <c r="C50" s="69"/>
      <c r="D50" s="69"/>
      <c r="E50" s="69"/>
      <c r="F50" s="69"/>
      <c r="G50" s="69"/>
      <c r="H50" s="69"/>
      <c r="I50" s="69"/>
    </row>
    <row r="51" spans="1:20" ht="12.75" customHeight="1">
      <c r="A51" s="69"/>
      <c r="B51" s="69"/>
      <c r="C51" s="69"/>
      <c r="D51" s="69"/>
      <c r="E51" s="69"/>
      <c r="F51" s="69"/>
      <c r="G51" s="69"/>
      <c r="H51" s="69"/>
      <c r="I51" s="69"/>
    </row>
    <row r="52" spans="1:20" ht="12.75" customHeight="1">
      <c r="A52" s="69"/>
      <c r="B52" s="69"/>
      <c r="C52" s="69"/>
      <c r="D52" s="69"/>
      <c r="E52" s="69"/>
      <c r="F52" s="69"/>
      <c r="G52" s="69"/>
      <c r="H52" s="69"/>
      <c r="I52" s="69"/>
    </row>
    <row r="53" spans="1:20" ht="12.75" customHeight="1">
      <c r="A53" s="69"/>
      <c r="B53" s="69"/>
      <c r="C53" s="69"/>
      <c r="D53" s="69"/>
      <c r="E53" s="69"/>
      <c r="F53" s="69"/>
      <c r="G53" s="69"/>
      <c r="H53" s="69"/>
      <c r="I53" s="69"/>
    </row>
    <row r="54" spans="1:20" ht="12.75" customHeight="1">
      <c r="A54" s="69"/>
      <c r="B54" s="69"/>
      <c r="C54" s="69"/>
      <c r="D54" s="69"/>
      <c r="E54" s="69"/>
      <c r="F54" s="69"/>
      <c r="G54" s="69"/>
      <c r="H54" s="69"/>
      <c r="I54" s="69"/>
    </row>
    <row r="55" spans="1:20" ht="12.75" customHeight="1">
      <c r="A55" s="69"/>
      <c r="B55" s="69"/>
      <c r="C55" s="69"/>
      <c r="D55" s="69"/>
      <c r="E55" s="69"/>
      <c r="F55" s="69"/>
      <c r="G55" s="69"/>
      <c r="H55" s="69"/>
      <c r="I55" s="69"/>
    </row>
    <row r="56" spans="1:20" ht="12.75" customHeight="1">
      <c r="A56" s="69"/>
      <c r="B56" s="69"/>
      <c r="C56" s="69"/>
      <c r="D56" s="69"/>
      <c r="E56" s="69"/>
      <c r="F56" s="69"/>
      <c r="G56" s="69"/>
      <c r="H56" s="69"/>
      <c r="I56" s="69"/>
    </row>
    <row r="57" spans="1:20" ht="12.75" customHeight="1">
      <c r="A57" s="69"/>
      <c r="B57" s="69"/>
      <c r="C57" s="69"/>
      <c r="D57" s="69"/>
      <c r="E57" s="69"/>
      <c r="F57" s="69"/>
      <c r="G57" s="69"/>
      <c r="H57" s="69"/>
      <c r="I57" s="69"/>
    </row>
    <row r="58" spans="1:20" ht="12.75" customHeight="1">
      <c r="A58" s="69"/>
      <c r="B58" s="69"/>
      <c r="C58" s="69"/>
      <c r="D58" s="69"/>
      <c r="E58" s="69"/>
      <c r="F58" s="69"/>
      <c r="G58" s="69"/>
      <c r="H58" s="69"/>
      <c r="I58" s="69"/>
    </row>
    <row r="59" spans="1:20" ht="12.75" customHeight="1">
      <c r="A59" s="69"/>
      <c r="B59" s="69"/>
      <c r="C59" s="69"/>
      <c r="D59" s="69"/>
      <c r="E59" s="69"/>
      <c r="F59" s="69"/>
      <c r="G59" s="69"/>
      <c r="H59" s="69"/>
      <c r="I59" s="69"/>
    </row>
    <row r="60" spans="1:20" ht="12.75" customHeight="1">
      <c r="A60" s="69"/>
      <c r="B60" s="69"/>
      <c r="C60" s="69"/>
      <c r="D60" s="69"/>
      <c r="E60" s="69"/>
      <c r="F60" s="69"/>
      <c r="G60" s="69"/>
      <c r="H60" s="69"/>
      <c r="I60" s="69"/>
    </row>
    <row r="61" spans="1:20" ht="12.75" customHeight="1">
      <c r="A61" s="69"/>
      <c r="B61" s="69"/>
      <c r="C61" s="69"/>
      <c r="D61" s="69"/>
      <c r="E61" s="69"/>
      <c r="F61" s="69"/>
      <c r="G61" s="69"/>
      <c r="H61" s="69"/>
      <c r="I61" s="69"/>
    </row>
    <row r="62" spans="1:20" ht="12.75" customHeight="1">
      <c r="A62" s="69"/>
      <c r="B62" s="69"/>
      <c r="C62" s="69"/>
      <c r="D62" s="69"/>
      <c r="E62" s="69"/>
      <c r="F62" s="69"/>
      <c r="G62" s="69"/>
      <c r="H62" s="69"/>
      <c r="I62" s="69"/>
    </row>
    <row r="63" spans="1:20" ht="12.75" customHeight="1">
      <c r="A63" s="69"/>
      <c r="B63" s="69"/>
      <c r="C63" s="69"/>
      <c r="D63" s="69"/>
      <c r="E63" s="69"/>
      <c r="F63" s="69"/>
      <c r="G63" s="69"/>
      <c r="H63" s="69"/>
      <c r="I63" s="69"/>
    </row>
    <row r="64" spans="1:20" ht="12.75" customHeight="1">
      <c r="A64" s="69"/>
      <c r="B64" s="69"/>
      <c r="C64" s="69"/>
      <c r="D64" s="69"/>
      <c r="E64" s="69"/>
      <c r="F64" s="69"/>
      <c r="G64" s="69"/>
      <c r="H64" s="69"/>
      <c r="I64" s="69"/>
    </row>
    <row r="65" spans="1:9" ht="12.75" customHeight="1">
      <c r="A65" s="69"/>
      <c r="B65" s="69"/>
      <c r="C65" s="69"/>
      <c r="D65" s="69"/>
      <c r="E65" s="69"/>
      <c r="F65" s="69"/>
      <c r="G65" s="69"/>
      <c r="H65" s="69"/>
      <c r="I65" s="69"/>
    </row>
    <row r="66" spans="1:9" ht="12.75" customHeight="1">
      <c r="A66" s="69"/>
      <c r="B66" s="69"/>
      <c r="C66" s="69"/>
      <c r="D66" s="69"/>
      <c r="E66" s="69"/>
      <c r="F66" s="69"/>
      <c r="G66" s="69"/>
      <c r="H66" s="69"/>
      <c r="I66" s="69"/>
    </row>
    <row r="67" spans="1:9" ht="12.75" customHeight="1">
      <c r="A67" s="69"/>
      <c r="B67" s="69"/>
      <c r="C67" s="69"/>
      <c r="D67" s="69"/>
      <c r="E67" s="69"/>
      <c r="F67" s="69"/>
      <c r="G67" s="69"/>
      <c r="H67" s="69"/>
      <c r="I67" s="69"/>
    </row>
    <row r="68" spans="1:9" ht="12.75" customHeight="1">
      <c r="A68" s="69"/>
      <c r="B68" s="69"/>
      <c r="C68" s="69"/>
      <c r="D68" s="69"/>
      <c r="E68" s="69"/>
      <c r="F68" s="69"/>
      <c r="G68" s="69"/>
      <c r="H68" s="69"/>
      <c r="I68" s="69"/>
    </row>
    <row r="69" spans="1:9" ht="12.75" customHeight="1"/>
    <row r="70" spans="1:9" ht="12.75" customHeight="1"/>
    <row r="71" spans="1:9" ht="12.75" customHeight="1"/>
    <row r="72" spans="1:9" ht="12.75" customHeight="1"/>
    <row r="73" spans="1:9" ht="12.75" customHeight="1"/>
    <row r="74" spans="1:9" ht="12.75" customHeight="1"/>
    <row r="75" spans="1:9" ht="12.75" customHeight="1"/>
    <row r="76" spans="1:9" ht="12.75" customHeight="1"/>
    <row r="77" spans="1:9" ht="12.75" customHeight="1"/>
    <row r="78" spans="1:9" ht="12.75" customHeight="1"/>
    <row r="79" spans="1:9" ht="12.75" customHeight="1"/>
    <row r="80" spans="1:9" ht="12.75" customHeight="1"/>
    <row r="81" spans="3:9" ht="12.75" customHeight="1"/>
    <row r="82" spans="3:9" ht="12.75" customHeight="1"/>
    <row r="83" spans="3:9" ht="12.75" customHeight="1"/>
    <row r="84" spans="3:9" ht="12.75" customHeight="1"/>
    <row r="85" spans="3:9" ht="12.75" customHeight="1"/>
    <row r="86" spans="3:9" ht="12.75" customHeight="1"/>
    <row r="87" spans="3:9" ht="12.75" customHeight="1"/>
    <row r="88" spans="3:9" ht="12.75" customHeight="1"/>
    <row r="89" spans="3:9" ht="12.75" customHeight="1"/>
    <row r="90" spans="3:9" ht="12.75" customHeight="1">
      <c r="C90" s="66"/>
      <c r="D90" s="66"/>
      <c r="E90" s="66"/>
      <c r="F90" s="66"/>
      <c r="G90" s="66" t="s">
        <v>178</v>
      </c>
      <c r="H90" s="66"/>
      <c r="I90" s="66"/>
    </row>
    <row r="91" spans="3:9" ht="12.75" customHeight="1">
      <c r="C91" s="66"/>
      <c r="D91" s="66"/>
      <c r="E91" s="66"/>
      <c r="F91" s="66"/>
      <c r="G91" s="66"/>
      <c r="H91" s="67" t="s">
        <v>239</v>
      </c>
      <c r="I91" s="66"/>
    </row>
    <row r="92" spans="3:9" ht="12.75" customHeight="1">
      <c r="C92" s="66"/>
      <c r="D92" s="66"/>
      <c r="E92" s="66"/>
      <c r="F92" s="66"/>
      <c r="G92" s="66"/>
      <c r="H92" s="68" t="s">
        <v>241</v>
      </c>
      <c r="I92" s="66"/>
    </row>
    <row r="93" spans="3:9" ht="12.75" customHeight="1">
      <c r="C93" s="66"/>
      <c r="D93" s="66"/>
      <c r="E93" s="66"/>
      <c r="F93" s="66"/>
      <c r="G93" s="66"/>
      <c r="H93" s="66"/>
      <c r="I93" s="66"/>
    </row>
    <row r="94" spans="3:9" ht="12.75" customHeight="1">
      <c r="C94" s="66" t="s">
        <v>101</v>
      </c>
      <c r="D94" s="66"/>
      <c r="E94" s="66" t="s">
        <v>10</v>
      </c>
      <c r="F94" s="66" t="s">
        <v>102</v>
      </c>
      <c r="G94" s="66"/>
      <c r="H94" s="66"/>
      <c r="I94" s="66"/>
    </row>
    <row r="95" spans="3:9" ht="12.75" customHeight="1">
      <c r="C95" s="66" t="s">
        <v>103</v>
      </c>
      <c r="D95" s="66"/>
      <c r="E95" s="66" t="s">
        <v>10</v>
      </c>
      <c r="F95" s="66" t="s">
        <v>104</v>
      </c>
      <c r="G95" s="66"/>
      <c r="H95" s="66"/>
      <c r="I95" s="66"/>
    </row>
    <row r="96" spans="3:9" ht="12.75" customHeight="1">
      <c r="C96" s="66" t="s">
        <v>105</v>
      </c>
      <c r="D96" s="66"/>
      <c r="E96" s="66" t="s">
        <v>10</v>
      </c>
      <c r="F96" s="66" t="s">
        <v>106</v>
      </c>
      <c r="G96" s="66"/>
      <c r="H96" s="66"/>
      <c r="I96" s="66"/>
    </row>
    <row r="97" spans="1:9" ht="12.75" customHeight="1">
      <c r="C97" s="66"/>
      <c r="D97" s="66"/>
      <c r="E97" s="66"/>
      <c r="F97" s="66"/>
      <c r="G97" s="66"/>
      <c r="H97" s="66"/>
      <c r="I97" s="66"/>
    </row>
    <row r="98" spans="1:9" ht="12.75" customHeight="1">
      <c r="C98" s="228" t="s">
        <v>245</v>
      </c>
      <c r="D98" s="194"/>
      <c r="E98" s="194"/>
      <c r="F98" s="194"/>
      <c r="G98" s="194"/>
      <c r="H98" s="194"/>
      <c r="I98" s="194"/>
    </row>
    <row r="99" spans="1:9" ht="12.75" customHeight="1">
      <c r="C99" s="225" t="s">
        <v>276</v>
      </c>
      <c r="D99" s="194"/>
      <c r="E99" s="194"/>
      <c r="F99" s="194"/>
      <c r="G99" s="194"/>
      <c r="H99" s="194"/>
      <c r="I99" s="194"/>
    </row>
    <row r="100" spans="1:9" ht="12.75" customHeight="1">
      <c r="C100" s="66"/>
      <c r="D100" s="66"/>
      <c r="E100" s="66"/>
      <c r="F100" s="66"/>
      <c r="G100" s="66"/>
      <c r="H100" s="66"/>
      <c r="I100" s="66"/>
    </row>
    <row r="101" spans="1:9" ht="12.75" customHeight="1">
      <c r="A101" s="69"/>
      <c r="B101" s="69" t="s">
        <v>110</v>
      </c>
      <c r="C101" s="69"/>
      <c r="D101" s="69"/>
      <c r="E101" s="69"/>
      <c r="F101" s="69"/>
      <c r="G101" s="69"/>
      <c r="H101" s="69"/>
      <c r="I101" s="66"/>
    </row>
    <row r="102" spans="1:9" ht="12.75" customHeight="1">
      <c r="A102" s="69"/>
      <c r="B102" s="69"/>
      <c r="C102" s="69"/>
      <c r="D102" s="69"/>
      <c r="E102" s="69"/>
      <c r="F102" s="69"/>
      <c r="G102" s="69"/>
      <c r="H102" s="69"/>
      <c r="I102" s="66"/>
    </row>
    <row r="103" spans="1:9" ht="12.75" customHeight="1">
      <c r="A103" s="69"/>
      <c r="B103" s="69" t="s">
        <v>206</v>
      </c>
      <c r="C103" s="69" t="s">
        <v>111</v>
      </c>
      <c r="D103" s="69" t="s">
        <v>112</v>
      </c>
      <c r="E103" s="69" t="s">
        <v>10</v>
      </c>
      <c r="F103" s="69" t="s">
        <v>277</v>
      </c>
      <c r="G103" s="69"/>
      <c r="H103" s="69"/>
      <c r="I103" s="66"/>
    </row>
    <row r="104" spans="1:9" ht="12.75" customHeight="1">
      <c r="A104" s="69"/>
      <c r="B104" s="69"/>
      <c r="C104" s="69" t="s">
        <v>115</v>
      </c>
      <c r="D104" s="69" t="s">
        <v>119</v>
      </c>
      <c r="E104" s="69" t="s">
        <v>10</v>
      </c>
      <c r="F104" s="69" t="s">
        <v>278</v>
      </c>
      <c r="G104" s="69"/>
      <c r="H104" s="69"/>
      <c r="I104" s="66"/>
    </row>
    <row r="105" spans="1:9" ht="12.75" customHeight="1">
      <c r="A105" s="69"/>
      <c r="B105" s="69"/>
      <c r="C105" s="69" t="s">
        <v>118</v>
      </c>
      <c r="D105" s="69" t="s">
        <v>122</v>
      </c>
      <c r="E105" s="69" t="s">
        <v>10</v>
      </c>
      <c r="F105" s="69" t="s">
        <v>123</v>
      </c>
      <c r="G105" s="69"/>
      <c r="H105" s="69"/>
      <c r="I105" s="66"/>
    </row>
    <row r="106" spans="1:9" ht="12.75" customHeight="1">
      <c r="A106" s="69"/>
      <c r="B106" s="69"/>
      <c r="C106" s="69" t="s">
        <v>121</v>
      </c>
      <c r="D106" s="69" t="s">
        <v>125</v>
      </c>
      <c r="E106" s="69" t="s">
        <v>10</v>
      </c>
      <c r="F106" s="69" t="s">
        <v>126</v>
      </c>
      <c r="G106" s="69"/>
      <c r="H106" s="69"/>
      <c r="I106" s="66"/>
    </row>
    <row r="107" spans="1:9" ht="12.75" customHeight="1">
      <c r="A107" s="69"/>
      <c r="B107" s="69"/>
      <c r="C107" s="69" t="s">
        <v>124</v>
      </c>
      <c r="D107" s="69" t="s">
        <v>128</v>
      </c>
      <c r="E107" s="69" t="s">
        <v>10</v>
      </c>
      <c r="F107" s="69" t="s">
        <v>198</v>
      </c>
      <c r="G107" s="69"/>
      <c r="H107" s="69"/>
      <c r="I107" s="66"/>
    </row>
    <row r="108" spans="1:9" ht="12.75" customHeight="1">
      <c r="A108" s="69"/>
      <c r="B108" s="69"/>
      <c r="C108" s="69" t="s">
        <v>127</v>
      </c>
      <c r="D108" s="69" t="s">
        <v>131</v>
      </c>
      <c r="E108" s="69" t="s">
        <v>10</v>
      </c>
      <c r="F108" s="69" t="s">
        <v>279</v>
      </c>
      <c r="G108" s="69"/>
      <c r="H108" s="69"/>
      <c r="I108" s="66"/>
    </row>
    <row r="109" spans="1:9" ht="12.75" customHeight="1">
      <c r="A109" s="69"/>
      <c r="B109" s="69"/>
      <c r="C109" s="69"/>
      <c r="D109" s="69"/>
      <c r="E109" s="69"/>
      <c r="F109" s="69"/>
      <c r="G109" s="69"/>
      <c r="H109" s="69"/>
      <c r="I109" s="66"/>
    </row>
    <row r="110" spans="1:9" ht="12.75" customHeight="1">
      <c r="A110" s="69"/>
      <c r="B110" s="69" t="s">
        <v>280</v>
      </c>
      <c r="C110" s="69" t="s">
        <v>111</v>
      </c>
      <c r="D110" s="69" t="s">
        <v>112</v>
      </c>
      <c r="E110" s="69" t="s">
        <v>10</v>
      </c>
      <c r="F110" s="69" t="s">
        <v>281</v>
      </c>
      <c r="G110" s="69"/>
      <c r="H110" s="69"/>
      <c r="I110" s="66"/>
    </row>
    <row r="111" spans="1:9" ht="12.75" customHeight="1">
      <c r="A111" s="69"/>
      <c r="B111" s="69"/>
      <c r="C111" s="69" t="s">
        <v>115</v>
      </c>
      <c r="D111" s="69" t="s">
        <v>119</v>
      </c>
      <c r="E111" s="69" t="s">
        <v>10</v>
      </c>
      <c r="F111" s="69" t="s">
        <v>282</v>
      </c>
      <c r="G111" s="69"/>
      <c r="H111" s="69"/>
      <c r="I111" s="66"/>
    </row>
    <row r="112" spans="1:9" ht="12.75" customHeight="1">
      <c r="A112" s="69"/>
      <c r="B112" s="69"/>
      <c r="C112" s="69" t="s">
        <v>118</v>
      </c>
      <c r="D112" s="69" t="s">
        <v>122</v>
      </c>
      <c r="E112" s="69" t="s">
        <v>10</v>
      </c>
      <c r="F112" s="69" t="s">
        <v>123</v>
      </c>
      <c r="G112" s="69"/>
      <c r="H112" s="69"/>
      <c r="I112" s="66"/>
    </row>
    <row r="113" spans="1:9" ht="12.75" customHeight="1">
      <c r="A113" s="69"/>
      <c r="B113" s="69"/>
      <c r="C113" s="69" t="s">
        <v>121</v>
      </c>
      <c r="D113" s="69" t="s">
        <v>125</v>
      </c>
      <c r="E113" s="69" t="s">
        <v>10</v>
      </c>
      <c r="F113" s="69" t="s">
        <v>126</v>
      </c>
      <c r="G113" s="69"/>
      <c r="H113" s="69"/>
      <c r="I113" s="66"/>
    </row>
    <row r="114" spans="1:9" ht="12.75" customHeight="1">
      <c r="A114" s="69"/>
      <c r="B114" s="69"/>
      <c r="C114" s="69" t="s">
        <v>124</v>
      </c>
      <c r="D114" s="69" t="s">
        <v>128</v>
      </c>
      <c r="E114" s="69" t="s">
        <v>10</v>
      </c>
      <c r="F114" s="69" t="s">
        <v>193</v>
      </c>
      <c r="G114" s="69"/>
      <c r="H114" s="69"/>
      <c r="I114" s="66"/>
    </row>
    <row r="115" spans="1:9" ht="12.75" customHeight="1">
      <c r="A115" s="69"/>
      <c r="B115" s="69"/>
      <c r="C115" s="69" t="s">
        <v>127</v>
      </c>
      <c r="D115" s="69" t="s">
        <v>131</v>
      </c>
      <c r="E115" s="69" t="s">
        <v>10</v>
      </c>
      <c r="F115" s="69" t="s">
        <v>279</v>
      </c>
      <c r="G115" s="69"/>
      <c r="H115" s="69"/>
      <c r="I115" s="66"/>
    </row>
    <row r="116" spans="1:9" ht="12.75" customHeight="1">
      <c r="A116" s="69"/>
      <c r="B116" s="69"/>
      <c r="C116" s="69" t="s">
        <v>283</v>
      </c>
      <c r="D116" s="69"/>
      <c r="E116" s="69"/>
      <c r="F116" s="69"/>
      <c r="G116" s="69"/>
      <c r="H116" s="69"/>
      <c r="I116" s="66"/>
    </row>
    <row r="117" spans="1:9" ht="12.75" customHeight="1">
      <c r="A117" s="69"/>
      <c r="B117" s="69"/>
      <c r="C117" s="69"/>
      <c r="D117" s="69"/>
      <c r="E117" s="69"/>
      <c r="F117" s="69"/>
      <c r="G117" s="69"/>
      <c r="H117" s="69"/>
      <c r="I117" s="66"/>
    </row>
    <row r="118" spans="1:9" ht="12.75" customHeight="1">
      <c r="A118" s="69"/>
      <c r="B118" s="69"/>
      <c r="C118" s="69" t="s">
        <v>111</v>
      </c>
      <c r="D118" s="69" t="s">
        <v>112</v>
      </c>
      <c r="E118" s="69" t="s">
        <v>10</v>
      </c>
      <c r="F118" s="69" t="s">
        <v>154</v>
      </c>
      <c r="G118" s="69"/>
      <c r="H118" s="69"/>
      <c r="I118" s="66"/>
    </row>
    <row r="119" spans="1:9" ht="12.75" customHeight="1">
      <c r="A119" s="69"/>
      <c r="B119" s="69"/>
      <c r="C119" s="69" t="s">
        <v>115</v>
      </c>
      <c r="D119" s="69" t="s">
        <v>119</v>
      </c>
      <c r="E119" s="69" t="s">
        <v>10</v>
      </c>
      <c r="F119" s="69" t="s">
        <v>284</v>
      </c>
      <c r="G119" s="69"/>
      <c r="H119" s="69"/>
      <c r="I119" s="66"/>
    </row>
    <row r="120" spans="1:9" ht="12.75" customHeight="1">
      <c r="A120" s="69"/>
      <c r="B120" s="69"/>
      <c r="C120" s="69" t="s">
        <v>118</v>
      </c>
      <c r="D120" s="69" t="s">
        <v>122</v>
      </c>
      <c r="E120" s="69" t="s">
        <v>10</v>
      </c>
      <c r="F120" s="69" t="s">
        <v>123</v>
      </c>
      <c r="G120" s="69"/>
      <c r="H120" s="69"/>
      <c r="I120" s="66"/>
    </row>
    <row r="121" spans="1:9" ht="12.75" customHeight="1">
      <c r="A121" s="69"/>
      <c r="B121" s="69"/>
      <c r="C121" s="69" t="s">
        <v>121</v>
      </c>
      <c r="D121" s="69" t="s">
        <v>285</v>
      </c>
      <c r="E121" s="69" t="s">
        <v>10</v>
      </c>
      <c r="F121" s="69" t="s">
        <v>155</v>
      </c>
      <c r="G121" s="69"/>
      <c r="H121" s="69"/>
      <c r="I121" s="66"/>
    </row>
    <row r="122" spans="1:9" ht="12.75" customHeight="1">
      <c r="A122" s="69"/>
      <c r="B122" s="69"/>
      <c r="C122" s="69" t="s">
        <v>124</v>
      </c>
      <c r="D122" s="69" t="s">
        <v>125</v>
      </c>
      <c r="E122" s="69" t="s">
        <v>10</v>
      </c>
      <c r="F122" s="69" t="s">
        <v>126</v>
      </c>
      <c r="G122" s="69"/>
      <c r="H122" s="69"/>
      <c r="I122" s="66"/>
    </row>
    <row r="123" spans="1:9" ht="12.75" customHeight="1">
      <c r="A123" s="69"/>
      <c r="B123" s="69"/>
      <c r="C123" s="69" t="s">
        <v>127</v>
      </c>
      <c r="D123" s="69" t="s">
        <v>128</v>
      </c>
      <c r="E123" s="69" t="s">
        <v>10</v>
      </c>
      <c r="F123" s="69" t="s">
        <v>198</v>
      </c>
      <c r="G123" s="69"/>
      <c r="H123" s="69"/>
      <c r="I123" s="66"/>
    </row>
    <row r="124" spans="1:9" ht="12.75" customHeight="1">
      <c r="A124" s="69"/>
      <c r="B124" s="69"/>
      <c r="C124" s="69" t="s">
        <v>130</v>
      </c>
      <c r="D124" s="69" t="s">
        <v>131</v>
      </c>
      <c r="E124" s="69" t="s">
        <v>10</v>
      </c>
      <c r="F124" s="69" t="s">
        <v>158</v>
      </c>
      <c r="G124" s="69"/>
      <c r="H124" s="69"/>
      <c r="I124" s="66"/>
    </row>
    <row r="125" spans="1:9" ht="12.75" customHeight="1">
      <c r="A125" s="69"/>
      <c r="B125" s="69"/>
      <c r="C125" s="69"/>
      <c r="D125" s="69"/>
      <c r="E125" s="69"/>
      <c r="F125" s="69"/>
      <c r="G125" s="69"/>
      <c r="H125" s="69"/>
      <c r="I125" s="66"/>
    </row>
    <row r="126" spans="1:9" ht="12.75" customHeight="1">
      <c r="A126" s="69"/>
      <c r="B126" s="69"/>
      <c r="C126" s="69"/>
      <c r="D126" s="69" t="s">
        <v>147</v>
      </c>
      <c r="E126" s="69"/>
      <c r="F126" s="69"/>
      <c r="G126" s="69"/>
      <c r="H126" s="69"/>
      <c r="I126" s="66"/>
    </row>
    <row r="127" spans="1:9" ht="12.75" customHeight="1">
      <c r="A127" s="69"/>
      <c r="B127" s="69" t="s">
        <v>148</v>
      </c>
      <c r="C127" s="69"/>
      <c r="D127" s="69"/>
      <c r="E127" s="69"/>
      <c r="F127" s="69"/>
      <c r="G127" s="69"/>
      <c r="H127" s="69"/>
      <c r="I127" s="66"/>
    </row>
    <row r="128" spans="1:9" ht="12.75" customHeight="1">
      <c r="A128" s="69"/>
      <c r="B128" s="69"/>
      <c r="C128" s="69"/>
      <c r="D128" s="69"/>
      <c r="E128" s="69"/>
      <c r="F128" s="69"/>
      <c r="G128" s="69"/>
      <c r="H128" s="69"/>
      <c r="I128" s="66"/>
    </row>
    <row r="129" spans="1:9" ht="12.75" customHeight="1">
      <c r="A129" s="69"/>
      <c r="B129" s="69"/>
      <c r="C129" s="69"/>
      <c r="D129" s="69"/>
      <c r="E129" s="69"/>
      <c r="F129" s="69"/>
      <c r="G129" s="69" t="s">
        <v>230</v>
      </c>
      <c r="H129" s="69"/>
      <c r="I129" s="66"/>
    </row>
    <row r="130" spans="1:9" ht="12.75" customHeight="1">
      <c r="A130" s="69"/>
      <c r="B130" s="69"/>
      <c r="C130" s="69"/>
      <c r="D130" s="69"/>
      <c r="E130" s="69"/>
      <c r="F130" s="69"/>
      <c r="G130" s="69"/>
      <c r="H130" s="69"/>
      <c r="I130" s="66"/>
    </row>
    <row r="131" spans="1:9" ht="12.75" customHeight="1">
      <c r="A131" s="69"/>
      <c r="B131" s="69"/>
      <c r="C131" s="69"/>
      <c r="D131" s="69"/>
      <c r="E131" s="69"/>
      <c r="F131" s="69"/>
      <c r="G131" s="69" t="s">
        <v>151</v>
      </c>
      <c r="H131" s="69"/>
      <c r="I131" s="66"/>
    </row>
    <row r="132" spans="1:9" ht="12.75" customHeight="1">
      <c r="A132" s="69"/>
      <c r="B132" s="69"/>
      <c r="C132" s="69"/>
      <c r="D132" s="69"/>
      <c r="E132" s="69"/>
      <c r="F132" s="69"/>
      <c r="G132" s="69"/>
      <c r="H132" s="69"/>
      <c r="I132" s="66"/>
    </row>
    <row r="133" spans="1:9" ht="12.75" customHeight="1">
      <c r="A133" s="69"/>
      <c r="B133" s="69"/>
      <c r="C133" s="69"/>
      <c r="D133" s="69"/>
      <c r="E133" s="69"/>
      <c r="F133" s="69"/>
      <c r="G133" s="69"/>
      <c r="H133" s="69"/>
      <c r="I133" s="66"/>
    </row>
    <row r="134" spans="1:9" ht="12.75" customHeight="1">
      <c r="A134" s="69"/>
      <c r="B134" s="69"/>
      <c r="C134" s="69"/>
      <c r="D134" s="69"/>
      <c r="E134" s="69"/>
      <c r="F134" s="69"/>
      <c r="G134" s="69"/>
      <c r="H134" s="69"/>
      <c r="I134" s="66"/>
    </row>
    <row r="135" spans="1:9" ht="12.75" customHeight="1">
      <c r="A135" s="69"/>
      <c r="B135" s="69"/>
      <c r="C135" s="69"/>
      <c r="D135" s="69"/>
      <c r="E135" s="69"/>
      <c r="F135" s="69"/>
      <c r="G135" s="69" t="s">
        <v>152</v>
      </c>
      <c r="H135" s="69"/>
      <c r="I135" s="66"/>
    </row>
    <row r="136" spans="1:9" ht="12.75" customHeight="1">
      <c r="A136" s="69"/>
      <c r="B136" s="69"/>
      <c r="C136" s="69"/>
      <c r="D136" s="69"/>
      <c r="E136" s="69"/>
      <c r="F136" s="69"/>
      <c r="G136" s="69"/>
      <c r="H136" s="69"/>
    </row>
    <row r="137" spans="1:9" ht="12.75" customHeight="1">
      <c r="A137" s="69"/>
      <c r="B137" s="69"/>
      <c r="C137" s="69"/>
      <c r="D137" s="69"/>
      <c r="E137" s="69"/>
      <c r="F137" s="69"/>
      <c r="G137" s="69"/>
      <c r="H137" s="69"/>
    </row>
    <row r="138" spans="1:9" ht="12.75" customHeight="1"/>
    <row r="139" spans="1:9" ht="12.75" customHeight="1"/>
    <row r="140" spans="1:9" ht="12.75" customHeight="1"/>
    <row r="141" spans="1:9" ht="12.75" customHeight="1"/>
    <row r="142" spans="1:9" ht="12.75" customHeight="1"/>
    <row r="143" spans="1:9" ht="12.75" customHeight="1"/>
    <row r="144" spans="1:9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spans="3:9" ht="12.75" customHeight="1"/>
    <row r="162" spans="3:9" ht="12.75" customHeight="1"/>
    <row r="163" spans="3:9" ht="12.75" customHeight="1"/>
    <row r="164" spans="3:9" ht="12.75" customHeight="1"/>
    <row r="165" spans="3:9" ht="12.75" customHeight="1"/>
    <row r="166" spans="3:9" ht="12.75" customHeight="1"/>
    <row r="167" spans="3:9" ht="12.75" customHeight="1"/>
    <row r="168" spans="3:9" ht="12.75" customHeight="1"/>
    <row r="169" spans="3:9" ht="12.75" customHeight="1"/>
    <row r="170" spans="3:9" ht="12.75" customHeight="1">
      <c r="C170" s="66"/>
      <c r="D170" s="66"/>
      <c r="E170" s="66"/>
      <c r="F170" s="66"/>
      <c r="G170" s="66" t="s">
        <v>178</v>
      </c>
      <c r="H170" s="66"/>
      <c r="I170" s="66"/>
    </row>
    <row r="171" spans="3:9" ht="12.75" customHeight="1">
      <c r="C171" s="66"/>
      <c r="D171" s="66"/>
      <c r="E171" s="66"/>
      <c r="F171" s="66"/>
      <c r="G171" s="66"/>
      <c r="H171" s="67" t="s">
        <v>239</v>
      </c>
      <c r="I171" s="66"/>
    </row>
    <row r="172" spans="3:9" ht="12.75" customHeight="1">
      <c r="C172" s="66"/>
      <c r="D172" s="66"/>
      <c r="E172" s="66"/>
      <c r="F172" s="66"/>
      <c r="G172" s="66"/>
      <c r="H172" s="68" t="s">
        <v>241</v>
      </c>
      <c r="I172" s="66"/>
    </row>
    <row r="173" spans="3:9" ht="12.75" customHeight="1">
      <c r="C173" s="66"/>
      <c r="D173" s="66"/>
      <c r="E173" s="66"/>
      <c r="F173" s="66"/>
      <c r="G173" s="66"/>
      <c r="H173" s="66"/>
      <c r="I173" s="66"/>
    </row>
    <row r="174" spans="3:9" ht="12.75" customHeight="1">
      <c r="C174" s="66" t="s">
        <v>101</v>
      </c>
      <c r="D174" s="66"/>
      <c r="E174" s="66" t="s">
        <v>10</v>
      </c>
      <c r="F174" s="66" t="s">
        <v>102</v>
      </c>
      <c r="G174" s="66"/>
      <c r="H174" s="66"/>
      <c r="I174" s="66"/>
    </row>
    <row r="175" spans="3:9" ht="12.75" customHeight="1">
      <c r="C175" s="66" t="s">
        <v>103</v>
      </c>
      <c r="D175" s="66"/>
      <c r="E175" s="66" t="s">
        <v>10</v>
      </c>
      <c r="F175" s="66" t="s">
        <v>104</v>
      </c>
      <c r="G175" s="66"/>
      <c r="H175" s="66"/>
      <c r="I175" s="66"/>
    </row>
    <row r="176" spans="3:9" ht="12.75" customHeight="1">
      <c r="C176" s="66" t="s">
        <v>105</v>
      </c>
      <c r="D176" s="66"/>
      <c r="E176" s="66" t="s">
        <v>10</v>
      </c>
      <c r="F176" s="66" t="s">
        <v>106</v>
      </c>
      <c r="G176" s="66"/>
      <c r="H176" s="66"/>
      <c r="I176" s="66"/>
    </row>
    <row r="177" spans="1:9" ht="12.75" customHeight="1">
      <c r="C177" s="66"/>
      <c r="D177" s="66"/>
      <c r="E177" s="66"/>
      <c r="F177" s="66"/>
      <c r="G177" s="66"/>
      <c r="H177" s="66"/>
      <c r="I177" s="66"/>
    </row>
    <row r="178" spans="1:9" ht="12.75" customHeight="1">
      <c r="C178" s="228" t="s">
        <v>245</v>
      </c>
      <c r="D178" s="194"/>
      <c r="E178" s="194"/>
      <c r="F178" s="194"/>
      <c r="G178" s="194"/>
      <c r="H178" s="194"/>
      <c r="I178" s="194"/>
    </row>
    <row r="179" spans="1:9" ht="12.75" customHeight="1">
      <c r="C179" s="225" t="s">
        <v>286</v>
      </c>
      <c r="D179" s="194"/>
      <c r="E179" s="194"/>
      <c r="F179" s="194"/>
      <c r="G179" s="194"/>
      <c r="H179" s="194"/>
      <c r="I179" s="194"/>
    </row>
    <row r="180" spans="1:9" ht="12.75" customHeight="1">
      <c r="C180" s="66"/>
      <c r="D180" s="66"/>
      <c r="E180" s="66"/>
      <c r="F180" s="66"/>
      <c r="G180" s="66"/>
      <c r="H180" s="66"/>
      <c r="I180" s="66"/>
    </row>
    <row r="181" spans="1:9" ht="12.75" customHeight="1">
      <c r="A181" s="69"/>
      <c r="B181" s="69" t="s">
        <v>110</v>
      </c>
      <c r="C181" s="69"/>
      <c r="D181" s="69"/>
      <c r="E181" s="69"/>
      <c r="F181" s="69"/>
      <c r="G181" s="69"/>
      <c r="H181" s="69"/>
      <c r="I181" s="66"/>
    </row>
    <row r="182" spans="1:9" ht="12.75" customHeight="1">
      <c r="A182" s="69"/>
      <c r="B182" s="69"/>
      <c r="C182" s="69"/>
      <c r="D182" s="69"/>
      <c r="E182" s="69"/>
      <c r="F182" s="69"/>
      <c r="G182" s="69"/>
      <c r="H182" s="69"/>
      <c r="I182" s="66"/>
    </row>
    <row r="183" spans="1:9" ht="12.75" customHeight="1">
      <c r="A183" s="69"/>
      <c r="B183" s="69" t="s">
        <v>206</v>
      </c>
      <c r="C183" s="69" t="s">
        <v>111</v>
      </c>
      <c r="D183" s="69" t="s">
        <v>112</v>
      </c>
      <c r="E183" s="69" t="s">
        <v>10</v>
      </c>
      <c r="F183" s="69" t="s">
        <v>196</v>
      </c>
      <c r="G183" s="69"/>
      <c r="H183" s="69"/>
      <c r="I183" s="66"/>
    </row>
    <row r="184" spans="1:9" ht="12.75" customHeight="1">
      <c r="A184" s="69"/>
      <c r="B184" s="69"/>
      <c r="C184" s="69" t="s">
        <v>115</v>
      </c>
      <c r="D184" s="69" t="s">
        <v>119</v>
      </c>
      <c r="E184" s="69" t="s">
        <v>10</v>
      </c>
      <c r="F184" s="69" t="s">
        <v>197</v>
      </c>
      <c r="G184" s="69"/>
      <c r="H184" s="69"/>
      <c r="I184" s="66"/>
    </row>
    <row r="185" spans="1:9" ht="12.75" customHeight="1">
      <c r="A185" s="69"/>
      <c r="B185" s="69"/>
      <c r="C185" s="69" t="s">
        <v>118</v>
      </c>
      <c r="D185" s="69" t="s">
        <v>122</v>
      </c>
      <c r="E185" s="69" t="s">
        <v>10</v>
      </c>
      <c r="F185" s="69" t="s">
        <v>123</v>
      </c>
      <c r="G185" s="69"/>
      <c r="H185" s="69"/>
      <c r="I185" s="66"/>
    </row>
    <row r="186" spans="1:9" ht="12.75" customHeight="1">
      <c r="A186" s="69"/>
      <c r="B186" s="69"/>
      <c r="C186" s="69" t="s">
        <v>121</v>
      </c>
      <c r="D186" s="69" t="s">
        <v>125</v>
      </c>
      <c r="E186" s="69" t="s">
        <v>10</v>
      </c>
      <c r="F186" s="69" t="s">
        <v>126</v>
      </c>
      <c r="G186" s="69"/>
      <c r="H186" s="69"/>
      <c r="I186" s="66"/>
    </row>
    <row r="187" spans="1:9" ht="12.75" customHeight="1">
      <c r="A187" s="69"/>
      <c r="B187" s="69"/>
      <c r="C187" s="69" t="s">
        <v>124</v>
      </c>
      <c r="D187" s="69" t="s">
        <v>128</v>
      </c>
      <c r="E187" s="69" t="s">
        <v>10</v>
      </c>
      <c r="F187" s="69" t="s">
        <v>198</v>
      </c>
      <c r="G187" s="69"/>
      <c r="H187" s="69"/>
      <c r="I187" s="66"/>
    </row>
    <row r="188" spans="1:9" ht="12.75" customHeight="1">
      <c r="A188" s="69"/>
      <c r="B188" s="69"/>
      <c r="C188" s="69" t="s">
        <v>127</v>
      </c>
      <c r="D188" s="69" t="s">
        <v>131</v>
      </c>
      <c r="E188" s="69" t="s">
        <v>10</v>
      </c>
      <c r="F188" s="69" t="s">
        <v>173</v>
      </c>
      <c r="G188" s="69"/>
      <c r="H188" s="69"/>
      <c r="I188" s="66"/>
    </row>
    <row r="189" spans="1:9" ht="12.75" customHeight="1">
      <c r="A189" s="69"/>
      <c r="B189" s="69"/>
      <c r="C189" s="69"/>
      <c r="D189" s="69"/>
      <c r="E189" s="69"/>
      <c r="F189" s="69"/>
      <c r="G189" s="69"/>
      <c r="H189" s="69"/>
      <c r="I189" s="66"/>
    </row>
    <row r="190" spans="1:9" ht="12.75" customHeight="1">
      <c r="A190" s="69"/>
      <c r="B190" s="69" t="s">
        <v>280</v>
      </c>
      <c r="C190" s="69" t="s">
        <v>111</v>
      </c>
      <c r="D190" s="69" t="s">
        <v>112</v>
      </c>
      <c r="E190" s="69" t="s">
        <v>10</v>
      </c>
      <c r="F190" s="69" t="s">
        <v>199</v>
      </c>
      <c r="G190" s="69"/>
      <c r="H190" s="69"/>
      <c r="I190" s="66"/>
    </row>
    <row r="191" spans="1:9" ht="12.75" customHeight="1">
      <c r="A191" s="69"/>
      <c r="B191" s="69"/>
      <c r="C191" s="69" t="s">
        <v>115</v>
      </c>
      <c r="D191" s="69" t="s">
        <v>119</v>
      </c>
      <c r="E191" s="69" t="s">
        <v>10</v>
      </c>
      <c r="F191" s="69" t="s">
        <v>200</v>
      </c>
      <c r="G191" s="69"/>
      <c r="H191" s="69"/>
      <c r="I191" s="66"/>
    </row>
    <row r="192" spans="1:9" ht="12.75" customHeight="1">
      <c r="A192" s="69"/>
      <c r="B192" s="69"/>
      <c r="C192" s="69" t="s">
        <v>118</v>
      </c>
      <c r="D192" s="69" t="s">
        <v>122</v>
      </c>
      <c r="E192" s="69" t="s">
        <v>10</v>
      </c>
      <c r="F192" s="69" t="s">
        <v>123</v>
      </c>
      <c r="G192" s="69"/>
      <c r="H192" s="69"/>
      <c r="I192" s="66"/>
    </row>
    <row r="193" spans="1:9" ht="12.75" customHeight="1">
      <c r="A193" s="69"/>
      <c r="B193" s="69"/>
      <c r="C193" s="69" t="s">
        <v>121</v>
      </c>
      <c r="D193" s="69" t="s">
        <v>125</v>
      </c>
      <c r="E193" s="69" t="s">
        <v>10</v>
      </c>
      <c r="F193" s="69" t="s">
        <v>126</v>
      </c>
      <c r="G193" s="69"/>
      <c r="H193" s="69"/>
      <c r="I193" s="66"/>
    </row>
    <row r="194" spans="1:9" ht="12.75" customHeight="1">
      <c r="A194" s="69"/>
      <c r="B194" s="69"/>
      <c r="C194" s="69" t="s">
        <v>124</v>
      </c>
      <c r="D194" s="69" t="s">
        <v>128</v>
      </c>
      <c r="E194" s="69" t="s">
        <v>10</v>
      </c>
      <c r="F194" s="69" t="s">
        <v>193</v>
      </c>
      <c r="G194" s="69"/>
      <c r="H194" s="69"/>
      <c r="I194" s="66"/>
    </row>
    <row r="195" spans="1:9" ht="12.75" customHeight="1">
      <c r="A195" s="69"/>
      <c r="B195" s="69"/>
      <c r="C195" s="69" t="s">
        <v>127</v>
      </c>
      <c r="D195" s="69" t="s">
        <v>131</v>
      </c>
      <c r="E195" s="69" t="s">
        <v>10</v>
      </c>
      <c r="F195" s="69" t="s">
        <v>173</v>
      </c>
      <c r="G195" s="69"/>
      <c r="H195" s="69"/>
      <c r="I195" s="66"/>
    </row>
    <row r="196" spans="1:9" ht="12.75" customHeight="1">
      <c r="A196" s="69"/>
      <c r="B196" s="69"/>
      <c r="C196" s="69" t="s">
        <v>283</v>
      </c>
      <c r="D196" s="69"/>
      <c r="E196" s="69"/>
      <c r="F196" s="69"/>
      <c r="G196" s="69"/>
      <c r="H196" s="69"/>
      <c r="I196" s="66"/>
    </row>
    <row r="197" spans="1:9" ht="12.75" customHeight="1">
      <c r="A197" s="69"/>
      <c r="B197" s="69"/>
      <c r="C197" s="69"/>
      <c r="D197" s="69"/>
      <c r="E197" s="69"/>
      <c r="F197" s="69"/>
      <c r="G197" s="69"/>
      <c r="H197" s="69"/>
      <c r="I197" s="66"/>
    </row>
    <row r="198" spans="1:9" ht="12.75" customHeight="1">
      <c r="A198" s="69"/>
      <c r="B198" s="69"/>
      <c r="C198" s="69" t="s">
        <v>111</v>
      </c>
      <c r="D198" s="69" t="s">
        <v>112</v>
      </c>
      <c r="E198" s="69" t="s">
        <v>10</v>
      </c>
      <c r="F198" s="69" t="s">
        <v>170</v>
      </c>
      <c r="G198" s="69"/>
      <c r="H198" s="69"/>
      <c r="I198" s="66"/>
    </row>
    <row r="199" spans="1:9" ht="12.75" customHeight="1">
      <c r="A199" s="69"/>
      <c r="B199" s="69"/>
      <c r="C199" s="69" t="s">
        <v>115</v>
      </c>
      <c r="D199" s="69" t="s">
        <v>119</v>
      </c>
      <c r="E199" s="69" t="s">
        <v>10</v>
      </c>
      <c r="F199" s="69" t="s">
        <v>171</v>
      </c>
      <c r="G199" s="69"/>
      <c r="H199" s="69"/>
      <c r="I199" s="66"/>
    </row>
    <row r="200" spans="1:9" ht="12.75" customHeight="1">
      <c r="A200" s="69"/>
      <c r="B200" s="69"/>
      <c r="C200" s="69" t="s">
        <v>118</v>
      </c>
      <c r="D200" s="69" t="s">
        <v>122</v>
      </c>
      <c r="E200" s="69" t="s">
        <v>10</v>
      </c>
      <c r="F200" s="69" t="s">
        <v>123</v>
      </c>
      <c r="G200" s="69"/>
      <c r="H200" s="69"/>
      <c r="I200" s="66"/>
    </row>
    <row r="201" spans="1:9" ht="12.75" customHeight="1">
      <c r="A201" s="69"/>
      <c r="B201" s="69"/>
      <c r="C201" s="69" t="s">
        <v>121</v>
      </c>
      <c r="D201" s="69" t="s">
        <v>285</v>
      </c>
      <c r="E201" s="69" t="s">
        <v>10</v>
      </c>
      <c r="F201" s="69" t="s">
        <v>155</v>
      </c>
      <c r="G201" s="69"/>
      <c r="H201" s="69"/>
      <c r="I201" s="66"/>
    </row>
    <row r="202" spans="1:9" ht="12.75" customHeight="1">
      <c r="A202" s="69"/>
      <c r="B202" s="69"/>
      <c r="C202" s="69" t="s">
        <v>124</v>
      </c>
      <c r="D202" s="69" t="s">
        <v>125</v>
      </c>
      <c r="E202" s="69" t="s">
        <v>10</v>
      </c>
      <c r="F202" s="69" t="s">
        <v>126</v>
      </c>
      <c r="G202" s="69"/>
      <c r="H202" s="69"/>
      <c r="I202" s="66"/>
    </row>
    <row r="203" spans="1:9" ht="12.75" customHeight="1">
      <c r="A203" s="69"/>
      <c r="B203" s="69"/>
      <c r="C203" s="69" t="s">
        <v>127</v>
      </c>
      <c r="D203" s="69" t="s">
        <v>128</v>
      </c>
      <c r="E203" s="69" t="s">
        <v>10</v>
      </c>
      <c r="F203" s="69" t="s">
        <v>193</v>
      </c>
      <c r="G203" s="69"/>
      <c r="H203" s="69"/>
      <c r="I203" s="66"/>
    </row>
    <row r="204" spans="1:9" ht="12.75" customHeight="1">
      <c r="A204" s="69"/>
      <c r="B204" s="69"/>
      <c r="C204" s="69" t="s">
        <v>130</v>
      </c>
      <c r="D204" s="69" t="s">
        <v>131</v>
      </c>
      <c r="E204" s="69" t="s">
        <v>10</v>
      </c>
      <c r="F204" s="69" t="s">
        <v>173</v>
      </c>
      <c r="G204" s="69"/>
      <c r="H204" s="69"/>
      <c r="I204" s="66"/>
    </row>
    <row r="205" spans="1:9" ht="12.75" customHeight="1">
      <c r="A205" s="69"/>
      <c r="B205" s="69"/>
      <c r="C205" s="69"/>
      <c r="D205" s="69"/>
      <c r="E205" s="69"/>
      <c r="F205" s="69"/>
      <c r="G205" s="69"/>
      <c r="H205" s="69"/>
      <c r="I205" s="66"/>
    </row>
    <row r="206" spans="1:9" ht="12.75" customHeight="1">
      <c r="A206" s="69"/>
      <c r="B206" s="69"/>
      <c r="C206" s="69"/>
      <c r="D206" s="69" t="s">
        <v>147</v>
      </c>
      <c r="E206" s="69"/>
      <c r="F206" s="69"/>
      <c r="G206" s="69"/>
      <c r="H206" s="69"/>
      <c r="I206" s="66"/>
    </row>
    <row r="207" spans="1:9" ht="12.75" customHeight="1">
      <c r="A207" s="69"/>
      <c r="B207" s="69" t="s">
        <v>148</v>
      </c>
      <c r="C207" s="69"/>
      <c r="D207" s="69"/>
      <c r="E207" s="69"/>
      <c r="F207" s="69"/>
      <c r="G207" s="69"/>
      <c r="H207" s="69"/>
      <c r="I207" s="66"/>
    </row>
    <row r="208" spans="1:9" ht="12.75" customHeight="1">
      <c r="A208" s="69"/>
      <c r="B208" s="69"/>
      <c r="C208" s="69"/>
      <c r="D208" s="69"/>
      <c r="E208" s="69"/>
      <c r="F208" s="69"/>
      <c r="G208" s="69"/>
      <c r="H208" s="69"/>
      <c r="I208" s="66"/>
    </row>
    <row r="209" spans="1:9" ht="12.75" customHeight="1">
      <c r="A209" s="69"/>
      <c r="B209" s="69"/>
      <c r="C209" s="69"/>
      <c r="D209" s="69"/>
      <c r="E209" s="69"/>
      <c r="F209" s="69"/>
      <c r="G209" s="69" t="s">
        <v>238</v>
      </c>
      <c r="H209" s="69"/>
      <c r="I209" s="66"/>
    </row>
    <row r="210" spans="1:9" ht="12.75" customHeight="1">
      <c r="A210" s="69"/>
      <c r="B210" s="69"/>
      <c r="C210" s="69"/>
      <c r="D210" s="69"/>
      <c r="E210" s="69"/>
      <c r="F210" s="69"/>
      <c r="G210" s="69"/>
      <c r="H210" s="69"/>
      <c r="I210" s="66"/>
    </row>
    <row r="211" spans="1:9" ht="12.75" customHeight="1">
      <c r="A211" s="69"/>
      <c r="B211" s="69"/>
      <c r="C211" s="69"/>
      <c r="D211" s="69"/>
      <c r="E211" s="69"/>
      <c r="F211" s="69"/>
      <c r="G211" s="69" t="s">
        <v>151</v>
      </c>
      <c r="H211" s="69"/>
      <c r="I211" s="66"/>
    </row>
    <row r="212" spans="1:9" ht="12.75" customHeight="1">
      <c r="A212" s="69"/>
      <c r="B212" s="69"/>
      <c r="C212" s="69"/>
      <c r="D212" s="69"/>
      <c r="E212" s="69"/>
      <c r="F212" s="69"/>
      <c r="G212" s="69"/>
      <c r="H212" s="69"/>
      <c r="I212" s="66"/>
    </row>
    <row r="213" spans="1:9" ht="12.75" customHeight="1">
      <c r="A213" s="69"/>
      <c r="B213" s="69"/>
      <c r="C213" s="69"/>
      <c r="D213" s="69"/>
      <c r="E213" s="69"/>
      <c r="F213" s="69"/>
      <c r="G213" s="69"/>
      <c r="H213" s="69"/>
      <c r="I213" s="66"/>
    </row>
    <row r="214" spans="1:9" ht="12.75" customHeight="1">
      <c r="A214" s="69"/>
      <c r="B214" s="69"/>
      <c r="C214" s="69"/>
      <c r="D214" s="69"/>
      <c r="E214" s="69"/>
      <c r="F214" s="69"/>
      <c r="G214" s="69"/>
      <c r="H214" s="69"/>
      <c r="I214" s="66"/>
    </row>
    <row r="215" spans="1:9" ht="12.75" customHeight="1">
      <c r="A215" s="69"/>
      <c r="B215" s="69"/>
      <c r="C215" s="69"/>
      <c r="D215" s="69"/>
      <c r="E215" s="69"/>
      <c r="F215" s="69"/>
      <c r="G215" s="69" t="s">
        <v>152</v>
      </c>
      <c r="H215" s="69"/>
      <c r="I215" s="66"/>
    </row>
    <row r="216" spans="1:9" ht="12.75" customHeight="1">
      <c r="A216" s="69"/>
      <c r="B216" s="69"/>
      <c r="C216" s="69"/>
      <c r="D216" s="69"/>
      <c r="E216" s="69"/>
      <c r="F216" s="69"/>
      <c r="G216" s="69"/>
      <c r="H216" s="69"/>
    </row>
    <row r="217" spans="1:9" ht="12.75" customHeight="1">
      <c r="A217" s="69"/>
      <c r="B217" s="69"/>
      <c r="C217" s="69"/>
      <c r="D217" s="69"/>
      <c r="E217" s="69"/>
      <c r="F217" s="69"/>
      <c r="G217" s="69"/>
      <c r="H217" s="69"/>
    </row>
    <row r="218" spans="1:9" ht="12.75" customHeight="1"/>
    <row r="219" spans="1:9" ht="12.75" customHeight="1"/>
    <row r="220" spans="1:9" ht="12.75" customHeight="1"/>
    <row r="221" spans="1:9" ht="12.75" customHeight="1"/>
    <row r="222" spans="1:9" ht="12.75" customHeight="1"/>
    <row r="223" spans="1:9" ht="12.75" customHeight="1"/>
    <row r="224" spans="1:9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">
    <mergeCell ref="N14:T14"/>
    <mergeCell ref="C98:I98"/>
    <mergeCell ref="C99:I99"/>
    <mergeCell ref="C178:I178"/>
    <mergeCell ref="C179:I179"/>
    <mergeCell ref="C14:I14"/>
    <mergeCell ref="A7:J7"/>
    <mergeCell ref="A8:J8"/>
    <mergeCell ref="A9:J9"/>
    <mergeCell ref="A12:J12"/>
    <mergeCell ref="A13:J13"/>
  </mergeCells>
  <pageMargins left="0.9055118110236221" right="0.51181102362204722" top="0.74803149606299213" bottom="0.55118110236220474" header="0" footer="0"/>
  <pageSetup paperSize="5" scale="85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/>
  </sheetViews>
  <sheetFormatPr defaultColWidth="12.5703125" defaultRowHeight="15" customHeight="1"/>
  <cols>
    <col min="1" max="1" width="5.28515625" customWidth="1"/>
    <col min="2" max="2" width="3.28515625" customWidth="1"/>
    <col min="3" max="3" width="9.28515625" customWidth="1"/>
    <col min="4" max="4" width="2.5703125" customWidth="1"/>
    <col min="5" max="5" width="34" customWidth="1"/>
    <col min="6" max="8" width="8.5703125" customWidth="1"/>
    <col min="9" max="9" width="5.7109375" customWidth="1"/>
    <col min="10" max="10" width="26.28515625" customWidth="1"/>
    <col min="11" max="11" width="12.42578125" customWidth="1"/>
    <col min="12" max="12" width="3.5703125" customWidth="1"/>
    <col min="13" max="13" width="8.5703125" customWidth="1"/>
    <col min="14" max="14" width="2.140625" customWidth="1"/>
    <col min="15" max="15" width="35.28515625" customWidth="1"/>
    <col min="16" max="26" width="8.5703125" customWidth="1"/>
  </cols>
  <sheetData>
    <row r="1" spans="1:18" ht="12.75" customHeight="1"/>
    <row r="2" spans="1:18" ht="12.75" customHeight="1">
      <c r="B2" s="66"/>
      <c r="C2" s="66"/>
      <c r="D2" s="66"/>
      <c r="E2" s="66"/>
      <c r="F2" s="66" t="s">
        <v>178</v>
      </c>
      <c r="G2" s="66"/>
      <c r="H2" s="66"/>
      <c r="L2" s="66"/>
      <c r="M2" s="66"/>
      <c r="N2" s="66"/>
      <c r="O2" s="66"/>
      <c r="P2" s="66" t="s">
        <v>178</v>
      </c>
      <c r="Q2" s="66"/>
      <c r="R2" s="66"/>
    </row>
    <row r="3" spans="1:18" ht="12.75" customHeight="1">
      <c r="B3" s="66"/>
      <c r="C3" s="66"/>
      <c r="D3" s="66"/>
      <c r="E3" s="66"/>
      <c r="F3" s="66"/>
      <c r="G3" s="67" t="s">
        <v>287</v>
      </c>
      <c r="H3" s="66"/>
      <c r="L3" s="66"/>
      <c r="M3" s="66"/>
      <c r="N3" s="66"/>
      <c r="O3" s="66"/>
      <c r="P3" s="66"/>
      <c r="Q3" s="67" t="s">
        <v>287</v>
      </c>
      <c r="R3" s="66"/>
    </row>
    <row r="4" spans="1:18" ht="12.75" customHeight="1">
      <c r="B4" s="66"/>
      <c r="C4" s="66"/>
      <c r="D4" s="66"/>
      <c r="E4" s="66"/>
      <c r="F4" s="66"/>
      <c r="G4" s="68" t="s">
        <v>288</v>
      </c>
      <c r="H4" s="66"/>
      <c r="L4" s="66"/>
      <c r="M4" s="66"/>
      <c r="N4" s="66"/>
      <c r="O4" s="66"/>
      <c r="P4" s="66"/>
      <c r="Q4" s="68" t="s">
        <v>288</v>
      </c>
      <c r="R4" s="66"/>
    </row>
    <row r="5" spans="1:18" ht="12.75" customHeight="1">
      <c r="B5" s="66"/>
      <c r="C5" s="66"/>
      <c r="D5" s="66"/>
      <c r="E5" s="66"/>
      <c r="F5" s="66"/>
      <c r="G5" s="66"/>
      <c r="H5" s="66"/>
      <c r="L5" s="66"/>
      <c r="M5" s="66"/>
      <c r="N5" s="66"/>
      <c r="O5" s="66"/>
      <c r="P5" s="66"/>
      <c r="Q5" s="66"/>
      <c r="R5" s="66"/>
    </row>
    <row r="6" spans="1:18" ht="12.75" customHeight="1">
      <c r="A6" s="74"/>
      <c r="B6" s="74"/>
      <c r="C6" s="74"/>
      <c r="D6" s="74"/>
      <c r="E6" s="74"/>
      <c r="G6" s="74" t="s">
        <v>289</v>
      </c>
      <c r="H6" s="74"/>
      <c r="I6" s="74"/>
      <c r="J6" s="74"/>
      <c r="L6" s="66"/>
      <c r="M6" s="66"/>
      <c r="N6" s="66"/>
      <c r="O6" s="66"/>
      <c r="P6" s="66" t="s">
        <v>290</v>
      </c>
      <c r="Q6" s="66"/>
      <c r="R6" s="66"/>
    </row>
    <row r="7" spans="1:18" ht="12.75" customHeight="1">
      <c r="A7" s="74"/>
      <c r="B7" s="74"/>
      <c r="C7" s="74"/>
      <c r="D7" s="74"/>
      <c r="E7" s="74"/>
      <c r="F7" s="74"/>
      <c r="G7" s="74"/>
      <c r="H7" s="74"/>
      <c r="I7" s="74"/>
      <c r="J7" s="74"/>
      <c r="L7" s="66"/>
      <c r="M7" s="66"/>
      <c r="N7" s="66"/>
      <c r="O7" s="66"/>
      <c r="P7" s="66"/>
      <c r="Q7" s="66"/>
      <c r="R7" s="66"/>
    </row>
    <row r="8" spans="1:18" ht="12.75" customHeight="1">
      <c r="A8" s="74"/>
      <c r="B8" s="74" t="s">
        <v>291</v>
      </c>
      <c r="C8" s="74"/>
      <c r="D8" s="74" t="s">
        <v>10</v>
      </c>
      <c r="E8" s="74" t="s">
        <v>292</v>
      </c>
      <c r="F8" s="74" t="s">
        <v>293</v>
      </c>
      <c r="G8" s="74"/>
      <c r="H8" s="74"/>
      <c r="I8" s="74"/>
      <c r="J8" s="74"/>
      <c r="L8" s="66" t="s">
        <v>291</v>
      </c>
      <c r="M8" s="66"/>
      <c r="N8" s="66" t="s">
        <v>10</v>
      </c>
      <c r="O8" s="66" t="s">
        <v>292</v>
      </c>
      <c r="P8" s="66" t="s">
        <v>293</v>
      </c>
      <c r="Q8" s="66"/>
      <c r="R8" s="66"/>
    </row>
    <row r="9" spans="1:18" ht="12.75" customHeight="1">
      <c r="A9" s="74"/>
      <c r="B9" s="74" t="s">
        <v>294</v>
      </c>
      <c r="C9" s="74"/>
      <c r="D9" s="74" t="s">
        <v>10</v>
      </c>
      <c r="E9" s="74" t="s">
        <v>295</v>
      </c>
      <c r="F9" s="74" t="s">
        <v>296</v>
      </c>
      <c r="G9" s="74"/>
      <c r="H9" s="74"/>
      <c r="I9" s="74"/>
      <c r="J9" s="74"/>
      <c r="L9" s="66" t="s">
        <v>294</v>
      </c>
      <c r="M9" s="66"/>
      <c r="N9" s="66" t="s">
        <v>10</v>
      </c>
      <c r="O9" s="66" t="s">
        <v>295</v>
      </c>
      <c r="P9" s="66" t="s">
        <v>296</v>
      </c>
      <c r="Q9" s="66"/>
      <c r="R9" s="66"/>
    </row>
    <row r="10" spans="1:18" ht="12.75" customHeight="1">
      <c r="A10" s="74"/>
      <c r="B10" s="74"/>
      <c r="C10" s="74"/>
      <c r="D10" s="74"/>
      <c r="E10" s="74"/>
      <c r="F10" s="74" t="s">
        <v>297</v>
      </c>
      <c r="G10" s="74"/>
      <c r="H10" s="74"/>
      <c r="I10" s="74"/>
      <c r="J10" s="74"/>
      <c r="L10" s="66"/>
      <c r="M10" s="66"/>
      <c r="N10" s="66"/>
      <c r="O10" s="66"/>
      <c r="P10" s="66" t="s">
        <v>297</v>
      </c>
      <c r="Q10" s="66"/>
      <c r="R10" s="66"/>
    </row>
    <row r="11" spans="1:18" ht="12.75" customHeight="1">
      <c r="A11" s="74"/>
      <c r="B11" s="74"/>
      <c r="C11" s="74"/>
      <c r="D11" s="74"/>
      <c r="E11" s="74"/>
      <c r="F11" s="74" t="s">
        <v>298</v>
      </c>
      <c r="G11" s="74"/>
      <c r="H11" s="74"/>
      <c r="I11" s="74"/>
      <c r="J11" s="74"/>
      <c r="M11" s="66"/>
      <c r="N11" s="66"/>
      <c r="O11" s="66"/>
      <c r="P11" s="66" t="s">
        <v>299</v>
      </c>
      <c r="Q11" s="66"/>
      <c r="R11" s="66"/>
    </row>
    <row r="12" spans="1:18" ht="12.75" customHeight="1">
      <c r="A12" s="74"/>
      <c r="B12" s="74"/>
      <c r="C12" s="74"/>
      <c r="D12" s="74"/>
      <c r="E12" s="74"/>
      <c r="F12" s="74"/>
      <c r="G12" s="74"/>
      <c r="H12" s="74"/>
      <c r="I12" s="74"/>
      <c r="J12" s="74"/>
      <c r="L12" s="66"/>
      <c r="M12" s="66"/>
      <c r="N12" s="66"/>
      <c r="O12" s="66"/>
      <c r="P12" s="66"/>
      <c r="Q12" s="66"/>
      <c r="R12" s="66"/>
    </row>
    <row r="13" spans="1:18" ht="12.75" customHeight="1">
      <c r="A13" s="74"/>
      <c r="B13" s="74"/>
      <c r="C13" s="74"/>
      <c r="D13" s="74"/>
      <c r="E13" s="74"/>
      <c r="F13" s="74"/>
      <c r="G13" s="74"/>
      <c r="H13" s="74"/>
      <c r="I13" s="74"/>
      <c r="J13" s="74"/>
      <c r="L13" s="66"/>
      <c r="M13" s="66"/>
      <c r="N13" s="66"/>
      <c r="O13" s="66"/>
      <c r="P13" s="66"/>
      <c r="Q13" s="66"/>
      <c r="R13" s="66"/>
    </row>
    <row r="14" spans="1:18" ht="12.75" customHeight="1">
      <c r="A14" s="74"/>
      <c r="B14" s="74" t="s">
        <v>300</v>
      </c>
      <c r="C14" s="74"/>
      <c r="D14" s="74"/>
      <c r="E14" s="74"/>
      <c r="F14" s="74"/>
      <c r="G14" s="74"/>
      <c r="H14" s="74"/>
      <c r="I14" s="74"/>
      <c r="J14" s="74"/>
      <c r="L14" s="66" t="s">
        <v>300</v>
      </c>
      <c r="M14" s="66"/>
      <c r="N14" s="66"/>
      <c r="O14" s="66"/>
      <c r="P14" s="66"/>
      <c r="Q14" s="66"/>
      <c r="R14" s="66"/>
    </row>
    <row r="15" spans="1:18" ht="12.75" customHeight="1">
      <c r="A15" s="74"/>
      <c r="B15" s="74"/>
      <c r="C15" s="74"/>
      <c r="D15" s="74" t="s">
        <v>301</v>
      </c>
      <c r="E15" s="74"/>
      <c r="F15" s="74"/>
      <c r="G15" s="74"/>
      <c r="H15" s="74"/>
      <c r="I15" s="74"/>
      <c r="J15" s="74"/>
      <c r="L15" s="66"/>
      <c r="M15" s="66"/>
      <c r="N15" s="66" t="s">
        <v>301</v>
      </c>
      <c r="O15" s="66"/>
      <c r="P15" s="66"/>
      <c r="Q15" s="66"/>
      <c r="R15" s="66"/>
    </row>
    <row r="16" spans="1:18" ht="12.75" customHeight="1">
      <c r="A16" s="74"/>
      <c r="B16" s="74" t="s">
        <v>302</v>
      </c>
      <c r="C16" s="74"/>
      <c r="D16" s="74"/>
      <c r="E16" s="74"/>
      <c r="F16" s="74"/>
      <c r="G16" s="74"/>
      <c r="H16" s="74"/>
      <c r="I16" s="74"/>
      <c r="J16" s="74"/>
      <c r="L16" s="66" t="s">
        <v>303</v>
      </c>
      <c r="M16" s="66"/>
      <c r="N16" s="66"/>
      <c r="O16" s="66"/>
      <c r="P16" s="66"/>
      <c r="Q16" s="66"/>
      <c r="R16" s="66"/>
    </row>
    <row r="17" spans="1:18" ht="12.75" customHeight="1">
      <c r="A17" s="74"/>
      <c r="B17" s="74" t="s">
        <v>304</v>
      </c>
      <c r="C17" s="74"/>
      <c r="D17" s="74"/>
      <c r="E17" s="74"/>
      <c r="F17" s="74"/>
      <c r="G17" s="74"/>
      <c r="H17" s="74"/>
      <c r="I17" s="74"/>
      <c r="J17" s="74"/>
      <c r="L17" s="66" t="s">
        <v>305</v>
      </c>
      <c r="M17" s="66"/>
      <c r="N17" s="66"/>
      <c r="O17" s="66"/>
      <c r="P17" s="66"/>
      <c r="Q17" s="66"/>
      <c r="R17" s="66"/>
    </row>
    <row r="18" spans="1:18" ht="12.75" customHeight="1">
      <c r="A18" s="74"/>
      <c r="B18" s="74" t="s">
        <v>306</v>
      </c>
      <c r="C18" s="74"/>
      <c r="D18" s="74"/>
      <c r="E18" s="74"/>
      <c r="F18" s="74"/>
      <c r="G18" s="74"/>
      <c r="H18" s="74"/>
      <c r="I18" s="74"/>
      <c r="J18" s="74"/>
      <c r="L18" s="66" t="s">
        <v>307</v>
      </c>
      <c r="M18" s="66"/>
      <c r="N18" s="66"/>
      <c r="O18" s="66"/>
      <c r="P18" s="66"/>
      <c r="Q18" s="66"/>
      <c r="R18" s="66"/>
    </row>
    <row r="19" spans="1:18" ht="12.75" customHeight="1">
      <c r="A19" s="74"/>
      <c r="B19" s="74"/>
      <c r="C19" s="74"/>
      <c r="D19" s="74" t="s">
        <v>308</v>
      </c>
      <c r="E19" s="74"/>
      <c r="F19" s="74"/>
      <c r="G19" s="74"/>
      <c r="H19" s="74"/>
      <c r="I19" s="74"/>
      <c r="J19" s="74"/>
      <c r="L19" s="66"/>
      <c r="M19" s="66"/>
      <c r="N19" s="66" t="s">
        <v>308</v>
      </c>
      <c r="O19" s="66"/>
      <c r="P19" s="66"/>
      <c r="Q19" s="66"/>
      <c r="R19" s="66"/>
    </row>
    <row r="20" spans="1:18" ht="12.75" customHeight="1">
      <c r="A20" s="74"/>
      <c r="B20" s="74" t="s">
        <v>309</v>
      </c>
      <c r="C20" s="74"/>
      <c r="D20" s="74"/>
      <c r="E20" s="74"/>
      <c r="F20" s="74"/>
      <c r="G20" s="74"/>
      <c r="H20" s="74"/>
      <c r="I20" s="74"/>
      <c r="J20" s="74"/>
      <c r="L20" s="66" t="s">
        <v>309</v>
      </c>
      <c r="M20" s="66"/>
      <c r="N20" s="66"/>
      <c r="O20" s="66"/>
      <c r="P20" s="66"/>
      <c r="Q20" s="66"/>
      <c r="R20" s="66"/>
    </row>
    <row r="21" spans="1:18" ht="12.7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L21" s="66"/>
      <c r="P21" s="66"/>
      <c r="Q21" s="66"/>
      <c r="R21" s="66"/>
    </row>
    <row r="22" spans="1:18" ht="12.75" customHeight="1">
      <c r="A22" s="74"/>
      <c r="B22" s="74" t="s">
        <v>111</v>
      </c>
      <c r="C22" s="74" t="s">
        <v>310</v>
      </c>
      <c r="D22" s="74"/>
      <c r="E22" s="74"/>
      <c r="F22" s="74"/>
      <c r="G22" s="74"/>
      <c r="H22" s="74"/>
      <c r="I22" s="74"/>
      <c r="J22" s="74"/>
      <c r="L22" s="66" t="s">
        <v>111</v>
      </c>
      <c r="M22" s="66" t="s">
        <v>311</v>
      </c>
      <c r="N22" s="66"/>
      <c r="O22" s="66"/>
      <c r="P22" s="66"/>
      <c r="Q22" s="66"/>
      <c r="R22" s="66"/>
    </row>
    <row r="23" spans="1:18" ht="12.75" customHeight="1">
      <c r="A23" s="74"/>
      <c r="B23" s="74" t="s">
        <v>115</v>
      </c>
      <c r="C23" s="74" t="s">
        <v>312</v>
      </c>
      <c r="D23" s="74"/>
      <c r="E23" s="74"/>
      <c r="F23" s="74"/>
      <c r="G23" s="74"/>
      <c r="H23" s="74"/>
      <c r="I23" s="74"/>
      <c r="J23" s="74"/>
      <c r="L23" s="66" t="s">
        <v>115</v>
      </c>
      <c r="M23" s="66" t="s">
        <v>312</v>
      </c>
      <c r="N23" s="66"/>
      <c r="O23" s="66"/>
      <c r="P23" s="66"/>
      <c r="Q23" s="66"/>
      <c r="R23" s="66"/>
    </row>
    <row r="24" spans="1:18" ht="12.75" customHeight="1">
      <c r="A24" s="74"/>
      <c r="B24" s="74" t="s">
        <v>118</v>
      </c>
      <c r="C24" s="74" t="s">
        <v>313</v>
      </c>
      <c r="D24" s="74"/>
      <c r="E24" s="74"/>
      <c r="F24" s="74"/>
      <c r="G24" s="74"/>
      <c r="H24" s="74"/>
      <c r="I24" s="74"/>
      <c r="J24" s="74"/>
      <c r="L24" s="66" t="s">
        <v>118</v>
      </c>
      <c r="M24" s="66" t="s">
        <v>313</v>
      </c>
      <c r="N24" s="66"/>
      <c r="O24" s="66"/>
      <c r="P24" s="66"/>
      <c r="Q24" s="66"/>
      <c r="R24" s="66"/>
    </row>
    <row r="25" spans="1:18" ht="12.75" customHeight="1">
      <c r="A25" s="74"/>
      <c r="B25" s="74" t="s">
        <v>121</v>
      </c>
      <c r="C25" s="74" t="s">
        <v>314</v>
      </c>
      <c r="D25" s="74"/>
      <c r="E25" s="74"/>
      <c r="F25" s="74"/>
      <c r="G25" s="74"/>
      <c r="H25" s="74"/>
      <c r="I25" s="74"/>
      <c r="J25" s="74"/>
      <c r="L25" s="66" t="s">
        <v>121</v>
      </c>
      <c r="M25" s="66" t="s">
        <v>314</v>
      </c>
      <c r="N25" s="66"/>
      <c r="O25" s="66"/>
      <c r="P25" s="66"/>
      <c r="Q25" s="66"/>
      <c r="R25" s="66"/>
    </row>
    <row r="26" spans="1:18" ht="12.75" customHeight="1">
      <c r="A26" s="74"/>
      <c r="B26" s="74" t="s">
        <v>124</v>
      </c>
      <c r="C26" s="74" t="s">
        <v>315</v>
      </c>
      <c r="D26" s="74"/>
      <c r="E26" s="74"/>
      <c r="F26" s="74"/>
      <c r="G26" s="74"/>
      <c r="H26" s="74"/>
      <c r="I26" s="74"/>
      <c r="J26" s="74"/>
      <c r="L26" s="66" t="s">
        <v>124</v>
      </c>
      <c r="M26" s="66" t="s">
        <v>315</v>
      </c>
      <c r="N26" s="66"/>
      <c r="O26" s="66"/>
      <c r="P26" s="66"/>
      <c r="Q26" s="66"/>
      <c r="R26" s="66"/>
    </row>
    <row r="27" spans="1:18" ht="12.75" customHeight="1">
      <c r="A27" s="74"/>
      <c r="B27" s="74" t="s">
        <v>127</v>
      </c>
      <c r="C27" s="74" t="s">
        <v>315</v>
      </c>
      <c r="D27" s="74"/>
      <c r="E27" s="74"/>
      <c r="F27" s="74"/>
      <c r="G27" s="74"/>
      <c r="H27" s="74"/>
      <c r="I27" s="74"/>
      <c r="J27" s="74"/>
      <c r="L27" s="66" t="s">
        <v>127</v>
      </c>
      <c r="M27" s="66" t="s">
        <v>315</v>
      </c>
      <c r="N27" s="66"/>
      <c r="O27" s="66"/>
      <c r="P27" s="66"/>
      <c r="Q27" s="66"/>
      <c r="R27" s="66"/>
    </row>
    <row r="28" spans="1:18" ht="12.75" customHeight="1">
      <c r="A28" s="74"/>
      <c r="B28" s="74" t="s">
        <v>130</v>
      </c>
      <c r="C28" s="74" t="s">
        <v>315</v>
      </c>
      <c r="D28" s="74"/>
      <c r="E28" s="74"/>
      <c r="F28" s="74"/>
      <c r="G28" s="74"/>
      <c r="H28" s="74"/>
      <c r="I28" s="74"/>
      <c r="J28" s="74"/>
      <c r="L28" s="66" t="s">
        <v>130</v>
      </c>
      <c r="M28" s="66" t="s">
        <v>315</v>
      </c>
      <c r="N28" s="66"/>
      <c r="O28" s="66"/>
      <c r="P28" s="66"/>
      <c r="Q28" s="66"/>
      <c r="R28" s="66"/>
    </row>
    <row r="29" spans="1:18" ht="12.75" customHeight="1">
      <c r="A29" s="74"/>
      <c r="B29" s="74" t="s">
        <v>134</v>
      </c>
      <c r="C29" s="74" t="s">
        <v>315</v>
      </c>
      <c r="D29" s="74"/>
      <c r="E29" s="74"/>
      <c r="F29" s="74"/>
      <c r="G29" s="74"/>
      <c r="H29" s="74"/>
      <c r="I29" s="74"/>
      <c r="J29" s="74"/>
      <c r="L29" s="66" t="s">
        <v>134</v>
      </c>
      <c r="M29" s="66" t="s">
        <v>315</v>
      </c>
      <c r="N29" s="66"/>
      <c r="O29" s="66"/>
      <c r="P29" s="66"/>
      <c r="Q29" s="66"/>
      <c r="R29" s="66"/>
    </row>
    <row r="30" spans="1:18" ht="12.75" customHeight="1">
      <c r="A30" s="74"/>
      <c r="B30" s="74"/>
      <c r="C30" s="74"/>
      <c r="D30" s="74"/>
      <c r="E30" s="74"/>
      <c r="F30" s="74"/>
      <c r="G30" s="74"/>
      <c r="H30" s="74"/>
      <c r="I30" s="74"/>
      <c r="J30" s="74"/>
      <c r="L30" s="66"/>
      <c r="M30" s="66"/>
      <c r="N30" s="66"/>
      <c r="O30" s="66"/>
      <c r="P30" s="66"/>
      <c r="Q30" s="66"/>
      <c r="R30" s="66"/>
    </row>
    <row r="31" spans="1:18" ht="12.75" customHeight="1">
      <c r="A31" s="74"/>
      <c r="B31" s="74"/>
      <c r="C31" s="74"/>
      <c r="D31" s="74" t="s">
        <v>316</v>
      </c>
      <c r="E31" s="74"/>
      <c r="F31" s="74"/>
      <c r="G31" s="74"/>
      <c r="H31" s="74"/>
      <c r="I31" s="74"/>
      <c r="J31" s="74"/>
      <c r="L31" s="66"/>
      <c r="M31" s="66"/>
      <c r="N31" s="66" t="s">
        <v>316</v>
      </c>
      <c r="O31" s="66"/>
      <c r="P31" s="66"/>
      <c r="Q31" s="66"/>
      <c r="R31" s="66"/>
    </row>
    <row r="32" spans="1:18" ht="12.75" customHeight="1">
      <c r="A32" s="74"/>
      <c r="B32" s="74" t="s">
        <v>317</v>
      </c>
      <c r="C32" s="74"/>
      <c r="D32" s="74"/>
      <c r="E32" s="74"/>
      <c r="F32" s="74"/>
      <c r="G32" s="74"/>
      <c r="H32" s="74"/>
      <c r="I32" s="74"/>
      <c r="J32" s="74"/>
      <c r="L32" s="66" t="s">
        <v>317</v>
      </c>
      <c r="M32" s="66"/>
      <c r="N32" s="66"/>
      <c r="O32" s="66"/>
      <c r="P32" s="66"/>
      <c r="Q32" s="66"/>
      <c r="R32" s="66"/>
    </row>
    <row r="33" spans="1:18" ht="12.75" customHeight="1">
      <c r="A33" s="74"/>
      <c r="B33" s="74"/>
      <c r="C33" s="74"/>
      <c r="D33" s="74"/>
      <c r="E33" s="74"/>
      <c r="F33" s="74"/>
      <c r="G33" s="74"/>
      <c r="H33" s="74"/>
      <c r="I33" s="74"/>
      <c r="J33" s="74"/>
      <c r="L33" s="66"/>
      <c r="M33" s="66"/>
      <c r="N33" s="66"/>
      <c r="O33" s="66"/>
      <c r="P33" s="66"/>
      <c r="Q33" s="66"/>
      <c r="R33" s="66"/>
    </row>
    <row r="34" spans="1:18" ht="12.75" customHeight="1">
      <c r="A34" s="74"/>
      <c r="B34" s="74" t="s">
        <v>318</v>
      </c>
      <c r="C34" s="74"/>
      <c r="D34" s="74"/>
      <c r="E34" s="74"/>
      <c r="F34" s="74"/>
      <c r="G34" s="74"/>
      <c r="H34" s="74"/>
      <c r="I34" s="74"/>
      <c r="J34" s="74"/>
      <c r="L34" s="66" t="s">
        <v>318</v>
      </c>
      <c r="M34" s="66"/>
      <c r="N34" s="66"/>
      <c r="O34" s="66"/>
      <c r="P34" s="66"/>
      <c r="Q34" s="66"/>
      <c r="R34" s="66"/>
    </row>
    <row r="35" spans="1:18" ht="12.75" customHeight="1">
      <c r="A35" s="74"/>
      <c r="B35" s="74"/>
      <c r="C35" s="74"/>
      <c r="D35" s="74"/>
      <c r="E35" s="74"/>
      <c r="F35" s="74"/>
      <c r="G35" s="74"/>
      <c r="H35" s="74"/>
      <c r="I35" s="74"/>
      <c r="J35" s="74"/>
      <c r="L35" s="66"/>
      <c r="M35" s="66"/>
      <c r="N35" s="66"/>
      <c r="O35" s="66"/>
      <c r="P35" s="66"/>
      <c r="Q35" s="66"/>
      <c r="R35" s="66"/>
    </row>
    <row r="36" spans="1:18" ht="12.75" customHeight="1">
      <c r="A36" s="74"/>
      <c r="B36" s="74"/>
      <c r="C36" s="74"/>
      <c r="D36" s="74"/>
      <c r="E36" s="74"/>
      <c r="F36" s="74"/>
      <c r="G36" s="74"/>
      <c r="H36" s="74"/>
      <c r="I36" s="74"/>
      <c r="J36" s="74"/>
      <c r="L36" s="66"/>
      <c r="M36" s="66"/>
      <c r="N36" s="66"/>
      <c r="O36" s="66"/>
      <c r="P36" s="66"/>
      <c r="Q36" s="66"/>
      <c r="R36" s="66"/>
    </row>
    <row r="37" spans="1:18" ht="12.75" customHeight="1">
      <c r="A37" s="74"/>
      <c r="B37" s="74"/>
      <c r="C37" s="74"/>
      <c r="D37" s="74"/>
      <c r="E37" s="74"/>
      <c r="F37" s="74"/>
      <c r="G37" s="74"/>
      <c r="H37" s="74"/>
      <c r="I37" s="74"/>
      <c r="J37" s="74"/>
      <c r="L37" s="66"/>
      <c r="M37" s="66"/>
      <c r="N37" s="66"/>
      <c r="O37" s="66"/>
      <c r="P37" s="66"/>
      <c r="Q37" s="66"/>
      <c r="R37" s="66"/>
    </row>
    <row r="38" spans="1:18" ht="12.75" customHeight="1">
      <c r="A38" s="74"/>
      <c r="B38" s="74"/>
      <c r="C38" s="74" t="s">
        <v>319</v>
      </c>
      <c r="D38" s="74"/>
      <c r="E38" s="74"/>
      <c r="F38" s="74"/>
      <c r="G38" s="74"/>
      <c r="H38" s="74"/>
      <c r="I38" s="74"/>
      <c r="J38" s="74"/>
      <c r="L38" s="66"/>
      <c r="M38" s="66" t="s">
        <v>319</v>
      </c>
      <c r="N38" s="66"/>
      <c r="O38" s="66"/>
      <c r="P38" s="66"/>
      <c r="Q38" s="66"/>
      <c r="R38" s="66"/>
    </row>
    <row r="39" spans="1:18" ht="12.75" customHeight="1">
      <c r="A39" s="74"/>
      <c r="B39" s="74"/>
      <c r="C39" s="74"/>
      <c r="D39" s="74"/>
      <c r="E39" s="74" t="s">
        <v>320</v>
      </c>
      <c r="F39" s="74" t="s">
        <v>321</v>
      </c>
      <c r="G39" s="74"/>
      <c r="H39" s="74"/>
      <c r="I39" s="74"/>
      <c r="J39" s="74"/>
      <c r="L39" s="66"/>
      <c r="M39" s="66"/>
      <c r="N39" s="66"/>
      <c r="O39" s="66" t="s">
        <v>320</v>
      </c>
      <c r="P39" s="66" t="s">
        <v>321</v>
      </c>
      <c r="Q39" s="66"/>
      <c r="R39" s="66"/>
    </row>
    <row r="40" spans="1:18" ht="12.75" customHeight="1">
      <c r="A40" s="74"/>
      <c r="B40" s="74"/>
      <c r="C40" s="74"/>
      <c r="D40" s="74"/>
      <c r="E40" s="74" t="s">
        <v>322</v>
      </c>
      <c r="F40" s="74" t="s">
        <v>323</v>
      </c>
      <c r="G40" s="74"/>
      <c r="H40" s="74"/>
      <c r="I40" s="74"/>
      <c r="J40" s="74"/>
      <c r="L40" s="66"/>
      <c r="M40" s="66"/>
      <c r="N40" s="66"/>
      <c r="O40" s="66" t="s">
        <v>322</v>
      </c>
      <c r="P40" s="66" t="s">
        <v>323</v>
      </c>
      <c r="Q40" s="66"/>
      <c r="R40" s="66"/>
    </row>
    <row r="41" spans="1:18" ht="12.75" customHeight="1">
      <c r="A41" s="74"/>
      <c r="B41" s="74"/>
      <c r="C41" s="74"/>
      <c r="D41" s="74"/>
      <c r="E41" s="74" t="s">
        <v>324</v>
      </c>
      <c r="F41" s="74"/>
      <c r="G41" s="74"/>
      <c r="H41" s="74"/>
      <c r="I41" s="74"/>
      <c r="J41" s="74"/>
      <c r="L41" s="66"/>
      <c r="M41" s="66"/>
      <c r="N41" s="66"/>
      <c r="O41" s="66" t="s">
        <v>324</v>
      </c>
      <c r="P41" s="66"/>
      <c r="Q41" s="66"/>
      <c r="R41" s="66"/>
    </row>
    <row r="42" spans="1:18" ht="12.75" customHeight="1">
      <c r="A42" s="74"/>
      <c r="B42" s="74"/>
      <c r="C42" s="74"/>
      <c r="D42" s="74"/>
      <c r="E42" s="74"/>
      <c r="F42" s="74"/>
      <c r="G42" s="74"/>
      <c r="H42" s="74"/>
      <c r="I42" s="74"/>
      <c r="J42" s="74"/>
      <c r="L42" s="66"/>
      <c r="M42" s="66"/>
      <c r="N42" s="66"/>
      <c r="O42" s="66"/>
      <c r="P42" s="66"/>
      <c r="Q42" s="66"/>
      <c r="R42" s="66"/>
    </row>
    <row r="43" spans="1:18" ht="12.75" customHeight="1">
      <c r="A43" s="74"/>
      <c r="B43" s="74"/>
      <c r="C43" s="74"/>
      <c r="D43" s="74"/>
      <c r="E43" s="74"/>
      <c r="F43" s="74"/>
      <c r="G43" s="74"/>
      <c r="H43" s="74"/>
      <c r="I43" s="74"/>
      <c r="J43" s="74"/>
      <c r="M43" s="66"/>
      <c r="N43" s="66"/>
      <c r="O43" s="66"/>
      <c r="P43" s="66"/>
      <c r="Q43" s="66"/>
      <c r="R43" s="66"/>
    </row>
    <row r="44" spans="1:18" ht="12.75" customHeight="1">
      <c r="A44" s="74"/>
      <c r="B44" s="74"/>
      <c r="C44" s="74"/>
      <c r="D44" s="74"/>
      <c r="E44" s="74"/>
      <c r="F44" s="74"/>
      <c r="G44" s="74"/>
      <c r="H44" s="74"/>
      <c r="I44" s="74"/>
      <c r="J44" s="74"/>
      <c r="L44" s="66"/>
      <c r="M44" s="66"/>
      <c r="N44" s="66"/>
      <c r="O44" s="66"/>
      <c r="P44" s="66"/>
      <c r="Q44" s="66"/>
      <c r="R44" s="66"/>
    </row>
    <row r="45" spans="1:18" ht="12.75" customHeight="1">
      <c r="A45" s="74"/>
      <c r="B45" s="74"/>
      <c r="C45" s="74"/>
      <c r="D45" s="74"/>
      <c r="E45" s="74" t="s">
        <v>325</v>
      </c>
      <c r="F45" s="74" t="s">
        <v>191</v>
      </c>
      <c r="G45" s="74"/>
      <c r="H45" s="74"/>
      <c r="I45" s="74"/>
      <c r="J45" s="74"/>
      <c r="L45" s="66"/>
      <c r="M45" s="66"/>
      <c r="N45" s="66"/>
      <c r="O45" s="66" t="s">
        <v>325</v>
      </c>
      <c r="P45" s="66" t="s">
        <v>325</v>
      </c>
      <c r="Q45" s="66"/>
      <c r="R45" s="66"/>
    </row>
    <row r="46" spans="1:18" ht="12.75" customHeight="1">
      <c r="A46" s="74"/>
      <c r="B46" s="74"/>
      <c r="C46" s="74"/>
      <c r="D46" s="74"/>
      <c r="E46" s="74"/>
      <c r="F46" s="74"/>
      <c r="G46" s="74"/>
      <c r="H46" s="74"/>
      <c r="I46" s="74"/>
      <c r="J46" s="74"/>
      <c r="L46" s="66"/>
      <c r="M46" s="66"/>
      <c r="N46" s="66"/>
      <c r="O46" s="66"/>
      <c r="P46" s="66"/>
      <c r="Q46" s="66"/>
      <c r="R46" s="66"/>
    </row>
    <row r="47" spans="1:18" ht="12.75" customHeight="1">
      <c r="A47" s="74"/>
      <c r="B47" s="74"/>
      <c r="C47" s="74"/>
      <c r="D47" s="74"/>
      <c r="E47" s="74"/>
      <c r="F47" s="74"/>
      <c r="G47" s="74"/>
      <c r="H47" s="74"/>
      <c r="I47" s="74"/>
      <c r="J47" s="74"/>
    </row>
    <row r="48" spans="1:18" ht="12.75" customHeight="1">
      <c r="A48" s="74"/>
      <c r="B48" s="74"/>
      <c r="C48" s="74"/>
      <c r="D48" s="74"/>
      <c r="E48" s="74"/>
      <c r="F48" s="74"/>
      <c r="G48" s="74"/>
      <c r="H48" s="74"/>
      <c r="I48" s="74"/>
      <c r="J48" s="74"/>
    </row>
    <row r="49" spans="1:10" ht="12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</row>
    <row r="50" spans="1:10" ht="12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</row>
    <row r="51" spans="1:10" ht="12.75" customHeight="1"/>
    <row r="52" spans="1:10" ht="12.75" customHeight="1"/>
    <row r="53" spans="1:10" ht="12.75" customHeight="1"/>
    <row r="54" spans="1:10" ht="12.75" customHeight="1"/>
    <row r="55" spans="1:10" ht="12.75" customHeight="1"/>
    <row r="56" spans="1:10" ht="12.75" customHeight="1"/>
    <row r="57" spans="1:10" ht="12.75" customHeight="1"/>
    <row r="58" spans="1:10" ht="12.75" customHeight="1"/>
    <row r="59" spans="1:10" ht="12.75" customHeight="1"/>
    <row r="60" spans="1:10" ht="12.75" customHeight="1"/>
    <row r="61" spans="1:10" ht="12.75" customHeight="1"/>
    <row r="62" spans="1:10" ht="12.75" customHeight="1"/>
    <row r="63" spans="1:10" ht="12.75" customHeight="1"/>
    <row r="64" spans="1:10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spans="1:10" ht="12.75" customHeight="1"/>
    <row r="82" spans="1:10" ht="12.75" customHeight="1"/>
    <row r="83" spans="1:10" ht="12.75" customHeight="1"/>
    <row r="84" spans="1:10" ht="12.75" customHeight="1">
      <c r="B84" s="66"/>
      <c r="C84" s="66"/>
      <c r="D84" s="66"/>
      <c r="E84" s="66"/>
      <c r="F84" s="66" t="s">
        <v>178</v>
      </c>
      <c r="G84" s="66"/>
      <c r="H84" s="66"/>
    </row>
    <row r="85" spans="1:10" ht="12.75" customHeight="1">
      <c r="B85" s="66"/>
      <c r="C85" s="66"/>
      <c r="D85" s="66"/>
      <c r="E85" s="66"/>
      <c r="F85" s="66"/>
      <c r="G85" s="67" t="s">
        <v>287</v>
      </c>
      <c r="H85" s="66"/>
    </row>
    <row r="86" spans="1:10" ht="12.75" customHeight="1">
      <c r="B86" s="66"/>
      <c r="C86" s="66"/>
      <c r="D86" s="66"/>
      <c r="E86" s="66"/>
      <c r="F86" s="66"/>
      <c r="G86" s="68" t="s">
        <v>288</v>
      </c>
      <c r="H86" s="66"/>
    </row>
    <row r="87" spans="1:10" ht="12.75" customHeight="1">
      <c r="B87" s="66"/>
      <c r="C87" s="66"/>
      <c r="D87" s="66"/>
      <c r="E87" s="66"/>
      <c r="F87" s="66"/>
      <c r="G87" s="66"/>
      <c r="H87" s="66"/>
    </row>
    <row r="88" spans="1:10" ht="12.75" customHeight="1">
      <c r="A88" s="74"/>
      <c r="B88" s="74"/>
      <c r="C88" s="74"/>
      <c r="D88" s="74"/>
      <c r="E88" s="74"/>
      <c r="G88" s="74" t="s">
        <v>326</v>
      </c>
      <c r="H88" s="74"/>
      <c r="I88" s="74"/>
      <c r="J88" s="74"/>
    </row>
    <row r="89" spans="1:10" ht="12.75" customHeight="1">
      <c r="A89" s="74"/>
      <c r="B89" s="74"/>
      <c r="C89" s="74"/>
      <c r="D89" s="74"/>
      <c r="E89" s="74"/>
      <c r="F89" s="74"/>
      <c r="G89" s="74"/>
      <c r="H89" s="74"/>
      <c r="I89" s="74"/>
      <c r="J89" s="74"/>
    </row>
    <row r="90" spans="1:10" ht="12.75" customHeight="1">
      <c r="A90" s="74"/>
      <c r="B90" s="74" t="s">
        <v>291</v>
      </c>
      <c r="C90" s="74"/>
      <c r="D90" s="74" t="s">
        <v>10</v>
      </c>
      <c r="E90" s="74" t="s">
        <v>292</v>
      </c>
      <c r="F90" s="74" t="s">
        <v>293</v>
      </c>
      <c r="G90" s="74"/>
      <c r="H90" s="74"/>
      <c r="I90" s="74"/>
      <c r="J90" s="74"/>
    </row>
    <row r="91" spans="1:10" ht="12.75" customHeight="1">
      <c r="A91" s="74"/>
      <c r="B91" s="74" t="s">
        <v>294</v>
      </c>
      <c r="C91" s="74"/>
      <c r="D91" s="74" t="s">
        <v>10</v>
      </c>
      <c r="E91" s="74" t="s">
        <v>295</v>
      </c>
      <c r="F91" s="74" t="s">
        <v>296</v>
      </c>
      <c r="G91" s="74"/>
      <c r="H91" s="74"/>
      <c r="I91" s="74"/>
      <c r="J91" s="74"/>
    </row>
    <row r="92" spans="1:10" ht="12.75" customHeight="1">
      <c r="A92" s="74"/>
      <c r="B92" s="74"/>
      <c r="C92" s="74"/>
      <c r="D92" s="74"/>
      <c r="E92" s="74"/>
      <c r="F92" s="74" t="s">
        <v>297</v>
      </c>
      <c r="G92" s="74"/>
      <c r="H92" s="74"/>
      <c r="I92" s="74"/>
      <c r="J92" s="74"/>
    </row>
    <row r="93" spans="1:10" ht="12.75" customHeight="1">
      <c r="A93" s="74"/>
      <c r="B93" s="74"/>
      <c r="C93" s="74"/>
      <c r="D93" s="74"/>
      <c r="E93" s="74"/>
      <c r="F93" s="74" t="s">
        <v>298</v>
      </c>
      <c r="G93" s="74"/>
      <c r="H93" s="74"/>
      <c r="I93" s="74"/>
      <c r="J93" s="74"/>
    </row>
    <row r="94" spans="1:10" ht="12.75" customHeight="1">
      <c r="A94" s="74"/>
      <c r="B94" s="74"/>
      <c r="C94" s="74"/>
      <c r="D94" s="74"/>
      <c r="E94" s="74"/>
      <c r="F94" s="74"/>
      <c r="G94" s="74"/>
      <c r="H94" s="74"/>
      <c r="I94" s="74"/>
      <c r="J94" s="74"/>
    </row>
    <row r="95" spans="1:10" ht="12.75" customHeight="1">
      <c r="A95" s="74"/>
      <c r="B95" s="74"/>
      <c r="C95" s="74"/>
      <c r="D95" s="74"/>
      <c r="E95" s="74"/>
      <c r="F95" s="74"/>
      <c r="G95" s="74"/>
      <c r="H95" s="74"/>
      <c r="I95" s="74"/>
      <c r="J95" s="74"/>
    </row>
    <row r="96" spans="1:10" ht="12.75" customHeight="1">
      <c r="A96" s="74"/>
      <c r="B96" s="74" t="s">
        <v>300</v>
      </c>
      <c r="C96" s="74"/>
      <c r="D96" s="74"/>
      <c r="E96" s="74"/>
      <c r="F96" s="74"/>
      <c r="G96" s="74"/>
      <c r="H96" s="74"/>
      <c r="I96" s="74"/>
      <c r="J96" s="74"/>
    </row>
    <row r="97" spans="1:10" ht="12.75" customHeight="1">
      <c r="A97" s="74"/>
      <c r="B97" s="74"/>
      <c r="C97" s="74"/>
      <c r="D97" s="74" t="s">
        <v>301</v>
      </c>
      <c r="E97" s="74"/>
      <c r="F97" s="74"/>
      <c r="G97" s="74"/>
      <c r="H97" s="74"/>
      <c r="I97" s="74"/>
      <c r="J97" s="74"/>
    </row>
    <row r="98" spans="1:10" ht="12.75" customHeight="1">
      <c r="A98" s="74"/>
      <c r="B98" s="74" t="s">
        <v>327</v>
      </c>
      <c r="C98" s="74"/>
      <c r="D98" s="74"/>
      <c r="E98" s="74"/>
      <c r="F98" s="74"/>
      <c r="G98" s="74"/>
      <c r="H98" s="74"/>
      <c r="I98" s="74"/>
      <c r="J98" s="74"/>
    </row>
    <row r="99" spans="1:10" ht="12.75" customHeight="1">
      <c r="A99" s="74"/>
      <c r="B99" s="74" t="s">
        <v>328</v>
      </c>
      <c r="C99" s="74"/>
      <c r="D99" s="74"/>
      <c r="E99" s="74"/>
      <c r="F99" s="74"/>
      <c r="G99" s="74"/>
      <c r="H99" s="74"/>
      <c r="I99" s="74"/>
      <c r="J99" s="74"/>
    </row>
    <row r="100" spans="1:10" ht="12.75" customHeight="1">
      <c r="A100" s="74"/>
      <c r="B100" s="74" t="s">
        <v>329</v>
      </c>
      <c r="C100" s="74"/>
      <c r="D100" s="74"/>
      <c r="E100" s="74"/>
      <c r="F100" s="74"/>
      <c r="G100" s="74"/>
      <c r="H100" s="74"/>
      <c r="I100" s="74"/>
      <c r="J100" s="74"/>
    </row>
    <row r="101" spans="1:10" ht="12.75" customHeight="1">
      <c r="A101" s="74"/>
      <c r="B101" s="74"/>
      <c r="C101" s="74"/>
      <c r="D101" s="74" t="s">
        <v>308</v>
      </c>
      <c r="E101" s="74"/>
      <c r="F101" s="74"/>
      <c r="G101" s="74"/>
      <c r="H101" s="74"/>
      <c r="I101" s="74"/>
      <c r="J101" s="74"/>
    </row>
    <row r="102" spans="1:10" ht="12.75" customHeight="1">
      <c r="A102" s="74"/>
      <c r="B102" s="74" t="s">
        <v>309</v>
      </c>
      <c r="C102" s="74"/>
      <c r="D102" s="74"/>
      <c r="E102" s="74"/>
      <c r="F102" s="74"/>
      <c r="G102" s="74"/>
      <c r="H102" s="74"/>
      <c r="I102" s="74"/>
      <c r="J102" s="74"/>
    </row>
    <row r="103" spans="1:10" ht="12.75" customHeight="1">
      <c r="A103" s="74"/>
      <c r="B103" s="74"/>
      <c r="C103" s="74"/>
      <c r="D103" s="74"/>
      <c r="E103" s="74"/>
      <c r="F103" s="74"/>
      <c r="G103" s="74"/>
      <c r="H103" s="74"/>
      <c r="I103" s="74"/>
      <c r="J103" s="74"/>
    </row>
    <row r="104" spans="1:10" ht="12.75" customHeight="1">
      <c r="A104" s="74"/>
      <c r="B104" s="74" t="s">
        <v>111</v>
      </c>
      <c r="C104" s="74" t="s">
        <v>310</v>
      </c>
      <c r="D104" s="74"/>
      <c r="E104" s="74"/>
      <c r="F104" s="74"/>
      <c r="G104" s="74"/>
      <c r="H104" s="74"/>
      <c r="I104" s="74"/>
      <c r="J104" s="74"/>
    </row>
    <row r="105" spans="1:10" ht="12.75" customHeight="1">
      <c r="A105" s="74"/>
      <c r="B105" s="74" t="s">
        <v>115</v>
      </c>
      <c r="C105" s="74" t="s">
        <v>312</v>
      </c>
      <c r="D105" s="74"/>
      <c r="E105" s="74"/>
      <c r="F105" s="74"/>
      <c r="G105" s="74"/>
      <c r="H105" s="74"/>
      <c r="I105" s="74"/>
      <c r="J105" s="74"/>
    </row>
    <row r="106" spans="1:10" ht="12.75" customHeight="1">
      <c r="A106" s="74"/>
      <c r="B106" s="74" t="s">
        <v>118</v>
      </c>
      <c r="C106" s="74" t="s">
        <v>313</v>
      </c>
      <c r="D106" s="74"/>
      <c r="E106" s="74"/>
      <c r="F106" s="74"/>
      <c r="G106" s="74"/>
      <c r="H106" s="74"/>
      <c r="I106" s="74"/>
      <c r="J106" s="74"/>
    </row>
    <row r="107" spans="1:10" ht="12.75" customHeight="1">
      <c r="A107" s="74"/>
      <c r="B107" s="74" t="s">
        <v>121</v>
      </c>
      <c r="C107" s="74" t="s">
        <v>314</v>
      </c>
      <c r="D107" s="74"/>
      <c r="E107" s="74"/>
      <c r="F107" s="74"/>
      <c r="G107" s="74"/>
      <c r="H107" s="74"/>
      <c r="I107" s="74"/>
      <c r="J107" s="74"/>
    </row>
    <row r="108" spans="1:10" ht="12.75" customHeight="1">
      <c r="A108" s="74"/>
      <c r="B108" s="74" t="s">
        <v>124</v>
      </c>
      <c r="C108" s="74" t="s">
        <v>315</v>
      </c>
      <c r="D108" s="74"/>
      <c r="E108" s="74"/>
      <c r="F108" s="74"/>
      <c r="G108" s="74"/>
      <c r="H108" s="74"/>
      <c r="I108" s="74"/>
      <c r="J108" s="74"/>
    </row>
    <row r="109" spans="1:10" ht="12.75" customHeight="1">
      <c r="A109" s="74"/>
      <c r="B109" s="74" t="s">
        <v>127</v>
      </c>
      <c r="C109" s="74" t="s">
        <v>315</v>
      </c>
      <c r="D109" s="74"/>
      <c r="E109" s="74"/>
      <c r="F109" s="74"/>
      <c r="G109" s="74"/>
      <c r="H109" s="74"/>
      <c r="I109" s="74"/>
      <c r="J109" s="74"/>
    </row>
    <row r="110" spans="1:10" ht="12.75" customHeight="1">
      <c r="A110" s="74"/>
      <c r="B110" s="74" t="s">
        <v>130</v>
      </c>
      <c r="C110" s="74" t="s">
        <v>315</v>
      </c>
      <c r="D110" s="74"/>
      <c r="E110" s="74"/>
      <c r="F110" s="74"/>
      <c r="G110" s="74"/>
      <c r="H110" s="74"/>
      <c r="I110" s="74"/>
      <c r="J110" s="74"/>
    </row>
    <row r="111" spans="1:10" ht="12.75" customHeight="1">
      <c r="A111" s="74"/>
      <c r="B111" s="74" t="s">
        <v>134</v>
      </c>
      <c r="C111" s="74" t="s">
        <v>315</v>
      </c>
      <c r="D111" s="74"/>
      <c r="E111" s="74"/>
      <c r="F111" s="74"/>
      <c r="G111" s="74"/>
      <c r="H111" s="74"/>
      <c r="I111" s="74"/>
      <c r="J111" s="74"/>
    </row>
    <row r="112" spans="1:10" ht="12.75" customHeight="1">
      <c r="A112" s="74"/>
      <c r="B112" s="74"/>
      <c r="C112" s="74"/>
      <c r="D112" s="74"/>
      <c r="E112" s="74"/>
      <c r="F112" s="74"/>
      <c r="G112" s="74"/>
      <c r="H112" s="74"/>
      <c r="I112" s="74"/>
      <c r="J112" s="74"/>
    </row>
    <row r="113" spans="1:10" ht="12.75" customHeight="1">
      <c r="A113" s="74"/>
      <c r="B113" s="74"/>
      <c r="C113" s="74"/>
      <c r="D113" s="74" t="s">
        <v>316</v>
      </c>
      <c r="E113" s="74"/>
      <c r="F113" s="74"/>
      <c r="G113" s="74"/>
      <c r="H113" s="74"/>
      <c r="I113" s="74"/>
      <c r="J113" s="74"/>
    </row>
    <row r="114" spans="1:10" ht="12.75" customHeight="1">
      <c r="A114" s="74"/>
      <c r="B114" s="74" t="s">
        <v>317</v>
      </c>
      <c r="C114" s="74"/>
      <c r="D114" s="74"/>
      <c r="E114" s="74"/>
      <c r="F114" s="74"/>
      <c r="G114" s="74"/>
      <c r="H114" s="74"/>
      <c r="I114" s="74"/>
      <c r="J114" s="74"/>
    </row>
    <row r="115" spans="1:10" ht="12.75" customHeight="1">
      <c r="A115" s="74"/>
      <c r="B115" s="74"/>
      <c r="C115" s="74"/>
      <c r="D115" s="74"/>
      <c r="E115" s="74"/>
      <c r="F115" s="74"/>
      <c r="G115" s="74"/>
      <c r="H115" s="74"/>
      <c r="I115" s="74"/>
      <c r="J115" s="74"/>
    </row>
    <row r="116" spans="1:10" ht="12.75" customHeight="1">
      <c r="A116" s="74"/>
      <c r="B116" s="74" t="s">
        <v>318</v>
      </c>
      <c r="C116" s="74"/>
      <c r="D116" s="74"/>
      <c r="E116" s="74"/>
      <c r="F116" s="74"/>
      <c r="G116" s="74"/>
      <c r="H116" s="74"/>
      <c r="I116" s="74"/>
      <c r="J116" s="74"/>
    </row>
    <row r="117" spans="1:10" ht="12.75" customHeight="1">
      <c r="A117" s="74"/>
      <c r="B117" s="74"/>
      <c r="C117" s="74"/>
      <c r="D117" s="74"/>
      <c r="E117" s="74"/>
      <c r="F117" s="74"/>
      <c r="G117" s="74"/>
      <c r="H117" s="74"/>
      <c r="I117" s="74"/>
      <c r="J117" s="74"/>
    </row>
    <row r="118" spans="1:10" ht="12.75" customHeight="1">
      <c r="A118" s="74"/>
      <c r="B118" s="74"/>
      <c r="C118" s="74"/>
      <c r="D118" s="74"/>
      <c r="E118" s="74"/>
      <c r="F118" s="74"/>
      <c r="G118" s="74"/>
      <c r="H118" s="74"/>
      <c r="I118" s="74"/>
      <c r="J118" s="74"/>
    </row>
    <row r="119" spans="1:10" ht="12.75" customHeight="1">
      <c r="A119" s="74"/>
      <c r="B119" s="74"/>
      <c r="C119" s="74"/>
      <c r="D119" s="74"/>
      <c r="E119" s="74"/>
      <c r="F119" s="74"/>
      <c r="G119" s="74"/>
      <c r="H119" s="74"/>
      <c r="I119" s="74"/>
      <c r="J119" s="74"/>
    </row>
    <row r="120" spans="1:10" ht="12.75" customHeight="1">
      <c r="A120" s="74"/>
      <c r="B120" s="74"/>
      <c r="C120" s="74" t="s">
        <v>319</v>
      </c>
      <c r="D120" s="74"/>
      <c r="E120" s="74"/>
      <c r="F120" s="74"/>
      <c r="G120" s="74"/>
      <c r="H120" s="74"/>
      <c r="I120" s="74"/>
      <c r="J120" s="74"/>
    </row>
    <row r="121" spans="1:10" ht="12.75" customHeight="1">
      <c r="A121" s="74"/>
      <c r="B121" s="74"/>
      <c r="C121" s="74"/>
      <c r="D121" s="74"/>
      <c r="E121" s="74" t="s">
        <v>320</v>
      </c>
      <c r="F121" s="74" t="s">
        <v>321</v>
      </c>
      <c r="G121" s="74"/>
      <c r="H121" s="74"/>
      <c r="I121" s="74"/>
      <c r="J121" s="74"/>
    </row>
    <row r="122" spans="1:10" ht="12.75" customHeight="1">
      <c r="A122" s="74"/>
      <c r="B122" s="74"/>
      <c r="C122" s="74"/>
      <c r="D122" s="74"/>
      <c r="E122" s="74" t="s">
        <v>322</v>
      </c>
      <c r="F122" s="74" t="s">
        <v>323</v>
      </c>
      <c r="G122" s="74"/>
      <c r="H122" s="74"/>
      <c r="I122" s="74"/>
      <c r="J122" s="74"/>
    </row>
    <row r="123" spans="1:10" ht="12.75" customHeight="1">
      <c r="A123" s="74"/>
      <c r="B123" s="74"/>
      <c r="C123" s="74"/>
      <c r="D123" s="74"/>
      <c r="E123" s="74" t="s">
        <v>324</v>
      </c>
      <c r="F123" s="74"/>
      <c r="G123" s="74"/>
      <c r="H123" s="74"/>
      <c r="I123" s="74"/>
      <c r="J123" s="74"/>
    </row>
    <row r="124" spans="1:10" ht="12.75" customHeight="1">
      <c r="A124" s="74"/>
      <c r="B124" s="74"/>
      <c r="C124" s="74"/>
      <c r="D124" s="74"/>
      <c r="E124" s="74"/>
      <c r="F124" s="74"/>
      <c r="G124" s="74"/>
      <c r="H124" s="74"/>
      <c r="I124" s="74"/>
      <c r="J124" s="74"/>
    </row>
    <row r="125" spans="1:10" ht="12.75" customHeight="1">
      <c r="A125" s="74"/>
      <c r="B125" s="74"/>
      <c r="C125" s="74"/>
      <c r="D125" s="74"/>
      <c r="E125" s="74"/>
      <c r="F125" s="74"/>
      <c r="G125" s="74"/>
      <c r="H125" s="74"/>
      <c r="I125" s="74"/>
      <c r="J125" s="74"/>
    </row>
    <row r="126" spans="1:10" ht="12.75" customHeight="1">
      <c r="A126" s="74"/>
      <c r="B126" s="74"/>
      <c r="C126" s="74"/>
      <c r="D126" s="74"/>
      <c r="E126" s="74"/>
      <c r="F126" s="74" t="s">
        <v>170</v>
      </c>
      <c r="G126" s="74"/>
      <c r="H126" s="74"/>
      <c r="I126" s="74"/>
      <c r="J126" s="74"/>
    </row>
    <row r="127" spans="1:10" ht="12.75" customHeight="1">
      <c r="A127" s="74"/>
      <c r="B127" s="74"/>
      <c r="C127" s="74"/>
      <c r="D127" s="74"/>
      <c r="E127" s="74"/>
      <c r="F127" s="74"/>
      <c r="G127" s="74"/>
      <c r="H127" s="74"/>
      <c r="I127" s="74"/>
      <c r="J127" s="74"/>
    </row>
    <row r="128" spans="1:10" ht="12.75" customHeight="1">
      <c r="A128" s="74"/>
      <c r="B128" s="74"/>
      <c r="C128" s="74"/>
      <c r="D128" s="74"/>
      <c r="E128" s="74"/>
      <c r="F128" s="74"/>
      <c r="G128" s="74"/>
      <c r="H128" s="74"/>
      <c r="I128" s="74"/>
      <c r="J128" s="74"/>
    </row>
    <row r="129" spans="1:10" ht="12.75" customHeight="1">
      <c r="A129" s="74"/>
      <c r="B129" s="74"/>
      <c r="C129" s="74"/>
      <c r="D129" s="74"/>
      <c r="E129" s="74"/>
      <c r="F129" s="74"/>
      <c r="G129" s="74"/>
      <c r="H129" s="74"/>
      <c r="I129" s="74"/>
      <c r="J129" s="74"/>
    </row>
    <row r="130" spans="1:10" ht="12.75" customHeight="1">
      <c r="A130" s="74"/>
      <c r="B130" s="74"/>
      <c r="C130" s="74"/>
      <c r="D130" s="74"/>
      <c r="E130" s="74"/>
      <c r="F130" s="74"/>
      <c r="G130" s="74"/>
      <c r="H130" s="74"/>
      <c r="I130" s="74"/>
      <c r="J130" s="74"/>
    </row>
    <row r="131" spans="1:10" ht="12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</row>
    <row r="132" spans="1:10" ht="12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</row>
    <row r="133" spans="1:10" ht="12.75" customHeight="1"/>
    <row r="134" spans="1:10" ht="12.75" customHeight="1"/>
    <row r="135" spans="1:10" ht="12.75" customHeight="1"/>
    <row r="136" spans="1:10" ht="12.75" customHeight="1"/>
    <row r="137" spans="1:10" ht="12.75" customHeight="1"/>
    <row r="138" spans="1:10" ht="12.75" customHeight="1"/>
    <row r="139" spans="1:10" ht="12.75" customHeight="1"/>
    <row r="140" spans="1:10" ht="12.75" customHeight="1"/>
    <row r="141" spans="1:10" ht="12.75" customHeight="1"/>
    <row r="142" spans="1:10" ht="12.75" customHeight="1"/>
    <row r="143" spans="1:10" ht="12.75" customHeight="1"/>
    <row r="144" spans="1:10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51181102362204722" right="0.31496062992125984" top="0.74803149606299213" bottom="0.55118110236220474" header="0" footer="0"/>
  <pageSetup paperSize="5" scale="85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00"/>
  <sheetViews>
    <sheetView workbookViewId="0"/>
  </sheetViews>
  <sheetFormatPr defaultColWidth="12.5703125" defaultRowHeight="15" customHeight="1"/>
  <cols>
    <col min="1" max="1" width="5.5703125" customWidth="1"/>
    <col min="2" max="2" width="8.5703125" customWidth="1"/>
    <col min="3" max="3" width="11.28515625" customWidth="1"/>
    <col min="4" max="4" width="2.140625" customWidth="1"/>
    <col min="5" max="5" width="36.5703125" customWidth="1"/>
    <col min="6" max="26" width="8.5703125" customWidth="1"/>
  </cols>
  <sheetData>
    <row r="1" spans="2:5" ht="12.75" customHeight="1"/>
    <row r="2" spans="2:5" ht="12.75" customHeight="1">
      <c r="B2" s="64" t="s">
        <v>330</v>
      </c>
      <c r="D2" s="64" t="s">
        <v>10</v>
      </c>
      <c r="E2" s="3" t="s">
        <v>106</v>
      </c>
    </row>
    <row r="3" spans="2:5" ht="12.75" customHeight="1">
      <c r="B3" s="3" t="s">
        <v>331</v>
      </c>
      <c r="D3" s="64" t="s">
        <v>10</v>
      </c>
      <c r="E3" s="3" t="s">
        <v>104</v>
      </c>
    </row>
    <row r="4" spans="2:5" ht="12.75" customHeight="1">
      <c r="B4" s="64" t="s">
        <v>332</v>
      </c>
      <c r="D4" s="64" t="s">
        <v>10</v>
      </c>
      <c r="E4" s="3" t="s">
        <v>102</v>
      </c>
    </row>
    <row r="5" spans="2:5" ht="12.75" customHeight="1"/>
    <row r="6" spans="2:5" ht="12.75" customHeight="1"/>
    <row r="7" spans="2:5" ht="12.75" customHeight="1">
      <c r="B7" s="225" t="s">
        <v>333</v>
      </c>
      <c r="C7" s="194"/>
      <c r="D7" s="194"/>
      <c r="E7" s="194"/>
    </row>
    <row r="8" spans="2:5" ht="12.75" customHeight="1"/>
    <row r="9" spans="2:5" ht="12.75" customHeight="1"/>
    <row r="10" spans="2:5" ht="12.75" customHeight="1">
      <c r="B10" s="234" t="s">
        <v>334</v>
      </c>
      <c r="C10" s="194"/>
      <c r="D10" s="194"/>
      <c r="E10" s="194"/>
    </row>
    <row r="11" spans="2:5" ht="7.5" customHeight="1"/>
    <row r="12" spans="2:5" ht="12.75" customHeight="1">
      <c r="B12" s="225" t="s">
        <v>335</v>
      </c>
      <c r="C12" s="194"/>
      <c r="D12" s="194"/>
      <c r="E12" s="194"/>
    </row>
    <row r="13" spans="2:5" ht="12.75" customHeight="1"/>
    <row r="14" spans="2:5" ht="12.75" customHeight="1"/>
    <row r="15" spans="2:5" ht="12.75" customHeight="1">
      <c r="C15" s="64" t="s">
        <v>336</v>
      </c>
    </row>
    <row r="16" spans="2:5" ht="12.75" customHeight="1">
      <c r="B16" s="64" t="s">
        <v>337</v>
      </c>
    </row>
    <row r="17" spans="2:5" ht="9" customHeight="1"/>
    <row r="18" spans="2:5" ht="12.75" customHeight="1">
      <c r="B18" s="64" t="s">
        <v>338</v>
      </c>
      <c r="D18" s="64" t="s">
        <v>10</v>
      </c>
      <c r="E18" s="3" t="s">
        <v>339</v>
      </c>
    </row>
    <row r="19" spans="2:5" ht="8.25" customHeight="1"/>
    <row r="20" spans="2:5" ht="12.75" customHeight="1">
      <c r="B20" s="64" t="s">
        <v>340</v>
      </c>
      <c r="D20" s="64" t="s">
        <v>10</v>
      </c>
      <c r="E20" s="72" t="s">
        <v>341</v>
      </c>
    </row>
    <row r="21" spans="2:5" ht="6" customHeight="1"/>
    <row r="22" spans="2:5" ht="12.75" customHeight="1">
      <c r="B22" s="64" t="s">
        <v>285</v>
      </c>
      <c r="D22" s="64" t="s">
        <v>10</v>
      </c>
      <c r="E22" s="3" t="s">
        <v>342</v>
      </c>
    </row>
    <row r="23" spans="2:5" ht="8.25" customHeight="1"/>
    <row r="24" spans="2:5" ht="12.75" customHeight="1">
      <c r="B24" s="64" t="s">
        <v>343</v>
      </c>
      <c r="D24" s="64" t="s">
        <v>10</v>
      </c>
      <c r="E24" s="75" t="s">
        <v>344</v>
      </c>
    </row>
    <row r="25" spans="2:5" ht="7.5" customHeight="1"/>
    <row r="26" spans="2:5" ht="12.75" customHeight="1">
      <c r="B26" s="64" t="s">
        <v>125</v>
      </c>
      <c r="D26" s="64" t="s">
        <v>10</v>
      </c>
      <c r="E26" s="3" t="s">
        <v>126</v>
      </c>
    </row>
    <row r="27" spans="2:5" ht="7.5" customHeight="1"/>
    <row r="28" spans="2:5" ht="12.75" customHeight="1">
      <c r="B28" s="64" t="s">
        <v>345</v>
      </c>
      <c r="D28" s="64" t="s">
        <v>10</v>
      </c>
      <c r="E28" s="3" t="s">
        <v>346</v>
      </c>
    </row>
    <row r="29" spans="2:5" ht="12.75" customHeight="1">
      <c r="E29" s="3" t="s">
        <v>347</v>
      </c>
    </row>
    <row r="30" spans="2:5" ht="12.75" customHeight="1"/>
    <row r="31" spans="2:5" ht="12.75" customHeight="1"/>
    <row r="32" spans="2:5" ht="12.75" customHeight="1">
      <c r="B32" s="64" t="s">
        <v>348</v>
      </c>
    </row>
    <row r="33" spans="2:5" ht="12.75" customHeight="1"/>
    <row r="34" spans="2:5" ht="12.75" customHeight="1">
      <c r="B34" s="64" t="s">
        <v>349</v>
      </c>
      <c r="D34" s="64" t="s">
        <v>10</v>
      </c>
      <c r="E34" s="3" t="s">
        <v>350</v>
      </c>
    </row>
    <row r="35" spans="2:5" ht="8.25" customHeight="1"/>
    <row r="36" spans="2:5" ht="12.75" customHeight="1">
      <c r="B36" s="64" t="s">
        <v>351</v>
      </c>
      <c r="D36" s="64" t="s">
        <v>10</v>
      </c>
      <c r="E36" s="75">
        <v>43329</v>
      </c>
    </row>
    <row r="37" spans="2:5" ht="7.5" customHeight="1"/>
    <row r="38" spans="2:5" ht="12.75" customHeight="1">
      <c r="B38" s="64" t="s">
        <v>352</v>
      </c>
      <c r="D38" s="64" t="s">
        <v>10</v>
      </c>
      <c r="E38" s="3" t="s">
        <v>353</v>
      </c>
    </row>
    <row r="39" spans="2:5" ht="9" customHeight="1"/>
    <row r="40" spans="2:5" ht="12.75" customHeight="1">
      <c r="B40" s="64" t="s">
        <v>354</v>
      </c>
      <c r="D40" s="64" t="s">
        <v>10</v>
      </c>
      <c r="E40" s="3" t="s">
        <v>355</v>
      </c>
    </row>
    <row r="41" spans="2:5" ht="12.75" customHeight="1"/>
    <row r="42" spans="2:5" ht="12.75" customHeight="1"/>
    <row r="43" spans="2:5" ht="12.75" customHeight="1"/>
    <row r="44" spans="2:5" ht="12.75" customHeight="1">
      <c r="B44" s="64" t="s">
        <v>356</v>
      </c>
    </row>
    <row r="45" spans="2:5" ht="12.75" customHeight="1"/>
    <row r="46" spans="2:5" ht="12.75" customHeight="1">
      <c r="B46" s="64" t="s">
        <v>338</v>
      </c>
      <c r="D46" s="3" t="s">
        <v>10</v>
      </c>
      <c r="E46" s="3" t="s">
        <v>357</v>
      </c>
    </row>
    <row r="47" spans="2:5" ht="7.5" customHeight="1"/>
    <row r="48" spans="2:5" ht="12.75" customHeight="1">
      <c r="B48" s="64" t="s">
        <v>340</v>
      </c>
      <c r="D48" s="3" t="s">
        <v>10</v>
      </c>
      <c r="E48" s="76" t="s">
        <v>358</v>
      </c>
    </row>
    <row r="49" spans="2:5" ht="6.75" customHeight="1"/>
    <row r="50" spans="2:5" ht="12.75" customHeight="1">
      <c r="B50" s="64" t="s">
        <v>359</v>
      </c>
      <c r="D50" s="3" t="s">
        <v>10</v>
      </c>
      <c r="E50" s="3" t="s">
        <v>360</v>
      </c>
    </row>
    <row r="51" spans="2:5" ht="7.5" customHeight="1"/>
    <row r="52" spans="2:5" ht="12.75" customHeight="1">
      <c r="B52" s="64" t="s">
        <v>128</v>
      </c>
      <c r="D52" s="3" t="s">
        <v>10</v>
      </c>
      <c r="E52" s="3" t="s">
        <v>361</v>
      </c>
    </row>
    <row r="53" spans="2:5" ht="7.5" customHeight="1"/>
    <row r="54" spans="2:5" ht="12.75" customHeight="1">
      <c r="B54" s="64" t="s">
        <v>345</v>
      </c>
      <c r="D54" s="3" t="s">
        <v>10</v>
      </c>
      <c r="E54" s="3" t="s">
        <v>346</v>
      </c>
    </row>
    <row r="55" spans="2:5" ht="12.75" customHeight="1">
      <c r="E55" s="3" t="s">
        <v>347</v>
      </c>
    </row>
    <row r="56" spans="2:5" ht="12.75" customHeight="1"/>
    <row r="57" spans="2:5" ht="12.75" customHeight="1"/>
    <row r="58" spans="2:5" ht="12.75" customHeight="1">
      <c r="B58" s="64" t="s">
        <v>362</v>
      </c>
    </row>
    <row r="59" spans="2:5" ht="12.75" customHeight="1"/>
    <row r="60" spans="2:5" ht="12.75" customHeight="1"/>
    <row r="61" spans="2:5" ht="12.75" customHeight="1">
      <c r="E61" s="11" t="s">
        <v>363</v>
      </c>
    </row>
    <row r="62" spans="2:5" ht="12.75" customHeight="1"/>
    <row r="63" spans="2:5" ht="12.75" customHeight="1">
      <c r="E63" s="11" t="s">
        <v>364</v>
      </c>
    </row>
    <row r="64" spans="2:5" ht="12.75" customHeight="1">
      <c r="E64" s="11" t="s">
        <v>365</v>
      </c>
    </row>
    <row r="65" spans="5:5" ht="12.75" customHeight="1">
      <c r="E65" s="11"/>
    </row>
    <row r="66" spans="5:5" ht="12.75" customHeight="1">
      <c r="E66" s="11"/>
    </row>
    <row r="67" spans="5:5" ht="12.75" customHeight="1">
      <c r="E67" s="11"/>
    </row>
    <row r="68" spans="5:5" ht="12.75" customHeight="1">
      <c r="E68" s="11" t="s">
        <v>366</v>
      </c>
    </row>
    <row r="69" spans="5:5" ht="12.75" customHeight="1"/>
    <row r="70" spans="5:5" ht="12.75" customHeight="1"/>
    <row r="71" spans="5:5" ht="12.75" customHeight="1"/>
    <row r="72" spans="5:5" ht="12.75" customHeight="1"/>
    <row r="73" spans="5:5" ht="12.75" customHeight="1"/>
    <row r="74" spans="5:5" ht="12.75" customHeight="1"/>
    <row r="75" spans="5:5" ht="12.75" customHeight="1"/>
    <row r="76" spans="5:5" ht="12.75" customHeight="1"/>
    <row r="77" spans="5:5" ht="12.75" customHeight="1"/>
    <row r="78" spans="5:5" ht="12.75" customHeight="1"/>
    <row r="79" spans="5:5" ht="12.75" customHeight="1"/>
    <row r="80" spans="5:5" ht="12.75" customHeight="1"/>
    <row r="81" spans="2:5" ht="12.75" customHeight="1">
      <c r="E81" s="3"/>
    </row>
    <row r="82" spans="2:5" ht="12.75" customHeight="1">
      <c r="B82" s="3"/>
      <c r="E82" s="3"/>
    </row>
    <row r="83" spans="2:5" ht="12.75" customHeight="1">
      <c r="E83" s="3"/>
    </row>
    <row r="84" spans="2:5" ht="12.75" customHeight="1"/>
    <row r="85" spans="2:5" ht="12.75" customHeight="1"/>
    <row r="86" spans="2:5" ht="12.75" customHeight="1">
      <c r="B86" s="225"/>
      <c r="C86" s="194"/>
      <c r="D86" s="194"/>
      <c r="E86" s="194"/>
    </row>
    <row r="87" spans="2:5" ht="12.75" customHeight="1"/>
    <row r="88" spans="2:5" ht="12.75" customHeight="1"/>
    <row r="89" spans="2:5" ht="12.75" customHeight="1">
      <c r="B89" s="234"/>
      <c r="C89" s="194"/>
      <c r="D89" s="194"/>
      <c r="E89" s="194"/>
    </row>
    <row r="90" spans="2:5" ht="12.75" customHeight="1"/>
    <row r="91" spans="2:5" ht="12.75" customHeight="1">
      <c r="B91" s="225"/>
      <c r="C91" s="194"/>
      <c r="D91" s="194"/>
      <c r="E91" s="194"/>
    </row>
    <row r="92" spans="2:5" ht="12.75" customHeight="1"/>
    <row r="93" spans="2:5" ht="12.75" customHeight="1"/>
    <row r="94" spans="2:5" ht="12.75" customHeight="1"/>
    <row r="95" spans="2:5" ht="12.75" customHeight="1"/>
    <row r="96" spans="2:5" ht="12.75" customHeight="1"/>
    <row r="97" spans="5:5" ht="12.75" customHeight="1">
      <c r="E97" s="3"/>
    </row>
    <row r="98" spans="5:5" ht="12.75" customHeight="1"/>
    <row r="99" spans="5:5" ht="12.75" customHeight="1">
      <c r="E99" s="3"/>
    </row>
    <row r="100" spans="5:5" ht="12.75" customHeight="1"/>
    <row r="101" spans="5:5" ht="12.75" customHeight="1">
      <c r="E101" s="3"/>
    </row>
    <row r="102" spans="5:5" ht="12.75" customHeight="1"/>
    <row r="103" spans="5:5" ht="12.75" customHeight="1">
      <c r="E103" s="75"/>
    </row>
    <row r="104" spans="5:5" ht="12.75" customHeight="1"/>
    <row r="105" spans="5:5" ht="12.75" customHeight="1">
      <c r="E105" s="3"/>
    </row>
    <row r="106" spans="5:5" ht="12.75" customHeight="1"/>
    <row r="107" spans="5:5" ht="12.75" customHeight="1">
      <c r="E107" s="3"/>
    </row>
    <row r="108" spans="5:5" ht="12.75" customHeight="1">
      <c r="E108" s="3"/>
    </row>
    <row r="109" spans="5:5" ht="12.75" customHeight="1"/>
    <row r="110" spans="5:5" ht="12.75" customHeight="1"/>
    <row r="111" spans="5:5" ht="12.75" customHeight="1"/>
    <row r="112" spans="5:5" ht="12.75" customHeight="1"/>
    <row r="113" spans="4:5" ht="12.75" customHeight="1">
      <c r="E113" s="3"/>
    </row>
    <row r="114" spans="4:5" ht="12.75" customHeight="1"/>
    <row r="115" spans="4:5" ht="12.75" customHeight="1">
      <c r="E115" s="75"/>
    </row>
    <row r="116" spans="4:5" ht="12.75" customHeight="1"/>
    <row r="117" spans="4:5" ht="12.75" customHeight="1">
      <c r="E117" s="3"/>
    </row>
    <row r="118" spans="4:5" ht="12.75" customHeight="1"/>
    <row r="119" spans="4:5" ht="12.75" customHeight="1">
      <c r="E119" s="3"/>
    </row>
    <row r="120" spans="4:5" ht="12.75" customHeight="1"/>
    <row r="121" spans="4:5" ht="12.75" customHeight="1"/>
    <row r="122" spans="4:5" ht="12.75" customHeight="1"/>
    <row r="123" spans="4:5" ht="12.75" customHeight="1"/>
    <row r="124" spans="4:5" ht="12.75" customHeight="1"/>
    <row r="125" spans="4:5" ht="12.75" customHeight="1">
      <c r="D125" s="3"/>
      <c r="E125" s="3"/>
    </row>
    <row r="126" spans="4:5" ht="12.75" customHeight="1"/>
    <row r="127" spans="4:5" ht="12.75" customHeight="1">
      <c r="D127" s="3"/>
      <c r="E127" s="3"/>
    </row>
    <row r="128" spans="4:5" ht="12.75" customHeight="1"/>
    <row r="129" spans="4:6" ht="12.75" customHeight="1">
      <c r="D129" s="3"/>
      <c r="E129" s="3"/>
    </row>
    <row r="130" spans="4:6" ht="12.75" customHeight="1"/>
    <row r="131" spans="4:6" ht="12.75" customHeight="1">
      <c r="D131" s="3"/>
      <c r="E131" s="3"/>
    </row>
    <row r="132" spans="4:6" ht="12.75" customHeight="1"/>
    <row r="133" spans="4:6" ht="12.75" customHeight="1">
      <c r="D133" s="3"/>
      <c r="E133" s="3"/>
    </row>
    <row r="134" spans="4:6" ht="12.75" customHeight="1">
      <c r="E134" s="3"/>
    </row>
    <row r="135" spans="4:6" ht="12.75" customHeight="1"/>
    <row r="136" spans="4:6" ht="12.75" customHeight="1">
      <c r="F136" s="64" t="s">
        <v>367</v>
      </c>
    </row>
    <row r="137" spans="4:6" ht="12.75" customHeight="1">
      <c r="F137" s="64" t="s">
        <v>274</v>
      </c>
    </row>
    <row r="138" spans="4:6" ht="12.75" customHeight="1"/>
    <row r="139" spans="4:6" ht="12.75" customHeight="1"/>
    <row r="140" spans="4:6" ht="12.75" customHeight="1">
      <c r="E140" s="11"/>
    </row>
    <row r="141" spans="4:6" ht="12.75" customHeight="1">
      <c r="F141" s="64" t="s">
        <v>152</v>
      </c>
    </row>
    <row r="142" spans="4:6" ht="12.75" customHeight="1">
      <c r="E142" s="11"/>
    </row>
    <row r="143" spans="4:6" ht="12.75" customHeight="1">
      <c r="E143" s="11"/>
    </row>
    <row r="144" spans="4:6" ht="12.75" customHeight="1">
      <c r="E144" s="11"/>
    </row>
    <row r="145" spans="5:5" ht="12.75" customHeight="1">
      <c r="E145" s="11"/>
    </row>
    <row r="146" spans="5:5" ht="12.75" customHeight="1">
      <c r="E146" s="11"/>
    </row>
    <row r="147" spans="5:5" ht="12.75" customHeight="1">
      <c r="E147" s="11"/>
    </row>
    <row r="148" spans="5:5" ht="12.75" customHeight="1"/>
    <row r="149" spans="5:5" ht="12.75" customHeight="1"/>
    <row r="150" spans="5:5" ht="12.75" customHeight="1"/>
    <row r="151" spans="5:5" ht="12.75" customHeight="1"/>
    <row r="152" spans="5:5" ht="12.75" customHeight="1"/>
    <row r="153" spans="5:5" ht="12.75" customHeight="1"/>
    <row r="154" spans="5:5" ht="12.75" customHeight="1"/>
    <row r="155" spans="5:5" ht="12.75" customHeight="1"/>
    <row r="156" spans="5:5" ht="12.75" customHeight="1"/>
    <row r="157" spans="5:5" ht="12.75" customHeight="1"/>
    <row r="158" spans="5:5" ht="12.75" customHeight="1"/>
    <row r="159" spans="5:5" ht="12.75" customHeight="1"/>
    <row r="160" spans="5:5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">
    <mergeCell ref="B91:E91"/>
    <mergeCell ref="B7:E7"/>
    <mergeCell ref="B10:E10"/>
    <mergeCell ref="B12:E12"/>
    <mergeCell ref="B86:E86"/>
    <mergeCell ref="B89:E89"/>
  </mergeCells>
  <pageMargins left="0.70866141732283472" right="0.70866141732283472" top="0.74803149606299213" bottom="0.74803149606299213" header="0" footer="0"/>
  <pageSetup paperSize="5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88"/>
  <sheetViews>
    <sheetView workbookViewId="0"/>
  </sheetViews>
  <sheetFormatPr defaultColWidth="12.5703125" defaultRowHeight="15" customHeight="1"/>
  <cols>
    <col min="1" max="1" width="1.5703125" customWidth="1"/>
    <col min="2" max="2" width="4.140625" customWidth="1"/>
    <col min="3" max="3" width="22.42578125" customWidth="1"/>
    <col min="4" max="4" width="2.28515625" customWidth="1"/>
    <col min="5" max="5" width="2.42578125" customWidth="1"/>
    <col min="6" max="27" width="2.85546875" customWidth="1"/>
    <col min="28" max="28" width="3.42578125" customWidth="1"/>
    <col min="29" max="29" width="3.5703125" customWidth="1"/>
    <col min="30" max="30" width="3.42578125" customWidth="1"/>
    <col min="31" max="31" width="2.85546875" customWidth="1"/>
    <col min="32" max="32" width="24.85546875" customWidth="1"/>
    <col min="33" max="33" width="3.140625" customWidth="1"/>
    <col min="34" max="34" width="26.42578125" customWidth="1"/>
    <col min="35" max="35" width="3.85546875" customWidth="1"/>
    <col min="36" max="37" width="3.5703125" customWidth="1"/>
    <col min="38" max="39" width="4" customWidth="1"/>
    <col min="40" max="40" width="5.140625" customWidth="1"/>
    <col min="41" max="44" width="4.42578125" customWidth="1"/>
    <col min="45" max="45" width="8.42578125" customWidth="1"/>
    <col min="46" max="46" width="4.42578125" customWidth="1"/>
  </cols>
  <sheetData>
    <row r="1" spans="1:34" ht="12.75" customHeight="1">
      <c r="Y1" s="235" t="s">
        <v>368</v>
      </c>
      <c r="Z1" s="236"/>
      <c r="AA1" s="236"/>
      <c r="AB1" s="236"/>
      <c r="AC1" s="237"/>
      <c r="AH1" s="77"/>
    </row>
    <row r="2" spans="1:34" ht="12.75" customHeight="1">
      <c r="AH2" s="77"/>
    </row>
    <row r="3" spans="1:34" ht="12.75" customHeight="1">
      <c r="B3" s="64" t="s">
        <v>369</v>
      </c>
      <c r="D3" s="11" t="s">
        <v>10</v>
      </c>
      <c r="F3" s="64" t="s">
        <v>370</v>
      </c>
      <c r="P3" s="64" t="s">
        <v>371</v>
      </c>
      <c r="R3" s="11" t="s">
        <v>10</v>
      </c>
      <c r="S3" s="64" t="s">
        <v>372</v>
      </c>
      <c r="V3" s="11" t="s">
        <v>10</v>
      </c>
      <c r="W3" s="64" t="s">
        <v>373</v>
      </c>
      <c r="AH3" s="77"/>
    </row>
    <row r="4" spans="1:34" ht="12.75" customHeight="1">
      <c r="B4" s="64" t="s">
        <v>331</v>
      </c>
      <c r="D4" s="11" t="s">
        <v>10</v>
      </c>
      <c r="F4" s="64" t="s">
        <v>374</v>
      </c>
      <c r="S4" s="64" t="s">
        <v>375</v>
      </c>
      <c r="V4" s="11" t="s">
        <v>10</v>
      </c>
      <c r="W4" s="64" t="s">
        <v>376</v>
      </c>
      <c r="AH4" s="77"/>
    </row>
    <row r="5" spans="1:34" ht="12.75" customHeight="1">
      <c r="B5" s="64" t="s">
        <v>377</v>
      </c>
      <c r="D5" s="11" t="s">
        <v>10</v>
      </c>
      <c r="F5" s="64" t="s">
        <v>378</v>
      </c>
      <c r="P5" s="62"/>
      <c r="S5" s="64" t="s">
        <v>379</v>
      </c>
      <c r="V5" s="11" t="s">
        <v>10</v>
      </c>
      <c r="W5" s="64" t="s">
        <v>380</v>
      </c>
      <c r="AH5" s="77"/>
    </row>
    <row r="6" spans="1:34" ht="12.75" customHeight="1">
      <c r="B6" s="64" t="s">
        <v>381</v>
      </c>
      <c r="D6" s="11" t="s">
        <v>10</v>
      </c>
      <c r="F6" s="78">
        <v>3</v>
      </c>
      <c r="G6" s="78">
        <v>3</v>
      </c>
      <c r="H6" s="78">
        <v>2</v>
      </c>
      <c r="I6" s="78">
        <v>7</v>
      </c>
      <c r="J6" s="78">
        <v>0</v>
      </c>
      <c r="K6" s="78">
        <v>4</v>
      </c>
      <c r="L6" s="78">
        <v>0</v>
      </c>
      <c r="M6" s="78">
        <v>2</v>
      </c>
      <c r="N6" s="78">
        <v>0</v>
      </c>
      <c r="O6" s="78">
        <v>2</v>
      </c>
      <c r="P6" s="11">
        <v>2</v>
      </c>
      <c r="Q6" s="79"/>
      <c r="S6" s="64" t="s">
        <v>382</v>
      </c>
      <c r="V6" s="11" t="s">
        <v>10</v>
      </c>
      <c r="W6" s="64" t="s">
        <v>383</v>
      </c>
      <c r="AH6" s="77"/>
    </row>
    <row r="7" spans="1:34" ht="12.75" customHeight="1">
      <c r="P7" s="59"/>
      <c r="AH7" s="77"/>
    </row>
    <row r="8" spans="1:34" ht="12.75" customHeight="1">
      <c r="B8" s="196" t="s">
        <v>334</v>
      </c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H8" s="77"/>
    </row>
    <row r="9" spans="1:34" ht="12.75" customHeight="1">
      <c r="B9" s="225" t="s">
        <v>384</v>
      </c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H9" s="77"/>
    </row>
    <row r="10" spans="1:34" ht="12.75" customHeight="1">
      <c r="AH10" s="77"/>
    </row>
    <row r="11" spans="1:34" ht="12.75" customHeight="1">
      <c r="B11" s="64" t="s">
        <v>385</v>
      </c>
      <c r="D11" s="11" t="s">
        <v>10</v>
      </c>
      <c r="F11" s="78" t="str">
        <f t="shared" ref="F11:F14" si="0">MID(AH11,COLUMNS($AH$11:AH11),1)</f>
        <v>N</v>
      </c>
      <c r="G11" s="78" t="str">
        <f t="shared" ref="G11:AD11" si="1">MID($AH$11,COLUMNS($AH$11:AI11),1)</f>
        <v>G</v>
      </c>
      <c r="H11" s="78" t="str">
        <f t="shared" si="1"/>
        <v>A</v>
      </c>
      <c r="I11" s="78" t="str">
        <f t="shared" si="1"/>
        <v>L</v>
      </c>
      <c r="J11" s="78" t="str">
        <f t="shared" si="1"/>
        <v>I</v>
      </c>
      <c r="K11" s="78" t="str">
        <f t="shared" si="1"/>
        <v>M</v>
      </c>
      <c r="L11" s="78" t="str">
        <f t="shared" si="1"/>
        <v>A</v>
      </c>
      <c r="M11" s="78" t="str">
        <f t="shared" si="1"/>
        <v>N</v>
      </c>
      <c r="N11" s="78" t="str">
        <f t="shared" si="1"/>
        <v/>
      </c>
      <c r="O11" s="78" t="str">
        <f t="shared" si="1"/>
        <v/>
      </c>
      <c r="P11" s="78" t="str">
        <f t="shared" si="1"/>
        <v/>
      </c>
      <c r="Q11" s="78" t="str">
        <f t="shared" si="1"/>
        <v/>
      </c>
      <c r="R11" s="78" t="str">
        <f t="shared" si="1"/>
        <v/>
      </c>
      <c r="S11" s="78" t="str">
        <f t="shared" si="1"/>
        <v/>
      </c>
      <c r="T11" s="78" t="str">
        <f t="shared" si="1"/>
        <v/>
      </c>
      <c r="U11" s="78" t="str">
        <f t="shared" si="1"/>
        <v/>
      </c>
      <c r="V11" s="78" t="str">
        <f t="shared" si="1"/>
        <v/>
      </c>
      <c r="W11" s="78" t="str">
        <f t="shared" si="1"/>
        <v/>
      </c>
      <c r="X11" s="78" t="str">
        <f t="shared" si="1"/>
        <v/>
      </c>
      <c r="Y11" s="78" t="str">
        <f t="shared" si="1"/>
        <v/>
      </c>
      <c r="Z11" s="78" t="str">
        <f t="shared" si="1"/>
        <v/>
      </c>
      <c r="AA11" s="78" t="str">
        <f t="shared" si="1"/>
        <v/>
      </c>
      <c r="AB11" s="78" t="str">
        <f t="shared" si="1"/>
        <v/>
      </c>
      <c r="AC11" s="78" t="str">
        <f t="shared" si="1"/>
        <v/>
      </c>
      <c r="AD11" s="78" t="str">
        <f t="shared" si="1"/>
        <v/>
      </c>
      <c r="AF11" s="80" t="s">
        <v>385</v>
      </c>
      <c r="AH11" s="77" t="s">
        <v>386</v>
      </c>
    </row>
    <row r="12" spans="1:34" ht="12.75" customHeight="1">
      <c r="B12" s="64" t="s">
        <v>387</v>
      </c>
      <c r="D12" s="11" t="s">
        <v>10</v>
      </c>
      <c r="F12" s="78" t="str">
        <f t="shared" si="0"/>
        <v>3</v>
      </c>
      <c r="G12" s="78" t="str">
        <f t="shared" ref="G12:AA12" si="2">MID($AH12,COLUMNS($AH$11:AI12),1)</f>
        <v>3</v>
      </c>
      <c r="H12" s="78" t="str">
        <f t="shared" si="2"/>
        <v>2</v>
      </c>
      <c r="I12" s="78" t="str">
        <f t="shared" si="2"/>
        <v>7</v>
      </c>
      <c r="J12" s="78" t="str">
        <f t="shared" si="2"/>
        <v>0</v>
      </c>
      <c r="K12" s="78" t="str">
        <f t="shared" si="2"/>
        <v>4</v>
      </c>
      <c r="L12" s="78" t="str">
        <f t="shared" si="2"/>
        <v>0</v>
      </c>
      <c r="M12" s="78" t="str">
        <f t="shared" si="2"/>
        <v>3</v>
      </c>
      <c r="N12" s="78" t="str">
        <f t="shared" si="2"/>
        <v>0</v>
      </c>
      <c r="O12" s="78" t="str">
        <f t="shared" si="2"/>
        <v>2</v>
      </c>
      <c r="P12" s="78" t="str">
        <f t="shared" si="2"/>
        <v>1</v>
      </c>
      <c r="Q12" s="78" t="str">
        <f t="shared" si="2"/>
        <v>1</v>
      </c>
      <c r="R12" s="78" t="str">
        <f t="shared" si="2"/>
        <v>0</v>
      </c>
      <c r="S12" s="78" t="str">
        <f t="shared" si="2"/>
        <v>0</v>
      </c>
      <c r="T12" s="78" t="str">
        <f t="shared" si="2"/>
        <v>1</v>
      </c>
      <c r="U12" s="78" t="str">
        <f t="shared" si="2"/>
        <v>6</v>
      </c>
      <c r="V12" s="78" t="str">
        <f t="shared" si="2"/>
        <v/>
      </c>
      <c r="W12" s="78" t="str">
        <f t="shared" si="2"/>
        <v/>
      </c>
      <c r="X12" s="78" t="str">
        <f t="shared" si="2"/>
        <v/>
      </c>
      <c r="Y12" s="78" t="str">
        <f t="shared" si="2"/>
        <v/>
      </c>
      <c r="Z12" s="78" t="str">
        <f t="shared" si="2"/>
        <v/>
      </c>
      <c r="AA12" s="78" t="str">
        <f t="shared" si="2"/>
        <v/>
      </c>
      <c r="AB12" s="78" t="str">
        <f t="shared" ref="AB12:AD12" si="3">MID($AH$12,COLUMNS($AH$12:BD12),1)</f>
        <v/>
      </c>
      <c r="AC12" s="78" t="str">
        <f t="shared" si="3"/>
        <v/>
      </c>
      <c r="AD12" s="78" t="str">
        <f t="shared" si="3"/>
        <v/>
      </c>
      <c r="AF12" s="81" t="s">
        <v>387</v>
      </c>
      <c r="AH12" s="82" t="s">
        <v>388</v>
      </c>
    </row>
    <row r="13" spans="1:34" ht="12.75" customHeight="1">
      <c r="B13" s="3"/>
      <c r="C13" s="3"/>
      <c r="D13" s="3"/>
      <c r="E13" s="3"/>
      <c r="F13" s="83" t="str">
        <f t="shared" si="0"/>
        <v/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H13" s="77"/>
    </row>
    <row r="14" spans="1:34" ht="12.75" customHeight="1">
      <c r="A14" s="3"/>
      <c r="B14" s="84" t="s">
        <v>389</v>
      </c>
      <c r="C14" s="85"/>
      <c r="D14" s="85"/>
      <c r="E14" s="85"/>
      <c r="F14" s="86" t="str">
        <f t="shared" si="0"/>
        <v/>
      </c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7"/>
      <c r="AH14" s="77"/>
    </row>
    <row r="15" spans="1:34" ht="12.75" customHeight="1">
      <c r="A15" s="3"/>
      <c r="B15" s="88" t="s">
        <v>111</v>
      </c>
      <c r="C15" s="3" t="s">
        <v>340</v>
      </c>
      <c r="D15" s="11" t="s">
        <v>10</v>
      </c>
      <c r="E15" s="3"/>
      <c r="F15" s="78" t="str">
        <f t="shared" ref="F15:U15" si="4">MID($AH$15,COLUMNS($AH$11:AH15),1)</f>
        <v>3</v>
      </c>
      <c r="G15" s="78" t="str">
        <f t="shared" si="4"/>
        <v>3</v>
      </c>
      <c r="H15" s="78" t="str">
        <f t="shared" si="4"/>
        <v>2</v>
      </c>
      <c r="I15" s="78" t="str">
        <f t="shared" si="4"/>
        <v>7</v>
      </c>
      <c r="J15" s="78" t="str">
        <f t="shared" si="4"/>
        <v>0</v>
      </c>
      <c r="K15" s="78" t="str">
        <f t="shared" si="4"/>
        <v>4</v>
      </c>
      <c r="L15" s="78" t="str">
        <f t="shared" si="4"/>
        <v>5</v>
      </c>
      <c r="M15" s="78" t="str">
        <f t="shared" si="4"/>
        <v>5</v>
      </c>
      <c r="N15" s="78" t="str">
        <f t="shared" si="4"/>
        <v>0</v>
      </c>
      <c r="O15" s="78" t="str">
        <f t="shared" si="4"/>
        <v>7</v>
      </c>
      <c r="P15" s="78" t="str">
        <f t="shared" si="4"/>
        <v>1</v>
      </c>
      <c r="Q15" s="78" t="str">
        <f t="shared" si="4"/>
        <v>2</v>
      </c>
      <c r="R15" s="78" t="str">
        <f t="shared" si="4"/>
        <v>0</v>
      </c>
      <c r="S15" s="78" t="str">
        <f t="shared" si="4"/>
        <v>0</v>
      </c>
      <c r="T15" s="78" t="str">
        <f t="shared" si="4"/>
        <v>0</v>
      </c>
      <c r="U15" s="78" t="str">
        <f t="shared" si="4"/>
        <v>2</v>
      </c>
      <c r="V15" s="3"/>
      <c r="W15" s="3"/>
      <c r="X15" s="3"/>
      <c r="Y15" s="3"/>
      <c r="Z15" s="3"/>
      <c r="AA15" s="3"/>
      <c r="AB15" s="3"/>
      <c r="AC15" s="3"/>
      <c r="AD15" s="3"/>
      <c r="AE15" s="89"/>
      <c r="AF15" s="90" t="s">
        <v>340</v>
      </c>
      <c r="AH15" s="82" t="s">
        <v>390</v>
      </c>
    </row>
    <row r="16" spans="1:34" ht="12.75" customHeight="1">
      <c r="A16" s="3"/>
      <c r="B16" s="88" t="s">
        <v>115</v>
      </c>
      <c r="C16" s="3" t="s">
        <v>391</v>
      </c>
      <c r="D16" s="11" t="s">
        <v>10</v>
      </c>
      <c r="E16" s="3"/>
      <c r="F16" s="78" t="str">
        <f t="shared" ref="F16:U16" si="5">MID($AH$16,COLUMNS($AH$16:AH16),1)</f>
        <v>N</v>
      </c>
      <c r="G16" s="78" t="str">
        <f t="shared" si="5"/>
        <v>U</v>
      </c>
      <c r="H16" s="78" t="str">
        <f t="shared" si="5"/>
        <v>R</v>
      </c>
      <c r="I16" s="78" t="str">
        <f t="shared" si="5"/>
        <v xml:space="preserve"> </v>
      </c>
      <c r="J16" s="78" t="str">
        <f t="shared" si="5"/>
        <v>S</v>
      </c>
      <c r="K16" s="78" t="str">
        <f t="shared" si="5"/>
        <v>A</v>
      </c>
      <c r="L16" s="78" t="str">
        <f t="shared" si="5"/>
        <v>N</v>
      </c>
      <c r="M16" s="78" t="str">
        <f t="shared" si="5"/>
        <v>T</v>
      </c>
      <c r="N16" s="78" t="str">
        <f t="shared" si="5"/>
        <v>I</v>
      </c>
      <c r="O16" s="78" t="str">
        <f t="shared" si="5"/>
        <v>K</v>
      </c>
      <c r="P16" s="78" t="str">
        <f t="shared" si="5"/>
        <v>A</v>
      </c>
      <c r="Q16" s="78" t="str">
        <f t="shared" si="5"/>
        <v/>
      </c>
      <c r="R16" s="78" t="str">
        <f t="shared" si="5"/>
        <v/>
      </c>
      <c r="S16" s="78" t="str">
        <f t="shared" si="5"/>
        <v/>
      </c>
      <c r="T16" s="78" t="str">
        <f t="shared" si="5"/>
        <v/>
      </c>
      <c r="U16" s="78" t="str">
        <f t="shared" si="5"/>
        <v/>
      </c>
      <c r="V16" s="91"/>
      <c r="W16" s="91"/>
      <c r="X16" s="91"/>
      <c r="Y16" s="91"/>
      <c r="Z16" s="91"/>
      <c r="AA16" s="91"/>
      <c r="AB16" s="91"/>
      <c r="AC16" s="91"/>
      <c r="AD16" s="91"/>
      <c r="AE16" s="89"/>
      <c r="AF16" s="92" t="s">
        <v>391</v>
      </c>
      <c r="AH16" s="82" t="s">
        <v>392</v>
      </c>
    </row>
    <row r="17" spans="1:46" ht="12.75" customHeight="1">
      <c r="A17" s="3"/>
      <c r="B17" s="88" t="s">
        <v>118</v>
      </c>
      <c r="C17" s="3" t="s">
        <v>285</v>
      </c>
      <c r="D17" s="11" t="s">
        <v>10</v>
      </c>
      <c r="E17" s="3"/>
      <c r="F17" s="93" t="str">
        <f>AH17</f>
        <v>1</v>
      </c>
      <c r="G17" s="3" t="s">
        <v>393</v>
      </c>
      <c r="H17" s="3"/>
      <c r="I17" s="3"/>
      <c r="J17" s="3"/>
      <c r="K17" s="3"/>
      <c r="L17" s="3"/>
      <c r="M17" s="55">
        <f>AI17</f>
        <v>2</v>
      </c>
      <c r="N17" s="3" t="s">
        <v>394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89"/>
      <c r="AF17" s="94" t="s">
        <v>285</v>
      </c>
      <c r="AH17" s="82" t="s">
        <v>395</v>
      </c>
      <c r="AI17" s="64">
        <v>2</v>
      </c>
      <c r="AS17" s="238"/>
      <c r="AT17" s="194"/>
    </row>
    <row r="18" spans="1:46" ht="12.75" customHeight="1">
      <c r="A18" s="3"/>
      <c r="B18" s="88" t="s">
        <v>121</v>
      </c>
      <c r="C18" s="3" t="s">
        <v>396</v>
      </c>
      <c r="D18" s="11" t="s">
        <v>10</v>
      </c>
      <c r="E18" s="3"/>
      <c r="F18" s="225" t="s">
        <v>397</v>
      </c>
      <c r="G18" s="239"/>
      <c r="H18" s="95" t="str">
        <f t="shared" ref="H18:I18" si="6">MID($AI$18,COLUMNS($AH$18:AH18),1)</f>
        <v>1</v>
      </c>
      <c r="I18" s="95" t="str">
        <f t="shared" si="6"/>
        <v>5</v>
      </c>
      <c r="J18" s="240" t="s">
        <v>398</v>
      </c>
      <c r="K18" s="194"/>
      <c r="L18" s="239"/>
      <c r="M18" s="95" t="str">
        <f t="shared" ref="M18:N18" si="7">MID($AL$18,COLUMNS($AL$18:AL18),1)</f>
        <v>0</v>
      </c>
      <c r="N18" s="95" t="str">
        <f t="shared" si="7"/>
        <v>7</v>
      </c>
      <c r="O18" s="240" t="s">
        <v>399</v>
      </c>
      <c r="P18" s="194"/>
      <c r="Q18" s="239"/>
      <c r="R18" s="78" t="str">
        <f t="shared" ref="R18:U18" si="8">MID($AO$18,COLUMNS($AO$18:AO18),1)</f>
        <v>2</v>
      </c>
      <c r="S18" s="78" t="str">
        <f t="shared" si="8"/>
        <v>0</v>
      </c>
      <c r="T18" s="78" t="str">
        <f t="shared" si="8"/>
        <v>1</v>
      </c>
      <c r="U18" s="78" t="str">
        <f t="shared" si="8"/>
        <v>2</v>
      </c>
      <c r="V18" s="240" t="s">
        <v>359</v>
      </c>
      <c r="W18" s="194"/>
      <c r="X18" s="239"/>
      <c r="Y18" s="78">
        <v>0</v>
      </c>
      <c r="Z18" s="78" t="str">
        <f t="shared" ref="Z18:AA18" si="9">MID($AS$18,COLUMNS($AS$18:AS18),1)</f>
        <v>1</v>
      </c>
      <c r="AA18" s="78" t="str">
        <f t="shared" si="9"/>
        <v>2</v>
      </c>
      <c r="AB18" s="3"/>
      <c r="AC18" s="3"/>
      <c r="AD18" s="3"/>
      <c r="AE18" s="89"/>
      <c r="AF18" s="94" t="s">
        <v>396</v>
      </c>
      <c r="AH18" s="82"/>
      <c r="AI18" s="241" t="s">
        <v>400</v>
      </c>
      <c r="AJ18" s="224"/>
      <c r="AK18" s="64" t="s">
        <v>401</v>
      </c>
      <c r="AL18" s="247" t="s">
        <v>402</v>
      </c>
      <c r="AM18" s="224"/>
      <c r="AN18" s="64" t="s">
        <v>401</v>
      </c>
      <c r="AO18" s="248">
        <v>2012</v>
      </c>
      <c r="AP18" s="223"/>
      <c r="AQ18" s="223"/>
      <c r="AR18" s="224"/>
      <c r="AS18" s="96">
        <f>2024-AO18</f>
        <v>12</v>
      </c>
    </row>
    <row r="19" spans="1:46" ht="12.75" customHeight="1">
      <c r="A19" s="3"/>
      <c r="B19" s="88" t="s">
        <v>124</v>
      </c>
      <c r="C19" s="3" t="s">
        <v>403</v>
      </c>
      <c r="D19" s="11" t="s">
        <v>10</v>
      </c>
      <c r="E19" s="3"/>
      <c r="F19" s="78" t="str">
        <f t="shared" ref="F19:O19" si="10">MID($AH$19,COLUMNS($AH$16:AH16),1)</f>
        <v>P</v>
      </c>
      <c r="G19" s="78" t="str">
        <f t="shared" si="10"/>
        <v>E</v>
      </c>
      <c r="H19" s="78" t="str">
        <f t="shared" si="10"/>
        <v>M</v>
      </c>
      <c r="I19" s="78" t="str">
        <f t="shared" si="10"/>
        <v>A</v>
      </c>
      <c r="J19" s="78" t="str">
        <f t="shared" si="10"/>
        <v>L</v>
      </c>
      <c r="K19" s="78" t="str">
        <f t="shared" si="10"/>
        <v>A</v>
      </c>
      <c r="L19" s="78" t="str">
        <f t="shared" si="10"/>
        <v>N</v>
      </c>
      <c r="M19" s="78" t="str">
        <f t="shared" si="10"/>
        <v>G</v>
      </c>
      <c r="N19" s="78" t="str">
        <f t="shared" si="10"/>
        <v/>
      </c>
      <c r="O19" s="78" t="str">
        <f t="shared" si="10"/>
        <v/>
      </c>
      <c r="P19" s="78"/>
      <c r="Q19" s="78"/>
      <c r="R19" s="242" t="s">
        <v>404</v>
      </c>
      <c r="S19" s="243"/>
      <c r="T19" s="243"/>
      <c r="U19" s="244"/>
      <c r="V19" s="78">
        <v>3</v>
      </c>
      <c r="W19" s="78">
        <v>3</v>
      </c>
      <c r="X19" s="240" t="s">
        <v>405</v>
      </c>
      <c r="Y19" s="194"/>
      <c r="Z19" s="194"/>
      <c r="AA19" s="239"/>
      <c r="AB19" s="78">
        <v>2</v>
      </c>
      <c r="AC19" s="78">
        <v>7</v>
      </c>
      <c r="AD19" s="3"/>
      <c r="AE19" s="89"/>
      <c r="AF19" s="94" t="s">
        <v>403</v>
      </c>
      <c r="AH19" s="82" t="s">
        <v>106</v>
      </c>
    </row>
    <row r="20" spans="1:46" ht="12.75" customHeight="1">
      <c r="A20" s="3"/>
      <c r="B20" s="88" t="s">
        <v>127</v>
      </c>
      <c r="C20" s="3" t="s">
        <v>125</v>
      </c>
      <c r="D20" s="11" t="s">
        <v>10</v>
      </c>
      <c r="E20" s="3"/>
      <c r="F20" s="55">
        <v>1</v>
      </c>
      <c r="G20" s="3" t="s">
        <v>406</v>
      </c>
      <c r="H20" s="3"/>
      <c r="I20" s="3"/>
      <c r="J20" s="3"/>
      <c r="K20" s="3" t="s">
        <v>407</v>
      </c>
      <c r="L20" s="3"/>
      <c r="M20" s="3"/>
      <c r="N20" s="3"/>
      <c r="O20" s="3" t="s">
        <v>408</v>
      </c>
      <c r="P20" s="3"/>
      <c r="Q20" s="3"/>
      <c r="R20" s="3"/>
      <c r="S20" s="3" t="s">
        <v>409</v>
      </c>
      <c r="T20" s="3"/>
      <c r="U20" s="3"/>
      <c r="V20" s="3"/>
      <c r="W20" s="3" t="s">
        <v>410</v>
      </c>
      <c r="X20" s="3"/>
      <c r="Y20" s="3"/>
      <c r="Z20" s="3" t="s">
        <v>411</v>
      </c>
      <c r="AA20" s="3"/>
      <c r="AB20" s="3"/>
      <c r="AC20" s="3"/>
      <c r="AD20" s="3"/>
      <c r="AE20" s="89"/>
      <c r="AF20" s="94" t="s">
        <v>125</v>
      </c>
      <c r="AH20" s="82"/>
    </row>
    <row r="21" spans="1:46" ht="12.75" customHeight="1">
      <c r="A21" s="3"/>
      <c r="B21" s="88" t="s">
        <v>130</v>
      </c>
      <c r="C21" s="3" t="s">
        <v>128</v>
      </c>
      <c r="D21" s="11" t="s">
        <v>10</v>
      </c>
      <c r="E21" s="3"/>
      <c r="F21" s="95" t="str">
        <f t="shared" ref="F21:G21" si="11">MID($AH$21,COLUMNS($AH$21:AH21),1)</f>
        <v>0</v>
      </c>
      <c r="G21" s="95" t="str">
        <f t="shared" si="11"/>
        <v>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89"/>
      <c r="AF21" s="92" t="s">
        <v>128</v>
      </c>
      <c r="AH21" s="82" t="s">
        <v>412</v>
      </c>
    </row>
    <row r="22" spans="1:46" ht="12.75" customHeight="1">
      <c r="A22" s="3"/>
      <c r="B22" s="88" t="s">
        <v>134</v>
      </c>
      <c r="C22" s="3" t="s">
        <v>345</v>
      </c>
      <c r="D22" s="11" t="s">
        <v>10</v>
      </c>
      <c r="E22" s="3"/>
      <c r="F22" s="245" t="str">
        <f>AH22</f>
        <v>TAMBI RT 008 RW 002 KEC WATUKUMPUL KAB PEMALANG</v>
      </c>
      <c r="G22" s="223"/>
      <c r="H22" s="223"/>
      <c r="I22" s="223"/>
      <c r="J22" s="223"/>
      <c r="K22" s="223"/>
      <c r="L22" s="223"/>
      <c r="M22" s="223"/>
      <c r="N22" s="223"/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  <c r="AA22" s="223"/>
      <c r="AB22" s="223"/>
      <c r="AC22" s="223"/>
      <c r="AD22" s="224"/>
      <c r="AE22" s="89"/>
      <c r="AF22" s="97" t="s">
        <v>345</v>
      </c>
      <c r="AH22" s="82" t="s">
        <v>413</v>
      </c>
    </row>
    <row r="23" spans="1:46" ht="12.75" customHeight="1">
      <c r="A23" s="3"/>
      <c r="B23" s="88"/>
      <c r="C23" s="3"/>
      <c r="D23" s="3"/>
      <c r="E23" s="3"/>
      <c r="F23" s="3" t="s">
        <v>414</v>
      </c>
      <c r="G23" s="3"/>
      <c r="H23" s="3"/>
      <c r="I23" s="3"/>
      <c r="J23" s="3"/>
      <c r="K23" s="3"/>
      <c r="L23" s="246" t="s">
        <v>102</v>
      </c>
      <c r="M23" s="223"/>
      <c r="N23" s="223"/>
      <c r="O23" s="223"/>
      <c r="P23" s="223"/>
      <c r="Q23" s="223"/>
      <c r="R23" s="223"/>
      <c r="S23" s="224"/>
      <c r="T23" s="3" t="s">
        <v>415</v>
      </c>
      <c r="U23" s="3"/>
      <c r="V23" s="3"/>
      <c r="W23" s="3"/>
      <c r="X23" s="246" t="s">
        <v>106</v>
      </c>
      <c r="Y23" s="223"/>
      <c r="Z23" s="223"/>
      <c r="AA23" s="223"/>
      <c r="AB23" s="223"/>
      <c r="AC23" s="223"/>
      <c r="AD23" s="224"/>
      <c r="AE23" s="89"/>
      <c r="AH23" s="77"/>
    </row>
    <row r="24" spans="1:46" ht="12.75" customHeight="1">
      <c r="A24" s="3"/>
      <c r="B24" s="88"/>
      <c r="C24" s="3"/>
      <c r="D24" s="3"/>
      <c r="E24" s="3"/>
      <c r="F24" s="3" t="s">
        <v>416</v>
      </c>
      <c r="G24" s="3"/>
      <c r="H24" s="3"/>
      <c r="I24" s="3"/>
      <c r="J24" s="3"/>
      <c r="K24" s="3"/>
      <c r="L24" s="246" t="s">
        <v>104</v>
      </c>
      <c r="M24" s="223"/>
      <c r="N24" s="223"/>
      <c r="O24" s="223"/>
      <c r="P24" s="223"/>
      <c r="Q24" s="223"/>
      <c r="R24" s="223"/>
      <c r="S24" s="224"/>
      <c r="T24" s="3" t="s">
        <v>417</v>
      </c>
      <c r="U24" s="3"/>
      <c r="V24" s="3"/>
      <c r="W24" s="3"/>
      <c r="X24" s="246" t="s">
        <v>418</v>
      </c>
      <c r="Y24" s="223"/>
      <c r="Z24" s="223"/>
      <c r="AA24" s="223"/>
      <c r="AB24" s="223"/>
      <c r="AC24" s="223"/>
      <c r="AD24" s="224"/>
      <c r="AE24" s="89"/>
      <c r="AH24" s="77"/>
    </row>
    <row r="25" spans="1:46" ht="12.75" customHeight="1">
      <c r="A25" s="3"/>
      <c r="B25" s="88" t="s">
        <v>137</v>
      </c>
      <c r="C25" s="3" t="s">
        <v>419</v>
      </c>
      <c r="D25" s="11" t="s">
        <v>10</v>
      </c>
      <c r="E25" s="3"/>
      <c r="F25" s="91">
        <v>1</v>
      </c>
      <c r="G25" s="3" t="s">
        <v>111</v>
      </c>
      <c r="H25" s="3"/>
      <c r="I25" s="3"/>
      <c r="J25" s="3" t="s">
        <v>115</v>
      </c>
      <c r="K25" s="3"/>
      <c r="L25" s="3"/>
      <c r="M25" s="3" t="s">
        <v>118</v>
      </c>
      <c r="N25" s="3"/>
      <c r="O25" s="3"/>
      <c r="P25" s="3" t="s">
        <v>420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89"/>
      <c r="AF25" s="38" t="s">
        <v>419</v>
      </c>
      <c r="AH25" s="77"/>
    </row>
    <row r="26" spans="1:46" ht="12.75" customHeight="1">
      <c r="A26" s="3"/>
      <c r="B26" s="88" t="s">
        <v>145</v>
      </c>
      <c r="C26" s="3" t="s">
        <v>421</v>
      </c>
      <c r="D26" s="11" t="s">
        <v>10</v>
      </c>
      <c r="E26" s="3"/>
      <c r="F26" s="225" t="s">
        <v>397</v>
      </c>
      <c r="G26" s="194"/>
      <c r="H26" s="95" t="str">
        <f t="shared" ref="H26:I26" si="12">MID($AI$26,COLUMNS($AH$16:AH16),1)</f>
        <v>2</v>
      </c>
      <c r="I26" s="95" t="str">
        <f t="shared" si="12"/>
        <v>4</v>
      </c>
      <c r="J26" s="240" t="s">
        <v>422</v>
      </c>
      <c r="K26" s="194"/>
      <c r="L26" s="194"/>
      <c r="M26" s="78" t="str">
        <f t="shared" ref="M26:N26" si="13">MID($AL$26,COLUMNS($AL$26:AL26),1)</f>
        <v>0</v>
      </c>
      <c r="N26" s="78" t="str">
        <f t="shared" si="13"/>
        <v>1</v>
      </c>
      <c r="O26" s="240" t="s">
        <v>399</v>
      </c>
      <c r="P26" s="194"/>
      <c r="Q26" s="194"/>
      <c r="R26" s="78" t="str">
        <f t="shared" ref="R26:U26" si="14">MID($AO$26,COLUMNS($AL$26:AL26),1)</f>
        <v>2</v>
      </c>
      <c r="S26" s="78" t="str">
        <f t="shared" si="14"/>
        <v>0</v>
      </c>
      <c r="T26" s="78" t="str">
        <f t="shared" si="14"/>
        <v>2</v>
      </c>
      <c r="U26" s="78" t="str">
        <f t="shared" si="14"/>
        <v>4</v>
      </c>
      <c r="V26" s="11"/>
      <c r="W26" s="3"/>
      <c r="X26" s="3"/>
      <c r="Y26" s="3"/>
      <c r="Z26" s="3"/>
      <c r="AA26" s="3"/>
      <c r="AB26" s="3"/>
      <c r="AC26" s="3"/>
      <c r="AD26" s="3"/>
      <c r="AE26" s="89"/>
      <c r="AF26" s="38" t="s">
        <v>421</v>
      </c>
      <c r="AH26" s="77"/>
      <c r="AI26" s="241" t="s">
        <v>423</v>
      </c>
      <c r="AJ26" s="224"/>
      <c r="AK26" s="64" t="s">
        <v>401</v>
      </c>
      <c r="AL26" s="247" t="s">
        <v>412</v>
      </c>
      <c r="AM26" s="224"/>
      <c r="AN26" s="64" t="s">
        <v>401</v>
      </c>
      <c r="AO26" s="248">
        <v>2024</v>
      </c>
      <c r="AP26" s="223"/>
      <c r="AQ26" s="223"/>
      <c r="AR26" s="224"/>
    </row>
    <row r="27" spans="1:46" ht="12.75" customHeight="1">
      <c r="A27" s="3"/>
      <c r="B27" s="88" t="s">
        <v>424</v>
      </c>
      <c r="C27" s="3" t="s">
        <v>425</v>
      </c>
      <c r="D27" s="11" t="s">
        <v>10</v>
      </c>
      <c r="E27" s="3"/>
      <c r="F27" s="91" t="str">
        <f t="shared" ref="F27:I27" si="15">MID($AI27,COLUMNS($AL$26:AL26),1)</f>
        <v>1</v>
      </c>
      <c r="G27" s="91" t="str">
        <f t="shared" si="15"/>
        <v>5</v>
      </c>
      <c r="H27" s="91" t="str">
        <f t="shared" si="15"/>
        <v>1</v>
      </c>
      <c r="I27" s="91" t="str">
        <f t="shared" si="15"/>
        <v>5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89"/>
      <c r="AF27" s="38" t="s">
        <v>425</v>
      </c>
      <c r="AH27" s="77"/>
      <c r="AI27" s="251" t="s">
        <v>426</v>
      </c>
      <c r="AJ27" s="243"/>
    </row>
    <row r="28" spans="1:46" ht="12.75" customHeight="1">
      <c r="A28" s="3"/>
      <c r="B28" s="88" t="s">
        <v>427</v>
      </c>
      <c r="C28" s="3" t="s">
        <v>428</v>
      </c>
      <c r="D28" s="11" t="s">
        <v>10</v>
      </c>
      <c r="E28" s="3"/>
      <c r="F28" s="91">
        <v>1</v>
      </c>
      <c r="G28" s="3" t="s">
        <v>429</v>
      </c>
      <c r="H28" s="3"/>
      <c r="I28" s="3"/>
      <c r="J28" s="3"/>
      <c r="K28" s="3"/>
      <c r="L28" s="3"/>
      <c r="M28" s="3"/>
      <c r="N28" s="3"/>
      <c r="O28" s="3"/>
      <c r="P28" s="3" t="s">
        <v>430</v>
      </c>
      <c r="Q28" s="3"/>
      <c r="R28" s="3"/>
      <c r="S28" s="3"/>
      <c r="T28" s="3"/>
      <c r="U28" s="3"/>
      <c r="V28" s="3"/>
      <c r="W28" s="3"/>
      <c r="X28" s="3" t="s">
        <v>431</v>
      </c>
      <c r="Y28" s="3"/>
      <c r="Z28" s="3"/>
      <c r="AA28" s="3"/>
      <c r="AB28" s="3"/>
      <c r="AC28" s="3"/>
      <c r="AD28" s="3"/>
      <c r="AE28" s="89"/>
      <c r="AF28" s="38" t="s">
        <v>428</v>
      </c>
      <c r="AH28" s="77"/>
    </row>
    <row r="29" spans="1:46" ht="12.75" customHeight="1">
      <c r="A29" s="3"/>
      <c r="B29" s="88"/>
      <c r="C29" s="3"/>
      <c r="D29" s="11"/>
      <c r="E29" s="3"/>
      <c r="F29" s="3"/>
      <c r="G29" s="3" t="s">
        <v>432</v>
      </c>
      <c r="H29" s="3"/>
      <c r="I29" s="3"/>
      <c r="J29" s="3"/>
      <c r="K29" s="3"/>
      <c r="L29" s="3"/>
      <c r="M29" s="3"/>
      <c r="N29" s="3"/>
      <c r="O29" s="3"/>
      <c r="P29" s="3" t="s">
        <v>433</v>
      </c>
      <c r="Q29" s="3"/>
      <c r="R29" s="3"/>
      <c r="S29" s="3"/>
      <c r="T29" s="3"/>
      <c r="U29" s="3"/>
      <c r="V29" s="3"/>
      <c r="W29" s="3"/>
      <c r="X29" s="3" t="s">
        <v>411</v>
      </c>
      <c r="Y29" s="3"/>
      <c r="Z29" s="3"/>
      <c r="AA29" s="3"/>
      <c r="AB29" s="3"/>
      <c r="AC29" s="3"/>
      <c r="AD29" s="3"/>
      <c r="AE29" s="89"/>
      <c r="AH29" s="77"/>
    </row>
    <row r="30" spans="1:46" ht="12.75" customHeight="1">
      <c r="A30" s="3"/>
      <c r="B30" s="88" t="s">
        <v>434</v>
      </c>
      <c r="C30" s="3" t="s">
        <v>435</v>
      </c>
      <c r="D30" s="11" t="s">
        <v>10</v>
      </c>
      <c r="E30" s="3"/>
      <c r="F30" s="78" t="str">
        <f t="shared" ref="F30:U30" si="16">MID($AH$30,COLUMNS($AH$30:AH30),1)</f>
        <v>R</v>
      </c>
      <c r="G30" s="78" t="str">
        <f t="shared" si="16"/>
        <v>U</v>
      </c>
      <c r="H30" s="78" t="str">
        <f t="shared" si="16"/>
        <v>M</v>
      </c>
      <c r="I30" s="78" t="str">
        <f t="shared" si="16"/>
        <v>A</v>
      </c>
      <c r="J30" s="78" t="str">
        <f t="shared" si="16"/>
        <v>H</v>
      </c>
      <c r="K30" s="78" t="str">
        <f t="shared" si="16"/>
        <v/>
      </c>
      <c r="L30" s="78" t="str">
        <f t="shared" si="16"/>
        <v/>
      </c>
      <c r="M30" s="78" t="str">
        <f t="shared" si="16"/>
        <v/>
      </c>
      <c r="N30" s="78" t="str">
        <f t="shared" si="16"/>
        <v/>
      </c>
      <c r="O30" s="78" t="str">
        <f t="shared" si="16"/>
        <v/>
      </c>
      <c r="P30" s="78" t="str">
        <f t="shared" si="16"/>
        <v/>
      </c>
      <c r="Q30" s="78" t="str">
        <f t="shared" si="16"/>
        <v/>
      </c>
      <c r="R30" s="78" t="str">
        <f t="shared" si="16"/>
        <v/>
      </c>
      <c r="S30" s="78" t="str">
        <f t="shared" si="16"/>
        <v/>
      </c>
      <c r="T30" s="78" t="str">
        <f t="shared" si="16"/>
        <v/>
      </c>
      <c r="U30" s="78" t="str">
        <f t="shared" si="16"/>
        <v/>
      </c>
      <c r="V30" s="3"/>
      <c r="W30" s="3"/>
      <c r="X30" s="3"/>
      <c r="Y30" s="3"/>
      <c r="Z30" s="3"/>
      <c r="AA30" s="3"/>
      <c r="AB30" s="3"/>
      <c r="AC30" s="3"/>
      <c r="AD30" s="3"/>
      <c r="AE30" s="89"/>
      <c r="AF30" s="98" t="s">
        <v>435</v>
      </c>
      <c r="AH30" s="77" t="s">
        <v>353</v>
      </c>
    </row>
    <row r="31" spans="1:46" ht="12.75" customHeight="1">
      <c r="A31" s="3"/>
      <c r="B31" s="88" t="s">
        <v>436</v>
      </c>
      <c r="C31" s="3" t="s">
        <v>437</v>
      </c>
      <c r="D31" s="11" t="s">
        <v>10</v>
      </c>
      <c r="E31" s="3"/>
      <c r="F31" s="78">
        <v>2</v>
      </c>
      <c r="G31" s="3" t="s">
        <v>438</v>
      </c>
      <c r="H31" s="3"/>
      <c r="I31" s="3"/>
      <c r="J31" s="3"/>
      <c r="K31" s="3"/>
      <c r="L31" s="3" t="s">
        <v>439</v>
      </c>
      <c r="M31" s="3"/>
      <c r="N31" s="3"/>
      <c r="O31" s="3"/>
      <c r="P31" s="3"/>
      <c r="Q31" s="3"/>
      <c r="R31" s="3"/>
      <c r="S31" s="3"/>
      <c r="T31" s="3" t="s">
        <v>440</v>
      </c>
      <c r="U31" s="3"/>
      <c r="V31" s="3"/>
      <c r="W31" s="3"/>
      <c r="X31" s="3"/>
      <c r="Y31" s="3" t="s">
        <v>441</v>
      </c>
      <c r="Z31" s="3"/>
      <c r="AA31" s="3"/>
      <c r="AB31" s="3"/>
      <c r="AC31" s="3"/>
      <c r="AD31" s="3"/>
      <c r="AE31" s="89"/>
      <c r="AH31" s="77"/>
    </row>
    <row r="32" spans="1:46" ht="12.75" customHeight="1">
      <c r="A32" s="3"/>
      <c r="B32" s="99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100"/>
      <c r="AH32" s="77"/>
    </row>
    <row r="33" spans="1:45" ht="12.75" customHeight="1">
      <c r="A33" s="3"/>
      <c r="B33" s="101" t="s">
        <v>442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89"/>
      <c r="AF33" s="90" t="s">
        <v>443</v>
      </c>
      <c r="AH33" s="77"/>
    </row>
    <row r="34" spans="1:45" ht="12.75" customHeight="1">
      <c r="A34" s="3"/>
      <c r="B34" s="88" t="s">
        <v>111</v>
      </c>
      <c r="C34" s="3" t="s">
        <v>340</v>
      </c>
      <c r="D34" s="3"/>
      <c r="E34" s="3"/>
      <c r="F34" s="102" t="str">
        <f t="shared" ref="F34:U34" si="17">MID($AH$34,COLUMNS($AH$34:AH34),1)</f>
        <v>3</v>
      </c>
      <c r="G34" s="102" t="str">
        <f t="shared" si="17"/>
        <v>3</v>
      </c>
      <c r="H34" s="102" t="str">
        <f t="shared" si="17"/>
        <v>2</v>
      </c>
      <c r="I34" s="102" t="str">
        <f t="shared" si="17"/>
        <v>7</v>
      </c>
      <c r="J34" s="102" t="str">
        <f t="shared" si="17"/>
        <v>0</v>
      </c>
      <c r="K34" s="102" t="str">
        <f t="shared" si="17"/>
        <v>4</v>
      </c>
      <c r="L34" s="102" t="str">
        <f t="shared" si="17"/>
        <v>0</v>
      </c>
      <c r="M34" s="102" t="str">
        <f t="shared" si="17"/>
        <v>7</v>
      </c>
      <c r="N34" s="102" t="str">
        <f t="shared" si="17"/>
        <v>0</v>
      </c>
      <c r="O34" s="102" t="str">
        <f t="shared" si="17"/>
        <v>5</v>
      </c>
      <c r="P34" s="102" t="str">
        <f t="shared" si="17"/>
        <v>8</v>
      </c>
      <c r="Q34" s="102" t="str">
        <f t="shared" si="17"/>
        <v>4</v>
      </c>
      <c r="R34" s="102" t="str">
        <f t="shared" si="17"/>
        <v>0</v>
      </c>
      <c r="S34" s="102" t="str">
        <f t="shared" si="17"/>
        <v>0</v>
      </c>
      <c r="T34" s="102" t="str">
        <f t="shared" si="17"/>
        <v>0</v>
      </c>
      <c r="U34" s="102" t="str">
        <f t="shared" si="17"/>
        <v>4</v>
      </c>
      <c r="V34" s="103"/>
      <c r="W34" s="103"/>
      <c r="X34" s="103"/>
      <c r="Y34" s="103"/>
      <c r="Z34" s="103"/>
      <c r="AA34" s="103"/>
      <c r="AB34" s="103"/>
      <c r="AC34" s="3"/>
      <c r="AD34" s="3"/>
      <c r="AE34" s="89"/>
      <c r="AF34" s="92" t="s">
        <v>340</v>
      </c>
      <c r="AH34" s="82" t="s">
        <v>444</v>
      </c>
    </row>
    <row r="35" spans="1:45" ht="12.75" customHeight="1">
      <c r="A35" s="3"/>
      <c r="B35" s="88" t="s">
        <v>115</v>
      </c>
      <c r="C35" s="3" t="s">
        <v>391</v>
      </c>
      <c r="D35" s="3"/>
      <c r="E35" s="3"/>
      <c r="F35" s="104" t="str">
        <f t="shared" ref="F35:U35" si="18">MID($AH$35,COLUMNS($AH$35:AH35),1)</f>
        <v>N</v>
      </c>
      <c r="G35" s="104" t="str">
        <f t="shared" si="18"/>
        <v>G</v>
      </c>
      <c r="H35" s="104" t="str">
        <f t="shared" si="18"/>
        <v>A</v>
      </c>
      <c r="I35" s="104" t="str">
        <f t="shared" si="18"/>
        <v>L</v>
      </c>
      <c r="J35" s="104" t="str">
        <f t="shared" si="18"/>
        <v>I</v>
      </c>
      <c r="K35" s="104" t="str">
        <f t="shared" si="18"/>
        <v>M</v>
      </c>
      <c r="L35" s="104" t="str">
        <f t="shared" si="18"/>
        <v>A</v>
      </c>
      <c r="M35" s="104" t="str">
        <f t="shared" si="18"/>
        <v>N</v>
      </c>
      <c r="N35" s="104" t="str">
        <f t="shared" si="18"/>
        <v/>
      </c>
      <c r="O35" s="104" t="str">
        <f t="shared" si="18"/>
        <v/>
      </c>
      <c r="P35" s="104" t="str">
        <f t="shared" si="18"/>
        <v/>
      </c>
      <c r="Q35" s="104" t="str">
        <f t="shared" si="18"/>
        <v/>
      </c>
      <c r="R35" s="104" t="str">
        <f t="shared" si="18"/>
        <v/>
      </c>
      <c r="S35" s="104" t="str">
        <f t="shared" si="18"/>
        <v/>
      </c>
      <c r="T35" s="104" t="str">
        <f t="shared" si="18"/>
        <v/>
      </c>
      <c r="U35" s="104" t="str">
        <f t="shared" si="18"/>
        <v/>
      </c>
      <c r="V35" s="104"/>
      <c r="W35" s="104"/>
      <c r="X35" s="104"/>
      <c r="Y35" s="104"/>
      <c r="Z35" s="104"/>
      <c r="AA35" s="104"/>
      <c r="AB35" s="104"/>
      <c r="AC35" s="91"/>
      <c r="AD35" s="91"/>
      <c r="AE35" s="89"/>
      <c r="AF35" s="92" t="s">
        <v>391</v>
      </c>
      <c r="AH35" s="82" t="s">
        <v>386</v>
      </c>
    </row>
    <row r="36" spans="1:45" ht="12.75" customHeight="1">
      <c r="A36" s="3"/>
      <c r="B36" s="88" t="s">
        <v>118</v>
      </c>
      <c r="C36" s="3" t="s">
        <v>396</v>
      </c>
      <c r="D36" s="3"/>
      <c r="E36" s="3"/>
      <c r="F36" s="249" t="s">
        <v>397</v>
      </c>
      <c r="G36" s="239"/>
      <c r="H36" s="104" t="str">
        <f t="shared" ref="H36:I36" si="19">MID($AI$36,COLUMNS($AH$35:AH35),1)</f>
        <v>0</v>
      </c>
      <c r="I36" s="104" t="str">
        <f t="shared" si="19"/>
        <v>7</v>
      </c>
      <c r="J36" s="250" t="s">
        <v>398</v>
      </c>
      <c r="K36" s="194"/>
      <c r="L36" s="239"/>
      <c r="M36" s="104" t="str">
        <f t="shared" ref="M36:N36" si="20">MID($AL$36,COLUMNS($AH$35:AH35),1)</f>
        <v>0</v>
      </c>
      <c r="N36" s="104" t="str">
        <f t="shared" si="20"/>
        <v>5</v>
      </c>
      <c r="O36" s="250" t="s">
        <v>399</v>
      </c>
      <c r="P36" s="194"/>
      <c r="Q36" s="239"/>
      <c r="R36" s="104" t="str">
        <f t="shared" ref="R36:U36" si="21">MID($AO$36,COLUMNS($AH$35:AH35),1)</f>
        <v>1</v>
      </c>
      <c r="S36" s="104" t="str">
        <f t="shared" si="21"/>
        <v>9</v>
      </c>
      <c r="T36" s="104" t="str">
        <f t="shared" si="21"/>
        <v>8</v>
      </c>
      <c r="U36" s="104" t="str">
        <f t="shared" si="21"/>
        <v>4</v>
      </c>
      <c r="V36" s="250" t="s">
        <v>359</v>
      </c>
      <c r="W36" s="194"/>
      <c r="X36" s="239"/>
      <c r="Y36" s="104">
        <v>0</v>
      </c>
      <c r="Z36" s="104" t="str">
        <f t="shared" ref="Z36:AA36" si="22">MID($AS$36,COLUMNS($AH$35:AH35),1)</f>
        <v>4</v>
      </c>
      <c r="AA36" s="104" t="str">
        <f t="shared" si="22"/>
        <v>0</v>
      </c>
      <c r="AB36" s="103"/>
      <c r="AC36" s="3"/>
      <c r="AD36" s="3"/>
      <c r="AE36" s="89"/>
      <c r="AF36" s="94" t="s">
        <v>396</v>
      </c>
      <c r="AH36" s="82"/>
      <c r="AI36" s="241" t="s">
        <v>402</v>
      </c>
      <c r="AJ36" s="224"/>
      <c r="AL36" s="247" t="s">
        <v>445</v>
      </c>
      <c r="AM36" s="224"/>
      <c r="AO36" s="247" t="s">
        <v>446</v>
      </c>
      <c r="AP36" s="223"/>
      <c r="AQ36" s="223"/>
      <c r="AR36" s="224"/>
      <c r="AS36" s="96">
        <f>2024-AO36</f>
        <v>40</v>
      </c>
    </row>
    <row r="37" spans="1:45" ht="12.75" customHeight="1">
      <c r="A37" s="3"/>
      <c r="B37" s="88" t="s">
        <v>121</v>
      </c>
      <c r="C37" s="3" t="s">
        <v>128</v>
      </c>
      <c r="D37" s="3"/>
      <c r="E37" s="3"/>
      <c r="F37" s="104" t="str">
        <f t="shared" ref="F37:G37" si="23">MID($AH$37,COLUMNS($AH$37:AH37),1)</f>
        <v>0</v>
      </c>
      <c r="G37" s="104" t="str">
        <f t="shared" si="23"/>
        <v>8</v>
      </c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3"/>
      <c r="AD37" s="3"/>
      <c r="AE37" s="89"/>
      <c r="AF37" s="92" t="s">
        <v>128</v>
      </c>
      <c r="AH37" s="82" t="s">
        <v>447</v>
      </c>
    </row>
    <row r="38" spans="1:45" ht="12.75" customHeight="1">
      <c r="A38" s="3"/>
      <c r="B38" s="88" t="s">
        <v>124</v>
      </c>
      <c r="C38" s="3" t="s">
        <v>345</v>
      </c>
      <c r="D38" s="3"/>
      <c r="E38" s="3"/>
      <c r="F38" s="245" t="str">
        <f>AH38</f>
        <v>TAMBI RT 008 RW 002 KEC WATUKUMPUL KAB PEMALANG</v>
      </c>
      <c r="G38" s="223"/>
      <c r="H38" s="223"/>
      <c r="I38" s="223"/>
      <c r="J38" s="223"/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  <c r="Z38" s="223"/>
      <c r="AA38" s="223"/>
      <c r="AB38" s="223"/>
      <c r="AC38" s="223"/>
      <c r="AD38" s="224"/>
      <c r="AE38" s="89"/>
      <c r="AF38" s="97" t="s">
        <v>345</v>
      </c>
      <c r="AH38" s="82" t="s">
        <v>413</v>
      </c>
    </row>
    <row r="39" spans="1:45" ht="12.75" customHeight="1">
      <c r="A39" s="3"/>
      <c r="B39" s="105"/>
      <c r="C39" s="3"/>
      <c r="D39" s="3"/>
      <c r="E39" s="3"/>
      <c r="F39" s="3" t="s">
        <v>414</v>
      </c>
      <c r="G39" s="3"/>
      <c r="H39" s="3"/>
      <c r="I39" s="3"/>
      <c r="J39" s="3"/>
      <c r="K39" s="3"/>
      <c r="L39" s="246" t="s">
        <v>102</v>
      </c>
      <c r="M39" s="223"/>
      <c r="N39" s="223"/>
      <c r="O39" s="223"/>
      <c r="P39" s="223"/>
      <c r="Q39" s="223"/>
      <c r="R39" s="223"/>
      <c r="S39" s="224"/>
      <c r="T39" s="3" t="s">
        <v>415</v>
      </c>
      <c r="U39" s="3"/>
      <c r="V39" s="3"/>
      <c r="W39" s="3"/>
      <c r="X39" s="246" t="s">
        <v>106</v>
      </c>
      <c r="Y39" s="223"/>
      <c r="Z39" s="223"/>
      <c r="AA39" s="223"/>
      <c r="AB39" s="223"/>
      <c r="AC39" s="223"/>
      <c r="AD39" s="224"/>
      <c r="AE39" s="89"/>
      <c r="AH39" s="82"/>
    </row>
    <row r="40" spans="1:45" ht="12.75" customHeight="1">
      <c r="A40" s="3"/>
      <c r="B40" s="105"/>
      <c r="C40" s="3"/>
      <c r="D40" s="3"/>
      <c r="E40" s="3"/>
      <c r="F40" s="3" t="s">
        <v>416</v>
      </c>
      <c r="G40" s="3"/>
      <c r="H40" s="3"/>
      <c r="I40" s="3"/>
      <c r="J40" s="3"/>
      <c r="K40" s="3"/>
      <c r="L40" s="246" t="s">
        <v>104</v>
      </c>
      <c r="M40" s="223"/>
      <c r="N40" s="223"/>
      <c r="O40" s="223"/>
      <c r="P40" s="223"/>
      <c r="Q40" s="223"/>
      <c r="R40" s="223"/>
      <c r="S40" s="224"/>
      <c r="T40" s="3" t="s">
        <v>417</v>
      </c>
      <c r="U40" s="3"/>
      <c r="V40" s="3"/>
      <c r="W40" s="3"/>
      <c r="X40" s="246" t="s">
        <v>418</v>
      </c>
      <c r="Y40" s="223"/>
      <c r="Z40" s="223"/>
      <c r="AA40" s="223"/>
      <c r="AB40" s="223"/>
      <c r="AC40" s="223"/>
      <c r="AD40" s="224"/>
      <c r="AE40" s="89"/>
      <c r="AH40" s="82"/>
    </row>
    <row r="41" spans="1:45" ht="12.75" customHeight="1">
      <c r="A41" s="3"/>
      <c r="B41" s="99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100"/>
      <c r="AH41" s="82"/>
    </row>
    <row r="42" spans="1:45" ht="12.75" customHeight="1">
      <c r="A42" s="3"/>
      <c r="B42" s="101" t="s">
        <v>448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89"/>
      <c r="AF42" s="60" t="s">
        <v>449</v>
      </c>
      <c r="AH42" s="82"/>
    </row>
    <row r="43" spans="1:45" ht="12.75" customHeight="1">
      <c r="A43" s="3"/>
      <c r="B43" s="88" t="s">
        <v>111</v>
      </c>
      <c r="C43" s="3" t="s">
        <v>340</v>
      </c>
      <c r="D43" s="3"/>
      <c r="E43" s="3"/>
      <c r="F43" s="78" t="str">
        <f t="shared" ref="F43:U43" si="24">MID($AH$43,COLUMNS($AH$43:AH43),1)</f>
        <v>3</v>
      </c>
      <c r="G43" s="78" t="str">
        <f t="shared" si="24"/>
        <v>3</v>
      </c>
      <c r="H43" s="78" t="str">
        <f t="shared" si="24"/>
        <v>2</v>
      </c>
      <c r="I43" s="78" t="str">
        <f t="shared" si="24"/>
        <v>7</v>
      </c>
      <c r="J43" s="78" t="str">
        <f t="shared" si="24"/>
        <v>0</v>
      </c>
      <c r="K43" s="78" t="str">
        <f t="shared" si="24"/>
        <v>4</v>
      </c>
      <c r="L43" s="78" t="str">
        <f t="shared" si="24"/>
        <v>4</v>
      </c>
      <c r="M43" s="78" t="str">
        <f t="shared" si="24"/>
        <v>4</v>
      </c>
      <c r="N43" s="78" t="str">
        <f t="shared" si="24"/>
        <v>0</v>
      </c>
      <c r="O43" s="78" t="str">
        <f t="shared" si="24"/>
        <v>1</v>
      </c>
      <c r="P43" s="78" t="str">
        <f t="shared" si="24"/>
        <v>9</v>
      </c>
      <c r="Q43" s="78" t="str">
        <f t="shared" si="24"/>
        <v>0</v>
      </c>
      <c r="R43" s="78" t="str">
        <f t="shared" si="24"/>
        <v>0</v>
      </c>
      <c r="S43" s="78" t="str">
        <f t="shared" si="24"/>
        <v>0</v>
      </c>
      <c r="T43" s="78" t="str">
        <f t="shared" si="24"/>
        <v>1</v>
      </c>
      <c r="U43" s="78" t="str">
        <f t="shared" si="24"/>
        <v>0</v>
      </c>
      <c r="V43" s="3"/>
      <c r="W43" s="3"/>
      <c r="X43" s="3"/>
      <c r="Y43" s="3"/>
      <c r="Z43" s="3"/>
      <c r="AA43" s="3"/>
      <c r="AB43" s="3"/>
      <c r="AC43" s="3"/>
      <c r="AD43" s="3"/>
      <c r="AE43" s="89"/>
      <c r="AF43" s="92" t="s">
        <v>340</v>
      </c>
      <c r="AH43" s="82" t="s">
        <v>450</v>
      </c>
    </row>
    <row r="44" spans="1:45" ht="12.75" customHeight="1">
      <c r="A44" s="3"/>
      <c r="B44" s="88" t="s">
        <v>115</v>
      </c>
      <c r="C44" s="3" t="s">
        <v>391</v>
      </c>
      <c r="D44" s="3"/>
      <c r="E44" s="3"/>
      <c r="F44" s="78" t="str">
        <f t="shared" ref="F44:V44" si="25">MID($AH$44,COLUMNS($AH$44:AH44),1)</f>
        <v>K</v>
      </c>
      <c r="G44" s="78" t="str">
        <f t="shared" si="25"/>
        <v>H</v>
      </c>
      <c r="H44" s="78" t="str">
        <f t="shared" si="25"/>
        <v>O</v>
      </c>
      <c r="I44" s="78" t="str">
        <f t="shared" si="25"/>
        <v>T</v>
      </c>
      <c r="J44" s="78" t="str">
        <f t="shared" si="25"/>
        <v>I</v>
      </c>
      <c r="K44" s="78" t="str">
        <f t="shared" si="25"/>
        <v>J</v>
      </c>
      <c r="L44" s="78" t="str">
        <f t="shared" si="25"/>
        <v>A</v>
      </c>
      <c r="M44" s="78" t="str">
        <f t="shared" si="25"/>
        <v>H</v>
      </c>
      <c r="N44" s="78" t="str">
        <f t="shared" si="25"/>
        <v/>
      </c>
      <c r="O44" s="78" t="str">
        <f t="shared" si="25"/>
        <v/>
      </c>
      <c r="P44" s="78" t="str">
        <f t="shared" si="25"/>
        <v/>
      </c>
      <c r="Q44" s="78" t="str">
        <f t="shared" si="25"/>
        <v/>
      </c>
      <c r="R44" s="78" t="str">
        <f t="shared" si="25"/>
        <v/>
      </c>
      <c r="S44" s="78" t="str">
        <f t="shared" si="25"/>
        <v/>
      </c>
      <c r="T44" s="78" t="str">
        <f t="shared" si="25"/>
        <v/>
      </c>
      <c r="U44" s="78" t="str">
        <f t="shared" si="25"/>
        <v/>
      </c>
      <c r="V44" s="78" t="str">
        <f t="shared" si="25"/>
        <v/>
      </c>
      <c r="W44" s="91"/>
      <c r="X44" s="91"/>
      <c r="Y44" s="91"/>
      <c r="Z44" s="91"/>
      <c r="AA44" s="91"/>
      <c r="AB44" s="91"/>
      <c r="AC44" s="91"/>
      <c r="AD44" s="91"/>
      <c r="AE44" s="89"/>
      <c r="AF44" s="92" t="s">
        <v>391</v>
      </c>
      <c r="AH44" s="82" t="s">
        <v>451</v>
      </c>
    </row>
    <row r="45" spans="1:45" ht="12.75" customHeight="1">
      <c r="A45" s="3"/>
      <c r="B45" s="88" t="s">
        <v>118</v>
      </c>
      <c r="C45" s="3" t="s">
        <v>396</v>
      </c>
      <c r="D45" s="3"/>
      <c r="E45" s="3"/>
      <c r="F45" s="225" t="s">
        <v>397</v>
      </c>
      <c r="G45" s="239"/>
      <c r="H45" s="57" t="str">
        <f t="shared" ref="H45:I45" si="26">MID($AI$45,COLUMNS($AH$34:AH34),1)</f>
        <v>0</v>
      </c>
      <c r="I45" s="57" t="str">
        <f t="shared" si="26"/>
        <v>4</v>
      </c>
      <c r="J45" s="240" t="s">
        <v>398</v>
      </c>
      <c r="K45" s="194"/>
      <c r="L45" s="239"/>
      <c r="M45" s="57" t="str">
        <f t="shared" ref="M45:N45" si="27">MID($AL$45,COLUMNS($AH$34:AH34),1)</f>
        <v>0</v>
      </c>
      <c r="N45" s="57" t="str">
        <f t="shared" si="27"/>
        <v>1</v>
      </c>
      <c r="O45" s="240" t="s">
        <v>399</v>
      </c>
      <c r="P45" s="194"/>
      <c r="Q45" s="239"/>
      <c r="R45" s="57" t="str">
        <f t="shared" ref="R45:U45" si="28">MID($AO$45,COLUMNS($AH$34:AH34),1)</f>
        <v>1</v>
      </c>
      <c r="S45" s="57" t="str">
        <f t="shared" si="28"/>
        <v>9</v>
      </c>
      <c r="T45" s="57" t="str">
        <f t="shared" si="28"/>
        <v>9</v>
      </c>
      <c r="U45" s="57" t="str">
        <f t="shared" si="28"/>
        <v>0</v>
      </c>
      <c r="V45" s="240" t="s">
        <v>359</v>
      </c>
      <c r="W45" s="194"/>
      <c r="X45" s="239"/>
      <c r="Y45" s="91" t="str">
        <f t="shared" ref="Y45:AA45" si="29">MID($AS$45,COLUMNS($AS$45:AS45),1)</f>
        <v>3</v>
      </c>
      <c r="Z45" s="91" t="str">
        <f t="shared" si="29"/>
        <v>4</v>
      </c>
      <c r="AA45" s="91" t="str">
        <f t="shared" si="29"/>
        <v/>
      </c>
      <c r="AB45" s="3"/>
      <c r="AC45" s="3"/>
      <c r="AD45" s="3"/>
      <c r="AE45" s="89"/>
      <c r="AF45" s="94" t="s">
        <v>396</v>
      </c>
      <c r="AH45" s="82"/>
      <c r="AI45" s="241" t="s">
        <v>452</v>
      </c>
      <c r="AJ45" s="224"/>
      <c r="AL45" s="247" t="s">
        <v>412</v>
      </c>
      <c r="AM45" s="224"/>
      <c r="AO45" s="247" t="s">
        <v>453</v>
      </c>
      <c r="AP45" s="223"/>
      <c r="AQ45" s="223"/>
      <c r="AR45" s="224"/>
      <c r="AS45" s="96">
        <f>2024-AO45</f>
        <v>34</v>
      </c>
    </row>
    <row r="46" spans="1:45" ht="12.75" customHeight="1">
      <c r="A46" s="3"/>
      <c r="B46" s="88" t="s">
        <v>121</v>
      </c>
      <c r="C46" s="3" t="s">
        <v>128</v>
      </c>
      <c r="D46" s="3"/>
      <c r="E46" s="3"/>
      <c r="F46" s="91" t="str">
        <f t="shared" ref="F46:G46" si="30">MID($AH$46,COLUMNS($AH$46:AH46),1)</f>
        <v>0</v>
      </c>
      <c r="G46" s="91" t="str">
        <f t="shared" si="30"/>
        <v>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89"/>
      <c r="AF46" s="92" t="s">
        <v>128</v>
      </c>
      <c r="AH46" s="82" t="s">
        <v>454</v>
      </c>
    </row>
    <row r="47" spans="1:45" ht="12.75" customHeight="1">
      <c r="A47" s="3"/>
      <c r="B47" s="88" t="s">
        <v>124</v>
      </c>
      <c r="C47" s="3" t="s">
        <v>345</v>
      </c>
      <c r="D47" s="3"/>
      <c r="E47" s="3"/>
      <c r="F47" s="245" t="str">
        <f>AH47</f>
        <v>TAMBI RT 008 RW 002 KEC WATUKUMPUL KAB PEMALANG</v>
      </c>
      <c r="G47" s="223"/>
      <c r="H47" s="223"/>
      <c r="I47" s="223"/>
      <c r="J47" s="223"/>
      <c r="K47" s="223"/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  <c r="AA47" s="223"/>
      <c r="AB47" s="223"/>
      <c r="AC47" s="223"/>
      <c r="AD47" s="224"/>
      <c r="AE47" s="89"/>
      <c r="AF47" s="63" t="s">
        <v>345</v>
      </c>
      <c r="AH47" s="82" t="s">
        <v>413</v>
      </c>
    </row>
    <row r="48" spans="1:45" ht="12.75" customHeight="1">
      <c r="A48" s="3"/>
      <c r="B48" s="105"/>
      <c r="C48" s="3"/>
      <c r="D48" s="3"/>
      <c r="E48" s="3"/>
      <c r="F48" s="3" t="s">
        <v>414</v>
      </c>
      <c r="G48" s="3"/>
      <c r="H48" s="3"/>
      <c r="I48" s="3"/>
      <c r="J48" s="3"/>
      <c r="K48" s="3"/>
      <c r="L48" s="246" t="s">
        <v>102</v>
      </c>
      <c r="M48" s="223"/>
      <c r="N48" s="223"/>
      <c r="O48" s="223"/>
      <c r="P48" s="223"/>
      <c r="Q48" s="223"/>
      <c r="R48" s="223"/>
      <c r="S48" s="224"/>
      <c r="T48" s="3" t="s">
        <v>415</v>
      </c>
      <c r="U48" s="3"/>
      <c r="V48" s="3"/>
      <c r="W48" s="3"/>
      <c r="X48" s="252" t="s">
        <v>106</v>
      </c>
      <c r="Y48" s="223"/>
      <c r="Z48" s="223"/>
      <c r="AA48" s="223"/>
      <c r="AB48" s="223"/>
      <c r="AC48" s="223"/>
      <c r="AD48" s="224"/>
      <c r="AE48" s="89"/>
      <c r="AH48" s="82"/>
    </row>
    <row r="49" spans="1:45" ht="12.75" customHeight="1">
      <c r="A49" s="3"/>
      <c r="B49" s="105"/>
      <c r="C49" s="3"/>
      <c r="D49" s="3"/>
      <c r="E49" s="3"/>
      <c r="F49" s="3" t="s">
        <v>416</v>
      </c>
      <c r="G49" s="3"/>
      <c r="H49" s="3"/>
      <c r="I49" s="3"/>
      <c r="J49" s="3"/>
      <c r="K49" s="3"/>
      <c r="L49" s="246" t="s">
        <v>104</v>
      </c>
      <c r="M49" s="223"/>
      <c r="N49" s="223"/>
      <c r="O49" s="223"/>
      <c r="P49" s="223"/>
      <c r="Q49" s="223"/>
      <c r="R49" s="223"/>
      <c r="S49" s="224"/>
      <c r="T49" s="3" t="s">
        <v>417</v>
      </c>
      <c r="U49" s="3"/>
      <c r="V49" s="3"/>
      <c r="W49" s="3"/>
      <c r="X49" s="252" t="s">
        <v>418</v>
      </c>
      <c r="Y49" s="223"/>
      <c r="Z49" s="223"/>
      <c r="AA49" s="223"/>
      <c r="AB49" s="223"/>
      <c r="AC49" s="223"/>
      <c r="AD49" s="224"/>
      <c r="AE49" s="89"/>
      <c r="AH49" s="82"/>
    </row>
    <row r="50" spans="1:45" ht="12.75" customHeight="1">
      <c r="A50" s="3"/>
      <c r="B50" s="99"/>
      <c r="C50" s="62"/>
      <c r="D50" s="62"/>
      <c r="E50" s="62"/>
      <c r="F50" s="62"/>
      <c r="G50" s="62"/>
      <c r="H50" s="62"/>
      <c r="I50" s="62"/>
      <c r="J50" s="62"/>
      <c r="K50" s="62"/>
      <c r="L50" s="107"/>
      <c r="M50" s="107"/>
      <c r="N50" s="107"/>
      <c r="O50" s="107"/>
      <c r="P50" s="107"/>
      <c r="Q50" s="107"/>
      <c r="R50" s="107"/>
      <c r="S50" s="107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100"/>
      <c r="AF50" s="60" t="s">
        <v>455</v>
      </c>
      <c r="AH50" s="82"/>
    </row>
    <row r="51" spans="1:45" ht="12.75" customHeight="1">
      <c r="A51" s="3"/>
      <c r="B51" s="101" t="s">
        <v>456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89"/>
      <c r="AF51" s="92" t="s">
        <v>340</v>
      </c>
      <c r="AH51" s="82" t="s">
        <v>444</v>
      </c>
    </row>
    <row r="52" spans="1:45" ht="12.75" customHeight="1">
      <c r="A52" s="3"/>
      <c r="B52" s="88" t="s">
        <v>111</v>
      </c>
      <c r="C52" s="3" t="s">
        <v>340</v>
      </c>
      <c r="D52" s="3"/>
      <c r="E52" s="3"/>
      <c r="F52" s="95" t="str">
        <f t="shared" ref="F52:U52" si="31">MID($AH$51,COLUMNS($AH$51:AH51),1)</f>
        <v>3</v>
      </c>
      <c r="G52" s="95" t="str">
        <f t="shared" si="31"/>
        <v>3</v>
      </c>
      <c r="H52" s="95" t="str">
        <f t="shared" si="31"/>
        <v>2</v>
      </c>
      <c r="I52" s="95" t="str">
        <f t="shared" si="31"/>
        <v>7</v>
      </c>
      <c r="J52" s="95" t="str">
        <f t="shared" si="31"/>
        <v>0</v>
      </c>
      <c r="K52" s="95" t="str">
        <f t="shared" si="31"/>
        <v>4</v>
      </c>
      <c r="L52" s="95" t="str">
        <f t="shared" si="31"/>
        <v>0</v>
      </c>
      <c r="M52" s="95" t="str">
        <f t="shared" si="31"/>
        <v>7</v>
      </c>
      <c r="N52" s="95" t="str">
        <f t="shared" si="31"/>
        <v>0</v>
      </c>
      <c r="O52" s="95" t="str">
        <f t="shared" si="31"/>
        <v>5</v>
      </c>
      <c r="P52" s="95" t="str">
        <f t="shared" si="31"/>
        <v>8</v>
      </c>
      <c r="Q52" s="95" t="str">
        <f t="shared" si="31"/>
        <v>4</v>
      </c>
      <c r="R52" s="95" t="str">
        <f t="shared" si="31"/>
        <v>0</v>
      </c>
      <c r="S52" s="95" t="str">
        <f t="shared" si="31"/>
        <v>0</v>
      </c>
      <c r="T52" s="95" t="str">
        <f t="shared" si="31"/>
        <v>0</v>
      </c>
      <c r="U52" s="95" t="str">
        <f t="shared" si="31"/>
        <v>4</v>
      </c>
      <c r="V52" s="11"/>
      <c r="W52" s="11"/>
      <c r="X52" s="11"/>
      <c r="Y52" s="11"/>
      <c r="Z52" s="11"/>
      <c r="AA52" s="11"/>
      <c r="AB52" s="11"/>
      <c r="AC52" s="11"/>
      <c r="AD52" s="11"/>
      <c r="AE52" s="89"/>
      <c r="AF52" s="92" t="s">
        <v>391</v>
      </c>
      <c r="AH52" s="82" t="s">
        <v>386</v>
      </c>
    </row>
    <row r="53" spans="1:45" ht="12.75" customHeight="1">
      <c r="A53" s="3"/>
      <c r="B53" s="88" t="s">
        <v>115</v>
      </c>
      <c r="C53" s="3" t="s">
        <v>391</v>
      </c>
      <c r="D53" s="3"/>
      <c r="E53" s="3"/>
      <c r="F53" s="78" t="str">
        <f t="shared" ref="F53:U53" si="32">MID($AH$52,COLUMNS($AH$52:AH52),1)</f>
        <v>N</v>
      </c>
      <c r="G53" s="78" t="str">
        <f t="shared" si="32"/>
        <v>G</v>
      </c>
      <c r="H53" s="78" t="str">
        <f t="shared" si="32"/>
        <v>A</v>
      </c>
      <c r="I53" s="78" t="str">
        <f t="shared" si="32"/>
        <v>L</v>
      </c>
      <c r="J53" s="78" t="str">
        <f t="shared" si="32"/>
        <v>I</v>
      </c>
      <c r="K53" s="78" t="str">
        <f t="shared" si="32"/>
        <v>M</v>
      </c>
      <c r="L53" s="78" t="str">
        <f t="shared" si="32"/>
        <v>A</v>
      </c>
      <c r="M53" s="78" t="str">
        <f t="shared" si="32"/>
        <v>N</v>
      </c>
      <c r="N53" s="78" t="str">
        <f t="shared" si="32"/>
        <v/>
      </c>
      <c r="O53" s="78" t="str">
        <f t="shared" si="32"/>
        <v/>
      </c>
      <c r="P53" s="78" t="str">
        <f t="shared" si="32"/>
        <v/>
      </c>
      <c r="Q53" s="78" t="str">
        <f t="shared" si="32"/>
        <v/>
      </c>
      <c r="R53" s="78" t="str">
        <f t="shared" si="32"/>
        <v/>
      </c>
      <c r="S53" s="78" t="str">
        <f t="shared" si="32"/>
        <v/>
      </c>
      <c r="T53" s="78" t="str">
        <f t="shared" si="32"/>
        <v/>
      </c>
      <c r="U53" s="78" t="str">
        <f t="shared" si="32"/>
        <v/>
      </c>
      <c r="V53" s="78"/>
      <c r="W53" s="78"/>
      <c r="X53" s="78"/>
      <c r="Y53" s="78"/>
      <c r="Z53" s="78"/>
      <c r="AA53" s="78"/>
      <c r="AB53" s="78"/>
      <c r="AC53" s="78"/>
      <c r="AD53" s="78"/>
      <c r="AE53" s="89"/>
      <c r="AF53" s="94" t="s">
        <v>396</v>
      </c>
      <c r="AH53" s="82"/>
      <c r="AI53" s="241" t="s">
        <v>402</v>
      </c>
      <c r="AJ53" s="224"/>
      <c r="AL53" s="247" t="s">
        <v>445</v>
      </c>
      <c r="AM53" s="224"/>
      <c r="AO53" s="247" t="s">
        <v>446</v>
      </c>
      <c r="AP53" s="223"/>
      <c r="AQ53" s="223"/>
      <c r="AR53" s="224"/>
      <c r="AS53" s="96">
        <f>2024-AO53</f>
        <v>40</v>
      </c>
    </row>
    <row r="54" spans="1:45" ht="12.75" customHeight="1">
      <c r="A54" s="3"/>
      <c r="B54" s="88" t="s">
        <v>118</v>
      </c>
      <c r="C54" s="3" t="s">
        <v>396</v>
      </c>
      <c r="D54" s="3"/>
      <c r="E54" s="3"/>
      <c r="F54" s="225" t="s">
        <v>397</v>
      </c>
      <c r="G54" s="239"/>
      <c r="H54" s="78" t="str">
        <f t="shared" ref="H54:I54" si="33">MID($AI$53,COLUMNS($AH$43:AH43),1)</f>
        <v>0</v>
      </c>
      <c r="I54" s="78" t="str">
        <f t="shared" si="33"/>
        <v>7</v>
      </c>
      <c r="J54" s="240" t="s">
        <v>398</v>
      </c>
      <c r="K54" s="194"/>
      <c r="L54" s="239"/>
      <c r="M54" s="78" t="str">
        <f t="shared" ref="M54:N54" si="34">MID($AL$53,COLUMNS($AH$43:AH43),1)</f>
        <v>0</v>
      </c>
      <c r="N54" s="78" t="str">
        <f t="shared" si="34"/>
        <v>5</v>
      </c>
      <c r="O54" s="240" t="s">
        <v>399</v>
      </c>
      <c r="P54" s="194"/>
      <c r="Q54" s="239"/>
      <c r="R54" s="78" t="str">
        <f t="shared" ref="R54:U54" si="35">MID($AO$53,COLUMNS($AH$43:AH43),1)</f>
        <v>1</v>
      </c>
      <c r="S54" s="78" t="str">
        <f t="shared" si="35"/>
        <v>9</v>
      </c>
      <c r="T54" s="78" t="str">
        <f t="shared" si="35"/>
        <v>8</v>
      </c>
      <c r="U54" s="78" t="str">
        <f t="shared" si="35"/>
        <v>4</v>
      </c>
      <c r="V54" s="240" t="s">
        <v>359</v>
      </c>
      <c r="W54" s="194"/>
      <c r="X54" s="239"/>
      <c r="Y54" s="78">
        <v>0</v>
      </c>
      <c r="Z54" s="78" t="str">
        <f t="shared" ref="Z54:AA54" si="36">MID($AS$53,COLUMNS($AH$43:AH43),1)</f>
        <v>4</v>
      </c>
      <c r="AA54" s="78" t="str">
        <f t="shared" si="36"/>
        <v>0</v>
      </c>
      <c r="AB54" s="11"/>
      <c r="AC54" s="11"/>
      <c r="AD54" s="11"/>
      <c r="AE54" s="89"/>
      <c r="AF54" s="92" t="s">
        <v>128</v>
      </c>
      <c r="AH54" s="82" t="s">
        <v>447</v>
      </c>
    </row>
    <row r="55" spans="1:45" ht="12.75" customHeight="1">
      <c r="A55" s="3"/>
      <c r="B55" s="88" t="s">
        <v>121</v>
      </c>
      <c r="C55" s="3" t="s">
        <v>128</v>
      </c>
      <c r="D55" s="3"/>
      <c r="E55" s="3"/>
      <c r="F55" s="78" t="str">
        <f t="shared" ref="F55:G55" si="37">MID($AH$54,COLUMNS($AH$54:AH54),1)</f>
        <v>0</v>
      </c>
      <c r="G55" s="78" t="str">
        <f t="shared" si="37"/>
        <v>8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89"/>
      <c r="AF55" s="97" t="s">
        <v>345</v>
      </c>
      <c r="AH55" s="82" t="s">
        <v>413</v>
      </c>
    </row>
    <row r="56" spans="1:45" ht="12.75" customHeight="1">
      <c r="A56" s="3"/>
      <c r="B56" s="88" t="s">
        <v>124</v>
      </c>
      <c r="C56" s="3" t="s">
        <v>345</v>
      </c>
      <c r="D56" s="3"/>
      <c r="E56" s="3"/>
      <c r="F56" s="245" t="str">
        <f>AH55</f>
        <v>TAMBI RT 008 RW 002 KEC WATUKUMPUL KAB PEMALANG</v>
      </c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3"/>
      <c r="W56" s="223"/>
      <c r="X56" s="223"/>
      <c r="Y56" s="223"/>
      <c r="Z56" s="223"/>
      <c r="AA56" s="223"/>
      <c r="AB56" s="223"/>
      <c r="AC56" s="223"/>
      <c r="AD56" s="224"/>
      <c r="AE56" s="89"/>
      <c r="AH56" s="82"/>
    </row>
    <row r="57" spans="1:45" ht="12.75" customHeight="1">
      <c r="A57" s="3"/>
      <c r="B57" s="105"/>
      <c r="C57" s="3"/>
      <c r="D57" s="3"/>
      <c r="E57" s="3"/>
      <c r="F57" s="3" t="s">
        <v>414</v>
      </c>
      <c r="G57" s="3"/>
      <c r="H57" s="3"/>
      <c r="I57" s="3"/>
      <c r="J57" s="3"/>
      <c r="K57" s="3"/>
      <c r="L57" s="246" t="s">
        <v>102</v>
      </c>
      <c r="M57" s="223"/>
      <c r="N57" s="223"/>
      <c r="O57" s="223"/>
      <c r="P57" s="223"/>
      <c r="Q57" s="223"/>
      <c r="R57" s="223"/>
      <c r="S57" s="224"/>
      <c r="T57" s="3" t="s">
        <v>415</v>
      </c>
      <c r="U57" s="3"/>
      <c r="V57" s="3"/>
      <c r="W57" s="3"/>
      <c r="X57" s="246" t="s">
        <v>106</v>
      </c>
      <c r="Y57" s="223"/>
      <c r="Z57" s="223"/>
      <c r="AA57" s="223"/>
      <c r="AB57" s="223"/>
      <c r="AC57" s="223"/>
      <c r="AD57" s="224"/>
      <c r="AE57" s="89"/>
      <c r="AH57" s="82"/>
    </row>
    <row r="58" spans="1:45" ht="12.75" customHeight="1">
      <c r="A58" s="3"/>
      <c r="B58" s="105"/>
      <c r="C58" s="3"/>
      <c r="D58" s="3"/>
      <c r="E58" s="3"/>
      <c r="F58" s="3" t="s">
        <v>416</v>
      </c>
      <c r="G58" s="3"/>
      <c r="H58" s="3"/>
      <c r="I58" s="3"/>
      <c r="J58" s="3"/>
      <c r="K58" s="3"/>
      <c r="L58" s="246" t="s">
        <v>104</v>
      </c>
      <c r="M58" s="223"/>
      <c r="N58" s="223"/>
      <c r="O58" s="223"/>
      <c r="P58" s="223"/>
      <c r="Q58" s="223"/>
      <c r="R58" s="223"/>
      <c r="S58" s="224"/>
      <c r="T58" s="3" t="s">
        <v>417</v>
      </c>
      <c r="U58" s="3"/>
      <c r="V58" s="3"/>
      <c r="W58" s="3"/>
      <c r="X58" s="246" t="s">
        <v>418</v>
      </c>
      <c r="Y58" s="223"/>
      <c r="Z58" s="223"/>
      <c r="AA58" s="223"/>
      <c r="AB58" s="223"/>
      <c r="AC58" s="223"/>
      <c r="AD58" s="224"/>
      <c r="AE58" s="89"/>
      <c r="AH58" s="82"/>
    </row>
    <row r="59" spans="1:45" ht="12.75" customHeight="1">
      <c r="A59" s="3"/>
      <c r="B59" s="99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100"/>
      <c r="AH59" s="77"/>
    </row>
    <row r="60" spans="1:45" ht="12.75" customHeight="1">
      <c r="A60" s="3"/>
      <c r="B60" s="101" t="s">
        <v>457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89"/>
      <c r="AH60" s="77"/>
    </row>
    <row r="61" spans="1:45" ht="12.75" customHeight="1">
      <c r="A61" s="3"/>
      <c r="B61" s="88" t="s">
        <v>111</v>
      </c>
      <c r="C61" s="3" t="s">
        <v>340</v>
      </c>
      <c r="D61" s="3"/>
      <c r="E61" s="3"/>
      <c r="F61" s="108" t="s">
        <v>458</v>
      </c>
      <c r="G61" s="108" t="s">
        <v>458</v>
      </c>
      <c r="H61" s="108" t="s">
        <v>459</v>
      </c>
      <c r="I61" s="108" t="s">
        <v>460</v>
      </c>
      <c r="J61" s="108" t="s">
        <v>461</v>
      </c>
      <c r="K61" s="108" t="s">
        <v>462</v>
      </c>
      <c r="L61" s="108" t="s">
        <v>461</v>
      </c>
      <c r="M61" s="108" t="s">
        <v>460</v>
      </c>
      <c r="N61" s="108" t="s">
        <v>461</v>
      </c>
      <c r="O61" s="108" t="s">
        <v>462</v>
      </c>
      <c r="P61" s="108" t="s">
        <v>460</v>
      </c>
      <c r="Q61" s="108" t="s">
        <v>395</v>
      </c>
      <c r="R61" s="108" t="s">
        <v>461</v>
      </c>
      <c r="S61" s="108" t="s">
        <v>461</v>
      </c>
      <c r="T61" s="108" t="s">
        <v>461</v>
      </c>
      <c r="U61" s="108" t="s">
        <v>458</v>
      </c>
      <c r="V61" s="11"/>
      <c r="W61" s="11"/>
      <c r="X61" s="11"/>
      <c r="Y61" s="11"/>
      <c r="Z61" s="11"/>
      <c r="AA61" s="11"/>
      <c r="AB61" s="11"/>
      <c r="AC61" s="11"/>
      <c r="AD61" s="11"/>
      <c r="AE61" s="89"/>
      <c r="AH61" s="77"/>
    </row>
    <row r="62" spans="1:45" ht="12.75" customHeight="1">
      <c r="A62" s="3"/>
      <c r="B62" s="88" t="s">
        <v>115</v>
      </c>
      <c r="C62" s="3" t="s">
        <v>391</v>
      </c>
      <c r="D62" s="3"/>
      <c r="E62" s="3"/>
      <c r="F62" s="78" t="s">
        <v>463</v>
      </c>
      <c r="G62" s="78" t="s">
        <v>464</v>
      </c>
      <c r="H62" s="78" t="s">
        <v>465</v>
      </c>
      <c r="I62" s="78" t="s">
        <v>466</v>
      </c>
      <c r="J62" s="78" t="s">
        <v>467</v>
      </c>
      <c r="K62" s="78" t="s">
        <v>468</v>
      </c>
      <c r="L62" s="78" t="s">
        <v>469</v>
      </c>
      <c r="M62" s="78" t="s">
        <v>470</v>
      </c>
      <c r="N62" s="78" t="s">
        <v>470</v>
      </c>
      <c r="O62" s="78" t="s">
        <v>470</v>
      </c>
      <c r="P62" s="78" t="s">
        <v>470</v>
      </c>
      <c r="Q62" s="78" t="s">
        <v>470</v>
      </c>
      <c r="R62" s="78" t="s">
        <v>470</v>
      </c>
      <c r="S62" s="78" t="s">
        <v>470</v>
      </c>
      <c r="T62" s="78" t="s">
        <v>470</v>
      </c>
      <c r="U62" s="78" t="s">
        <v>470</v>
      </c>
      <c r="V62" s="78"/>
      <c r="W62" s="78"/>
      <c r="X62" s="78"/>
      <c r="Y62" s="78"/>
      <c r="Z62" s="78"/>
      <c r="AA62" s="78"/>
      <c r="AB62" s="78"/>
      <c r="AC62" s="78"/>
      <c r="AD62" s="78"/>
      <c r="AE62" s="89"/>
      <c r="AH62" s="77"/>
    </row>
    <row r="63" spans="1:45" ht="12.75" customHeight="1">
      <c r="A63" s="3"/>
      <c r="B63" s="88" t="s">
        <v>118</v>
      </c>
      <c r="C63" s="3" t="s">
        <v>396</v>
      </c>
      <c r="D63" s="3"/>
      <c r="E63" s="3"/>
      <c r="F63" s="253" t="s">
        <v>397</v>
      </c>
      <c r="G63" s="224"/>
      <c r="H63" s="78">
        <v>0</v>
      </c>
      <c r="I63" s="78">
        <v>7</v>
      </c>
      <c r="J63" s="242" t="s">
        <v>398</v>
      </c>
      <c r="K63" s="243"/>
      <c r="L63" s="244"/>
      <c r="M63" s="78">
        <v>0</v>
      </c>
      <c r="N63" s="78">
        <v>4</v>
      </c>
      <c r="O63" s="242" t="s">
        <v>399</v>
      </c>
      <c r="P63" s="243"/>
      <c r="Q63" s="244"/>
      <c r="R63" s="78">
        <v>1</v>
      </c>
      <c r="S63" s="78">
        <v>9</v>
      </c>
      <c r="T63" s="78">
        <v>7</v>
      </c>
      <c r="U63" s="78">
        <v>0</v>
      </c>
      <c r="V63" s="242" t="s">
        <v>359</v>
      </c>
      <c r="W63" s="243"/>
      <c r="X63" s="244"/>
      <c r="Y63" s="78">
        <v>5</v>
      </c>
      <c r="Z63" s="78">
        <v>5</v>
      </c>
      <c r="AA63" s="78"/>
      <c r="AB63" s="11"/>
      <c r="AC63" s="11"/>
      <c r="AD63" s="11"/>
      <c r="AE63" s="89"/>
      <c r="AH63" s="77"/>
    </row>
    <row r="64" spans="1:45" ht="12.75" customHeight="1">
      <c r="A64" s="3"/>
      <c r="B64" s="88" t="s">
        <v>121</v>
      </c>
      <c r="C64" s="3" t="s">
        <v>128</v>
      </c>
      <c r="D64" s="3"/>
      <c r="E64" s="3"/>
      <c r="F64" s="78">
        <v>8</v>
      </c>
      <c r="G64" s="78">
        <v>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89"/>
      <c r="AH64" s="77"/>
    </row>
    <row r="65" spans="1:34" ht="12.75" customHeight="1">
      <c r="A65" s="3"/>
      <c r="B65" s="88" t="s">
        <v>124</v>
      </c>
      <c r="C65" s="3" t="s">
        <v>345</v>
      </c>
      <c r="D65" s="3"/>
      <c r="E65" s="3"/>
      <c r="F65" s="246" t="s">
        <v>471</v>
      </c>
      <c r="G65" s="223"/>
      <c r="H65" s="223"/>
      <c r="I65" s="223"/>
      <c r="J65" s="223"/>
      <c r="K65" s="223"/>
      <c r="L65" s="223"/>
      <c r="M65" s="223"/>
      <c r="N65" s="223"/>
      <c r="O65" s="223"/>
      <c r="P65" s="223"/>
      <c r="Q65" s="223"/>
      <c r="R65" s="223"/>
      <c r="S65" s="223"/>
      <c r="T65" s="223"/>
      <c r="U65" s="223"/>
      <c r="V65" s="223"/>
      <c r="W65" s="223"/>
      <c r="X65" s="223"/>
      <c r="Y65" s="223"/>
      <c r="Z65" s="223"/>
      <c r="AA65" s="223"/>
      <c r="AB65" s="223"/>
      <c r="AC65" s="223"/>
      <c r="AD65" s="224"/>
      <c r="AE65" s="89"/>
      <c r="AH65" s="77"/>
    </row>
    <row r="66" spans="1:34" ht="12.75" customHeight="1">
      <c r="A66" s="3"/>
      <c r="B66" s="105"/>
      <c r="C66" s="3"/>
      <c r="D66" s="3"/>
      <c r="E66" s="3"/>
      <c r="F66" s="3" t="s">
        <v>414</v>
      </c>
      <c r="G66" s="3"/>
      <c r="H66" s="3"/>
      <c r="I66" s="3"/>
      <c r="J66" s="3"/>
      <c r="K66" s="3"/>
      <c r="L66" s="246" t="s">
        <v>102</v>
      </c>
      <c r="M66" s="223"/>
      <c r="N66" s="223"/>
      <c r="O66" s="223"/>
      <c r="P66" s="223"/>
      <c r="Q66" s="223"/>
      <c r="R66" s="223"/>
      <c r="S66" s="224"/>
      <c r="T66" s="3" t="s">
        <v>415</v>
      </c>
      <c r="U66" s="3"/>
      <c r="V66" s="3"/>
      <c r="W66" s="3"/>
      <c r="X66" s="246" t="s">
        <v>106</v>
      </c>
      <c r="Y66" s="223"/>
      <c r="Z66" s="223"/>
      <c r="AA66" s="223"/>
      <c r="AB66" s="223"/>
      <c r="AC66" s="223"/>
      <c r="AD66" s="224"/>
      <c r="AE66" s="89"/>
      <c r="AH66" s="77"/>
    </row>
    <row r="67" spans="1:34" ht="12.75" customHeight="1">
      <c r="A67" s="3"/>
      <c r="B67" s="105"/>
      <c r="C67" s="3"/>
      <c r="D67" s="3"/>
      <c r="E67" s="3"/>
      <c r="F67" s="3" t="s">
        <v>416</v>
      </c>
      <c r="G67" s="3"/>
      <c r="H67" s="3"/>
      <c r="I67" s="3"/>
      <c r="J67" s="3"/>
      <c r="K67" s="3"/>
      <c r="L67" s="246" t="s">
        <v>104</v>
      </c>
      <c r="M67" s="223"/>
      <c r="N67" s="223"/>
      <c r="O67" s="223"/>
      <c r="P67" s="223"/>
      <c r="Q67" s="223"/>
      <c r="R67" s="223"/>
      <c r="S67" s="224"/>
      <c r="T67" s="3" t="s">
        <v>417</v>
      </c>
      <c r="U67" s="3"/>
      <c r="V67" s="3"/>
      <c r="W67" s="3"/>
      <c r="X67" s="246" t="s">
        <v>418</v>
      </c>
      <c r="Y67" s="223"/>
      <c r="Z67" s="223"/>
      <c r="AA67" s="223"/>
      <c r="AB67" s="223"/>
      <c r="AC67" s="223"/>
      <c r="AD67" s="224"/>
      <c r="AE67" s="89"/>
      <c r="AH67" s="77"/>
    </row>
    <row r="68" spans="1:34" ht="12.75" customHeight="1">
      <c r="A68" s="3"/>
      <c r="B68" s="99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100"/>
      <c r="AH68" s="77"/>
    </row>
    <row r="69" spans="1:34" ht="12.75" customHeight="1">
      <c r="A69" s="3"/>
      <c r="B69" s="105" t="s">
        <v>472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89"/>
      <c r="AH69" s="77"/>
    </row>
    <row r="70" spans="1:34" ht="12.75" customHeight="1">
      <c r="A70" s="3"/>
      <c r="B70" s="88" t="s">
        <v>111</v>
      </c>
      <c r="C70" s="3" t="s">
        <v>340</v>
      </c>
      <c r="D70" s="3"/>
      <c r="E70" s="3"/>
      <c r="F70" s="108">
        <v>3</v>
      </c>
      <c r="G70" s="108">
        <v>3</v>
      </c>
      <c r="H70" s="108">
        <v>2</v>
      </c>
      <c r="I70" s="108">
        <v>7</v>
      </c>
      <c r="J70" s="108">
        <v>0</v>
      </c>
      <c r="K70" s="108">
        <v>4</v>
      </c>
      <c r="L70" s="108">
        <v>2</v>
      </c>
      <c r="M70" s="108">
        <v>1</v>
      </c>
      <c r="N70" s="108">
        <v>1</v>
      </c>
      <c r="O70" s="108">
        <v>0</v>
      </c>
      <c r="P70" s="108">
        <v>8</v>
      </c>
      <c r="Q70" s="108">
        <v>9</v>
      </c>
      <c r="R70" s="108">
        <v>0</v>
      </c>
      <c r="S70" s="108">
        <v>0</v>
      </c>
      <c r="T70" s="108">
        <v>0</v>
      </c>
      <c r="U70" s="108">
        <v>4</v>
      </c>
      <c r="V70" s="11"/>
      <c r="W70" s="11"/>
      <c r="X70" s="11"/>
      <c r="Y70" s="11"/>
      <c r="Z70" s="11"/>
      <c r="AA70" s="11"/>
      <c r="AB70" s="11"/>
      <c r="AC70" s="11"/>
      <c r="AD70" s="11"/>
      <c r="AE70" s="89"/>
      <c r="AH70" s="77"/>
    </row>
    <row r="71" spans="1:34" ht="12.75" customHeight="1">
      <c r="A71" s="3"/>
      <c r="B71" s="88" t="s">
        <v>115</v>
      </c>
      <c r="C71" s="3" t="s">
        <v>391</v>
      </c>
      <c r="D71" s="3"/>
      <c r="E71" s="3"/>
      <c r="F71" s="108" t="s">
        <v>473</v>
      </c>
      <c r="G71" s="108" t="s">
        <v>466</v>
      </c>
      <c r="H71" s="108" t="s">
        <v>464</v>
      </c>
      <c r="I71" s="108" t="s">
        <v>474</v>
      </c>
      <c r="J71" s="108" t="s">
        <v>469</v>
      </c>
      <c r="K71" s="108" t="s">
        <v>475</v>
      </c>
      <c r="L71" s="108"/>
      <c r="M71" s="108" t="s">
        <v>475</v>
      </c>
      <c r="N71" s="108" t="s">
        <v>467</v>
      </c>
      <c r="O71" s="109" t="s">
        <v>473</v>
      </c>
      <c r="P71" s="109" t="s">
        <v>466</v>
      </c>
      <c r="Q71" s="109" t="s">
        <v>476</v>
      </c>
      <c r="R71" s="109" t="s">
        <v>464</v>
      </c>
      <c r="S71" s="109" t="s">
        <v>468</v>
      </c>
      <c r="T71" s="109" t="s">
        <v>477</v>
      </c>
      <c r="U71" s="109" t="s">
        <v>475</v>
      </c>
      <c r="V71" s="78"/>
      <c r="W71" s="78"/>
      <c r="X71" s="78"/>
      <c r="Y71" s="78"/>
      <c r="Z71" s="78"/>
      <c r="AA71" s="78"/>
      <c r="AB71" s="78"/>
      <c r="AC71" s="78"/>
      <c r="AD71" s="78"/>
      <c r="AE71" s="89"/>
      <c r="AH71" s="77"/>
    </row>
    <row r="72" spans="1:34" ht="12.75" customHeight="1">
      <c r="A72" s="3"/>
      <c r="B72" s="88" t="s">
        <v>118</v>
      </c>
      <c r="C72" s="3" t="s">
        <v>396</v>
      </c>
      <c r="D72" s="3"/>
      <c r="E72" s="3"/>
      <c r="F72" s="225" t="s">
        <v>397</v>
      </c>
      <c r="G72" s="239"/>
      <c r="H72" s="78">
        <v>2</v>
      </c>
      <c r="I72" s="78">
        <v>1</v>
      </c>
      <c r="J72" s="240" t="s">
        <v>398</v>
      </c>
      <c r="K72" s="194"/>
      <c r="L72" s="239"/>
      <c r="M72" s="78">
        <v>1</v>
      </c>
      <c r="N72" s="78">
        <v>0</v>
      </c>
      <c r="O72" s="240" t="s">
        <v>399</v>
      </c>
      <c r="P72" s="194"/>
      <c r="Q72" s="239"/>
      <c r="R72" s="78">
        <v>1</v>
      </c>
      <c r="S72" s="78">
        <v>9</v>
      </c>
      <c r="T72" s="78">
        <v>8</v>
      </c>
      <c r="U72" s="78">
        <v>9</v>
      </c>
      <c r="V72" s="240" t="s">
        <v>359</v>
      </c>
      <c r="W72" s="194"/>
      <c r="X72" s="239"/>
      <c r="Y72" s="78">
        <v>3</v>
      </c>
      <c r="Z72" s="78">
        <v>5</v>
      </c>
      <c r="AA72" s="78"/>
      <c r="AB72" s="11"/>
      <c r="AC72" s="11"/>
      <c r="AD72" s="11"/>
      <c r="AE72" s="89"/>
      <c r="AH72" s="77"/>
    </row>
    <row r="73" spans="1:34" ht="12.75" customHeight="1">
      <c r="A73" s="3"/>
      <c r="B73" s="88" t="s">
        <v>121</v>
      </c>
      <c r="C73" s="3" t="s">
        <v>128</v>
      </c>
      <c r="D73" s="3"/>
      <c r="E73" s="3"/>
      <c r="F73" s="78">
        <v>8</v>
      </c>
      <c r="G73" s="78">
        <v>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89"/>
      <c r="AH73" s="77"/>
    </row>
    <row r="74" spans="1:34" ht="12.75" customHeight="1">
      <c r="A74" s="3"/>
      <c r="B74" s="88" t="s">
        <v>124</v>
      </c>
      <c r="C74" s="3" t="s">
        <v>345</v>
      </c>
      <c r="D74" s="3"/>
      <c r="E74" s="3"/>
      <c r="F74" s="246" t="s">
        <v>478</v>
      </c>
      <c r="G74" s="223"/>
      <c r="H74" s="223"/>
      <c r="I74" s="223"/>
      <c r="J74" s="223"/>
      <c r="K74" s="223"/>
      <c r="L74" s="223"/>
      <c r="M74" s="223"/>
      <c r="N74" s="223"/>
      <c r="O74" s="223"/>
      <c r="P74" s="223"/>
      <c r="Q74" s="223"/>
      <c r="R74" s="223"/>
      <c r="S74" s="223"/>
      <c r="T74" s="223"/>
      <c r="U74" s="223"/>
      <c r="V74" s="223"/>
      <c r="W74" s="223"/>
      <c r="X74" s="223"/>
      <c r="Y74" s="223"/>
      <c r="Z74" s="223"/>
      <c r="AA74" s="223"/>
      <c r="AB74" s="223"/>
      <c r="AC74" s="223"/>
      <c r="AD74" s="224"/>
      <c r="AE74" s="89"/>
      <c r="AH74" s="77"/>
    </row>
    <row r="75" spans="1:34" ht="12.75" customHeight="1">
      <c r="A75" s="3"/>
      <c r="B75" s="105"/>
      <c r="C75" s="3"/>
      <c r="D75" s="3"/>
      <c r="E75" s="3"/>
      <c r="F75" s="3" t="s">
        <v>414</v>
      </c>
      <c r="G75" s="3"/>
      <c r="H75" s="3"/>
      <c r="I75" s="3"/>
      <c r="J75" s="3"/>
      <c r="K75" s="3"/>
      <c r="L75" s="246" t="s">
        <v>102</v>
      </c>
      <c r="M75" s="223"/>
      <c r="N75" s="223"/>
      <c r="O75" s="223"/>
      <c r="P75" s="223"/>
      <c r="Q75" s="223"/>
      <c r="R75" s="223"/>
      <c r="S75" s="224"/>
      <c r="T75" s="3" t="s">
        <v>415</v>
      </c>
      <c r="U75" s="3"/>
      <c r="V75" s="3"/>
      <c r="W75" s="3"/>
      <c r="X75" s="246" t="s">
        <v>106</v>
      </c>
      <c r="Y75" s="223"/>
      <c r="Z75" s="223"/>
      <c r="AA75" s="223"/>
      <c r="AB75" s="223"/>
      <c r="AC75" s="223"/>
      <c r="AD75" s="224"/>
      <c r="AE75" s="89"/>
      <c r="AH75" s="77"/>
    </row>
    <row r="76" spans="1:34" ht="12.75" customHeight="1">
      <c r="A76" s="3"/>
      <c r="B76" s="105"/>
      <c r="C76" s="3"/>
      <c r="D76" s="3"/>
      <c r="E76" s="3"/>
      <c r="F76" s="3" t="s">
        <v>416</v>
      </c>
      <c r="G76" s="3"/>
      <c r="H76" s="3"/>
      <c r="I76" s="3"/>
      <c r="J76" s="3"/>
      <c r="K76" s="3"/>
      <c r="L76" s="246" t="s">
        <v>104</v>
      </c>
      <c r="M76" s="223"/>
      <c r="N76" s="223"/>
      <c r="O76" s="223"/>
      <c r="P76" s="223"/>
      <c r="Q76" s="223"/>
      <c r="R76" s="223"/>
      <c r="S76" s="224"/>
      <c r="T76" s="3" t="s">
        <v>417</v>
      </c>
      <c r="U76" s="3"/>
      <c r="V76" s="3"/>
      <c r="W76" s="3"/>
      <c r="X76" s="246" t="s">
        <v>418</v>
      </c>
      <c r="Y76" s="223"/>
      <c r="Z76" s="223"/>
      <c r="AA76" s="223"/>
      <c r="AB76" s="223"/>
      <c r="AC76" s="223"/>
      <c r="AD76" s="224"/>
      <c r="AE76" s="89"/>
      <c r="AH76" s="77"/>
    </row>
    <row r="77" spans="1:34" ht="12.75" customHeight="1">
      <c r="A77" s="3"/>
      <c r="B77" s="110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2"/>
      <c r="AH77" s="77"/>
    </row>
    <row r="78" spans="1:34" ht="12.75" customHeight="1">
      <c r="AH78" s="77"/>
    </row>
    <row r="79" spans="1:34" ht="12.75" customHeight="1">
      <c r="U79" s="77" t="s">
        <v>479</v>
      </c>
      <c r="AH79" s="77"/>
    </row>
    <row r="80" spans="1:34" ht="12.75" customHeight="1">
      <c r="C80" s="225"/>
      <c r="D80" s="194"/>
      <c r="E80" s="194"/>
      <c r="F80" s="194"/>
      <c r="G80" s="194"/>
      <c r="AH80" s="77"/>
    </row>
    <row r="81" spans="2:34" ht="12.75" customHeight="1">
      <c r="C81" s="225" t="s">
        <v>480</v>
      </c>
      <c r="D81" s="194"/>
      <c r="E81" s="194"/>
      <c r="F81" s="194"/>
      <c r="G81" s="194"/>
      <c r="U81" s="64" t="s">
        <v>481</v>
      </c>
      <c r="AH81" s="77"/>
    </row>
    <row r="82" spans="2:34" ht="12.75" customHeight="1">
      <c r="C82" s="225" t="s">
        <v>274</v>
      </c>
      <c r="D82" s="194"/>
      <c r="E82" s="194"/>
      <c r="F82" s="194"/>
      <c r="G82" s="194"/>
      <c r="AH82" s="77"/>
    </row>
    <row r="83" spans="2:34" ht="12.75" customHeight="1">
      <c r="C83" s="11"/>
      <c r="D83" s="11"/>
      <c r="E83" s="11"/>
      <c r="F83" s="11"/>
      <c r="G83" s="11"/>
      <c r="AH83" s="77"/>
    </row>
    <row r="84" spans="2:34" ht="12.75" customHeight="1">
      <c r="AH84" s="77"/>
    </row>
    <row r="85" spans="2:34" ht="12.75" customHeight="1">
      <c r="AH85" s="77"/>
    </row>
    <row r="86" spans="2:34" ht="12.75" customHeight="1">
      <c r="C86" s="225" t="s">
        <v>482</v>
      </c>
      <c r="D86" s="194"/>
      <c r="E86" s="194"/>
      <c r="F86" s="194"/>
      <c r="G86" s="194"/>
      <c r="U86" s="113" t="str">
        <f>AH52</f>
        <v>NGALIMAN</v>
      </c>
      <c r="AH86" s="77"/>
    </row>
    <row r="87" spans="2:34" ht="12.75" customHeight="1">
      <c r="C87" s="11"/>
      <c r="D87" s="11"/>
      <c r="E87" s="11"/>
      <c r="F87" s="11"/>
      <c r="G87" s="11"/>
      <c r="W87" s="3"/>
      <c r="AH87" s="77"/>
    </row>
    <row r="88" spans="2:34" ht="12.75" customHeight="1">
      <c r="C88" s="11"/>
      <c r="D88" s="11"/>
      <c r="E88" s="11"/>
      <c r="F88" s="11"/>
      <c r="G88" s="11"/>
      <c r="W88" s="3"/>
      <c r="AH88" s="77"/>
    </row>
    <row r="89" spans="2:34" ht="12.75" customHeight="1">
      <c r="AH89" s="77"/>
    </row>
    <row r="90" spans="2:34" ht="12.75" customHeight="1">
      <c r="Y90" s="235" t="s">
        <v>368</v>
      </c>
      <c r="Z90" s="236"/>
      <c r="AA90" s="236"/>
      <c r="AB90" s="236"/>
      <c r="AC90" s="237"/>
      <c r="AH90" s="77"/>
    </row>
    <row r="91" spans="2:34" ht="12.75" customHeight="1">
      <c r="AH91" s="77"/>
    </row>
    <row r="92" spans="2:34" ht="12.75" customHeight="1">
      <c r="B92" s="64" t="s">
        <v>369</v>
      </c>
      <c r="D92" s="11" t="s">
        <v>10</v>
      </c>
      <c r="F92" s="64" t="s">
        <v>370</v>
      </c>
      <c r="P92" s="64" t="s">
        <v>371</v>
      </c>
      <c r="R92" s="11" t="s">
        <v>10</v>
      </c>
      <c r="S92" s="64" t="s">
        <v>372</v>
      </c>
      <c r="V92" s="11" t="s">
        <v>10</v>
      </c>
      <c r="W92" s="64" t="s">
        <v>373</v>
      </c>
      <c r="AH92" s="77"/>
    </row>
    <row r="93" spans="2:34" ht="12.75" customHeight="1">
      <c r="B93" s="64" t="s">
        <v>331</v>
      </c>
      <c r="D93" s="11" t="s">
        <v>10</v>
      </c>
      <c r="F93" s="64" t="s">
        <v>374</v>
      </c>
      <c r="S93" s="64" t="s">
        <v>375</v>
      </c>
      <c r="V93" s="11" t="s">
        <v>10</v>
      </c>
      <c r="W93" s="64" t="s">
        <v>376</v>
      </c>
      <c r="AH93" s="77"/>
    </row>
    <row r="94" spans="2:34" ht="12.75" customHeight="1">
      <c r="B94" s="64" t="s">
        <v>377</v>
      </c>
      <c r="D94" s="11" t="s">
        <v>10</v>
      </c>
      <c r="F94" s="64" t="s">
        <v>378</v>
      </c>
      <c r="P94" s="62"/>
      <c r="S94" s="64" t="s">
        <v>379</v>
      </c>
      <c r="V94" s="11" t="s">
        <v>10</v>
      </c>
      <c r="W94" s="64" t="s">
        <v>380</v>
      </c>
      <c r="AH94" s="77"/>
    </row>
    <row r="95" spans="2:34" ht="12.75" customHeight="1">
      <c r="B95" s="64" t="s">
        <v>381</v>
      </c>
      <c r="D95" s="11" t="s">
        <v>10</v>
      </c>
      <c r="F95" s="78">
        <v>3</v>
      </c>
      <c r="G95" s="78">
        <v>3</v>
      </c>
      <c r="H95" s="78">
        <v>2</v>
      </c>
      <c r="I95" s="78">
        <v>7</v>
      </c>
      <c r="J95" s="78">
        <v>0</v>
      </c>
      <c r="K95" s="78">
        <v>4</v>
      </c>
      <c r="L95" s="78">
        <v>0</v>
      </c>
      <c r="M95" s="78">
        <v>2</v>
      </c>
      <c r="N95" s="78">
        <v>0</v>
      </c>
      <c r="O95" s="78">
        <v>2</v>
      </c>
      <c r="P95" s="11">
        <v>2</v>
      </c>
      <c r="Q95" s="79"/>
      <c r="S95" s="64" t="s">
        <v>382</v>
      </c>
      <c r="V95" s="11" t="s">
        <v>10</v>
      </c>
      <c r="W95" s="64" t="s">
        <v>383</v>
      </c>
      <c r="AH95" s="77"/>
    </row>
    <row r="96" spans="2:34" ht="12.75" customHeight="1">
      <c r="P96" s="59"/>
      <c r="AH96" s="77"/>
    </row>
    <row r="97" spans="1:34" ht="12.75" customHeight="1">
      <c r="B97" s="196" t="s">
        <v>334</v>
      </c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194"/>
      <c r="AA97" s="194"/>
      <c r="AB97" s="194"/>
      <c r="AC97" s="194"/>
      <c r="AD97" s="194"/>
      <c r="AH97" s="77"/>
    </row>
    <row r="98" spans="1:34" ht="12.75" customHeight="1">
      <c r="B98" s="225" t="s">
        <v>483</v>
      </c>
      <c r="C98" s="194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  <c r="AA98" s="194"/>
      <c r="AB98" s="194"/>
      <c r="AC98" s="194"/>
      <c r="AD98" s="194"/>
      <c r="AH98" s="77"/>
    </row>
    <row r="99" spans="1:34" ht="12.75" customHeight="1">
      <c r="AH99" s="77"/>
    </row>
    <row r="100" spans="1:34" ht="12.75" customHeight="1">
      <c r="B100" s="64" t="s">
        <v>385</v>
      </c>
      <c r="D100" s="11" t="s">
        <v>10</v>
      </c>
      <c r="F100" s="78" t="s">
        <v>465</v>
      </c>
      <c r="G100" s="78" t="s">
        <v>467</v>
      </c>
      <c r="H100" s="78" t="s">
        <v>484</v>
      </c>
      <c r="I100" s="78" t="s">
        <v>485</v>
      </c>
      <c r="J100" s="78" t="s">
        <v>464</v>
      </c>
      <c r="K100" s="78" t="s">
        <v>485</v>
      </c>
      <c r="L100" s="78" t="s">
        <v>476</v>
      </c>
      <c r="M100" s="91" t="s">
        <v>477</v>
      </c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H100" s="77"/>
    </row>
    <row r="101" spans="1:34" ht="12.75" customHeight="1">
      <c r="B101" s="64" t="s">
        <v>387</v>
      </c>
      <c r="D101" s="11" t="s">
        <v>10</v>
      </c>
      <c r="F101" s="78">
        <v>3</v>
      </c>
      <c r="G101" s="78">
        <v>3</v>
      </c>
      <c r="H101" s="78">
        <v>2</v>
      </c>
      <c r="I101" s="78">
        <v>7</v>
      </c>
      <c r="J101" s="78">
        <v>0</v>
      </c>
      <c r="K101" s="78">
        <v>4</v>
      </c>
      <c r="L101" s="78">
        <v>0</v>
      </c>
      <c r="M101" s="78">
        <v>2</v>
      </c>
      <c r="N101" s="78">
        <v>0</v>
      </c>
      <c r="O101" s="78">
        <v>7</v>
      </c>
      <c r="P101" s="78">
        <v>2</v>
      </c>
      <c r="Q101" s="78">
        <v>0</v>
      </c>
      <c r="R101" s="78">
        <v>0</v>
      </c>
      <c r="S101" s="78">
        <v>0</v>
      </c>
      <c r="T101" s="78">
        <v>0</v>
      </c>
      <c r="U101" s="78">
        <v>7</v>
      </c>
      <c r="V101" s="91"/>
      <c r="W101" s="91"/>
      <c r="X101" s="91"/>
      <c r="Y101" s="91"/>
      <c r="AH101" s="77"/>
    </row>
    <row r="102" spans="1:34" ht="12.75" customHeight="1"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H102" s="77"/>
    </row>
    <row r="103" spans="1:34" ht="12.75" customHeight="1">
      <c r="A103" s="115"/>
      <c r="B103" s="38" t="s">
        <v>389</v>
      </c>
      <c r="AE103" s="116"/>
      <c r="AH103" s="77"/>
    </row>
    <row r="104" spans="1:34" ht="12.75" customHeight="1">
      <c r="A104" s="115"/>
      <c r="B104" s="11" t="s">
        <v>111</v>
      </c>
      <c r="C104" s="64" t="s">
        <v>340</v>
      </c>
      <c r="D104" s="11" t="s">
        <v>10</v>
      </c>
      <c r="F104" s="95">
        <v>3</v>
      </c>
      <c r="G104" s="95">
        <v>3</v>
      </c>
      <c r="H104" s="95">
        <v>2</v>
      </c>
      <c r="I104" s="95">
        <v>7</v>
      </c>
      <c r="J104" s="95">
        <v>0</v>
      </c>
      <c r="K104" s="95">
        <v>4</v>
      </c>
      <c r="L104" s="95">
        <v>4</v>
      </c>
      <c r="M104" s="95">
        <v>1</v>
      </c>
      <c r="N104" s="95">
        <v>0</v>
      </c>
      <c r="O104" s="95">
        <v>7</v>
      </c>
      <c r="P104" s="95">
        <v>7</v>
      </c>
      <c r="Q104" s="95">
        <v>0</v>
      </c>
      <c r="R104" s="95">
        <v>0</v>
      </c>
      <c r="S104" s="95">
        <v>1</v>
      </c>
      <c r="T104" s="95">
        <v>5</v>
      </c>
      <c r="U104" s="95">
        <v>1</v>
      </c>
      <c r="AE104" s="115"/>
      <c r="AH104" s="77"/>
    </row>
    <row r="105" spans="1:34" ht="12.75" customHeight="1">
      <c r="A105" s="115"/>
      <c r="B105" s="11" t="s">
        <v>115</v>
      </c>
      <c r="C105" s="64" t="s">
        <v>391</v>
      </c>
      <c r="D105" s="11" t="s">
        <v>10</v>
      </c>
      <c r="F105" s="78" t="s">
        <v>476</v>
      </c>
      <c r="G105" s="78" t="s">
        <v>467</v>
      </c>
      <c r="H105" s="78" t="s">
        <v>476</v>
      </c>
      <c r="I105" s="78" t="s">
        <v>469</v>
      </c>
      <c r="J105" s="78"/>
      <c r="K105" s="78" t="s">
        <v>468</v>
      </c>
      <c r="L105" s="78" t="s">
        <v>464</v>
      </c>
      <c r="M105" s="91" t="s">
        <v>466</v>
      </c>
      <c r="N105" s="91" t="s">
        <v>464</v>
      </c>
      <c r="O105" s="91" t="s">
        <v>486</v>
      </c>
      <c r="P105" s="91" t="s">
        <v>467</v>
      </c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115"/>
      <c r="AH105" s="77"/>
    </row>
    <row r="106" spans="1:34" ht="12.75" customHeight="1">
      <c r="A106" s="115"/>
      <c r="B106" s="11" t="s">
        <v>118</v>
      </c>
      <c r="C106" s="64" t="s">
        <v>285</v>
      </c>
      <c r="D106" s="11" t="s">
        <v>10</v>
      </c>
      <c r="F106" s="78">
        <v>1</v>
      </c>
      <c r="G106" s="64" t="s">
        <v>393</v>
      </c>
      <c r="M106" s="55"/>
      <c r="N106" s="64" t="s">
        <v>394</v>
      </c>
      <c r="AE106" s="115"/>
      <c r="AH106" s="77"/>
    </row>
    <row r="107" spans="1:34" ht="12.75" customHeight="1">
      <c r="A107" s="115"/>
      <c r="B107" s="11" t="s">
        <v>121</v>
      </c>
      <c r="C107" s="64" t="s">
        <v>396</v>
      </c>
      <c r="D107" s="11" t="s">
        <v>10</v>
      </c>
      <c r="F107" s="225" t="s">
        <v>397</v>
      </c>
      <c r="G107" s="239"/>
      <c r="H107" s="95">
        <v>0</v>
      </c>
      <c r="I107" s="95">
        <v>1</v>
      </c>
      <c r="J107" s="240" t="s">
        <v>398</v>
      </c>
      <c r="K107" s="194"/>
      <c r="L107" s="239"/>
      <c r="M107" s="95">
        <v>0</v>
      </c>
      <c r="N107" s="95">
        <v>7</v>
      </c>
      <c r="O107" s="240" t="s">
        <v>399</v>
      </c>
      <c r="P107" s="194"/>
      <c r="Q107" s="239"/>
      <c r="R107" s="78">
        <v>1</v>
      </c>
      <c r="S107" s="78">
        <v>9</v>
      </c>
      <c r="T107" s="78">
        <v>7</v>
      </c>
      <c r="U107" s="78">
        <v>0</v>
      </c>
      <c r="V107" s="240" t="s">
        <v>359</v>
      </c>
      <c r="W107" s="194"/>
      <c r="X107" s="239"/>
      <c r="Y107" s="78">
        <v>0</v>
      </c>
      <c r="Z107" s="78">
        <v>4</v>
      </c>
      <c r="AA107" s="91">
        <v>6</v>
      </c>
      <c r="AE107" s="115"/>
      <c r="AH107" s="77"/>
    </row>
    <row r="108" spans="1:34" ht="12.75" customHeight="1">
      <c r="A108" s="115"/>
      <c r="B108" s="11" t="s">
        <v>124</v>
      </c>
      <c r="C108" s="64" t="s">
        <v>403</v>
      </c>
      <c r="D108" s="11" t="s">
        <v>10</v>
      </c>
      <c r="F108" s="78" t="s">
        <v>487</v>
      </c>
      <c r="G108" s="78" t="s">
        <v>488</v>
      </c>
      <c r="H108" s="78" t="s">
        <v>475</v>
      </c>
      <c r="I108" s="78" t="s">
        <v>464</v>
      </c>
      <c r="J108" s="78" t="s">
        <v>474</v>
      </c>
      <c r="K108" s="78" t="s">
        <v>464</v>
      </c>
      <c r="L108" s="78" t="s">
        <v>485</v>
      </c>
      <c r="M108" s="78" t="s">
        <v>489</v>
      </c>
      <c r="N108" s="78"/>
      <c r="O108" s="78"/>
      <c r="P108" s="78"/>
      <c r="Q108" s="78"/>
      <c r="R108" s="242" t="s">
        <v>404</v>
      </c>
      <c r="S108" s="243"/>
      <c r="T108" s="243"/>
      <c r="U108" s="244"/>
      <c r="V108" s="78">
        <v>3</v>
      </c>
      <c r="W108" s="78">
        <v>3</v>
      </c>
      <c r="X108" s="240" t="s">
        <v>405</v>
      </c>
      <c r="Y108" s="194"/>
      <c r="Z108" s="194"/>
      <c r="AA108" s="239"/>
      <c r="AB108" s="78">
        <v>2</v>
      </c>
      <c r="AC108" s="78">
        <v>7</v>
      </c>
      <c r="AE108" s="115"/>
      <c r="AH108" s="77"/>
    </row>
    <row r="109" spans="1:34" ht="12.75" customHeight="1">
      <c r="A109" s="115"/>
      <c r="B109" s="11" t="s">
        <v>127</v>
      </c>
      <c r="C109" s="64" t="s">
        <v>125</v>
      </c>
      <c r="D109" s="11" t="s">
        <v>10</v>
      </c>
      <c r="F109" s="55">
        <v>1</v>
      </c>
      <c r="G109" s="64" t="s">
        <v>406</v>
      </c>
      <c r="K109" s="64" t="s">
        <v>407</v>
      </c>
      <c r="O109" s="64" t="s">
        <v>408</v>
      </c>
      <c r="S109" s="64" t="s">
        <v>409</v>
      </c>
      <c r="W109" s="64" t="s">
        <v>410</v>
      </c>
      <c r="Z109" s="64" t="s">
        <v>411</v>
      </c>
      <c r="AE109" s="115"/>
      <c r="AH109" s="77"/>
    </row>
    <row r="110" spans="1:34" ht="12.75" customHeight="1">
      <c r="A110" s="115"/>
      <c r="B110" s="11" t="s">
        <v>130</v>
      </c>
      <c r="C110" s="64" t="s">
        <v>128</v>
      </c>
      <c r="D110" s="11" t="s">
        <v>10</v>
      </c>
      <c r="F110" s="95">
        <v>0</v>
      </c>
      <c r="G110" s="95">
        <v>9</v>
      </c>
      <c r="AE110" s="115"/>
      <c r="AH110" s="77"/>
    </row>
    <row r="111" spans="1:34" ht="12.75" customHeight="1">
      <c r="A111" s="115"/>
      <c r="B111" s="11" t="s">
        <v>134</v>
      </c>
      <c r="C111" s="64" t="s">
        <v>345</v>
      </c>
      <c r="D111" s="11" t="s">
        <v>10</v>
      </c>
      <c r="F111" s="246" t="s">
        <v>490</v>
      </c>
      <c r="G111" s="223"/>
      <c r="H111" s="223"/>
      <c r="I111" s="223"/>
      <c r="J111" s="223"/>
      <c r="K111" s="223"/>
      <c r="L111" s="223"/>
      <c r="M111" s="223"/>
      <c r="N111" s="223"/>
      <c r="O111" s="223"/>
      <c r="P111" s="223"/>
      <c r="Q111" s="223"/>
      <c r="R111" s="223"/>
      <c r="S111" s="223"/>
      <c r="T111" s="223"/>
      <c r="U111" s="223"/>
      <c r="V111" s="223"/>
      <c r="W111" s="223"/>
      <c r="X111" s="223"/>
      <c r="Y111" s="223"/>
      <c r="Z111" s="223"/>
      <c r="AA111" s="223"/>
      <c r="AB111" s="223"/>
      <c r="AC111" s="223"/>
      <c r="AD111" s="224"/>
      <c r="AE111" s="115"/>
      <c r="AH111" s="77"/>
    </row>
    <row r="112" spans="1:34" ht="12.75" customHeight="1">
      <c r="A112" s="115"/>
      <c r="B112" s="11"/>
      <c r="F112" s="64" t="s">
        <v>414</v>
      </c>
      <c r="L112" s="246" t="s">
        <v>102</v>
      </c>
      <c r="M112" s="223"/>
      <c r="N112" s="223"/>
      <c r="O112" s="223"/>
      <c r="P112" s="223"/>
      <c r="Q112" s="223"/>
      <c r="R112" s="223"/>
      <c r="S112" s="224"/>
      <c r="T112" s="64" t="s">
        <v>415</v>
      </c>
      <c r="X112" s="246" t="s">
        <v>106</v>
      </c>
      <c r="Y112" s="223"/>
      <c r="Z112" s="223"/>
      <c r="AA112" s="223"/>
      <c r="AB112" s="223"/>
      <c r="AC112" s="223"/>
      <c r="AD112" s="224"/>
      <c r="AE112" s="115"/>
      <c r="AH112" s="77"/>
    </row>
    <row r="113" spans="1:34" ht="12.75" customHeight="1">
      <c r="A113" s="115"/>
      <c r="B113" s="11"/>
      <c r="F113" s="64" t="s">
        <v>416</v>
      </c>
      <c r="L113" s="246" t="s">
        <v>104</v>
      </c>
      <c r="M113" s="223"/>
      <c r="N113" s="223"/>
      <c r="O113" s="223"/>
      <c r="P113" s="223"/>
      <c r="Q113" s="223"/>
      <c r="R113" s="223"/>
      <c r="S113" s="224"/>
      <c r="T113" s="64" t="s">
        <v>417</v>
      </c>
      <c r="X113" s="246" t="s">
        <v>418</v>
      </c>
      <c r="Y113" s="223"/>
      <c r="Z113" s="223"/>
      <c r="AA113" s="223"/>
      <c r="AB113" s="223"/>
      <c r="AC113" s="223"/>
      <c r="AD113" s="224"/>
      <c r="AE113" s="115"/>
      <c r="AH113" s="77"/>
    </row>
    <row r="114" spans="1:34" ht="12.75" customHeight="1">
      <c r="A114" s="115"/>
      <c r="B114" s="11" t="s">
        <v>137</v>
      </c>
      <c r="C114" s="64" t="s">
        <v>419</v>
      </c>
      <c r="D114" s="11" t="s">
        <v>10</v>
      </c>
      <c r="F114" s="91">
        <v>1</v>
      </c>
      <c r="G114" s="64" t="s">
        <v>111</v>
      </c>
      <c r="J114" s="64" t="s">
        <v>115</v>
      </c>
      <c r="M114" s="64" t="s">
        <v>118</v>
      </c>
      <c r="P114" s="64" t="s">
        <v>420</v>
      </c>
      <c r="AE114" s="115"/>
      <c r="AH114" s="77"/>
    </row>
    <row r="115" spans="1:34" ht="12.75" customHeight="1">
      <c r="A115" s="115"/>
      <c r="B115" s="11" t="s">
        <v>145</v>
      </c>
      <c r="C115" s="64" t="s">
        <v>421</v>
      </c>
      <c r="D115" s="11" t="s">
        <v>10</v>
      </c>
      <c r="F115" s="225" t="s">
        <v>397</v>
      </c>
      <c r="G115" s="194"/>
      <c r="H115" s="95">
        <v>2</v>
      </c>
      <c r="I115" s="95">
        <v>1</v>
      </c>
      <c r="J115" s="240" t="s">
        <v>422</v>
      </c>
      <c r="K115" s="194"/>
      <c r="L115" s="194"/>
      <c r="M115" s="78">
        <v>0</v>
      </c>
      <c r="N115" s="78">
        <v>6</v>
      </c>
      <c r="O115" s="240" t="s">
        <v>399</v>
      </c>
      <c r="P115" s="194"/>
      <c r="Q115" s="194"/>
      <c r="R115" s="78">
        <v>2</v>
      </c>
      <c r="S115" s="78">
        <v>0</v>
      </c>
      <c r="T115" s="78">
        <v>2</v>
      </c>
      <c r="U115" s="78">
        <v>4</v>
      </c>
      <c r="V115" s="11"/>
      <c r="AE115" s="115"/>
      <c r="AH115" s="77"/>
    </row>
    <row r="116" spans="1:34" ht="12.75" customHeight="1">
      <c r="A116" s="115"/>
      <c r="B116" s="11" t="s">
        <v>424</v>
      </c>
      <c r="C116" s="64" t="s">
        <v>425</v>
      </c>
      <c r="D116" s="11" t="s">
        <v>10</v>
      </c>
      <c r="F116" s="91">
        <v>1</v>
      </c>
      <c r="G116" s="91">
        <v>6</v>
      </c>
      <c r="H116" s="91">
        <v>0</v>
      </c>
      <c r="I116" s="91">
        <v>5</v>
      </c>
      <c r="AE116" s="115"/>
      <c r="AH116" s="77"/>
    </row>
    <row r="117" spans="1:34" ht="12.75" customHeight="1">
      <c r="A117" s="115"/>
      <c r="B117" s="11" t="s">
        <v>427</v>
      </c>
      <c r="C117" s="64" t="s">
        <v>428</v>
      </c>
      <c r="D117" s="11" t="s">
        <v>10</v>
      </c>
      <c r="F117" s="91">
        <v>1</v>
      </c>
      <c r="G117" s="64" t="s">
        <v>429</v>
      </c>
      <c r="P117" s="64" t="s">
        <v>430</v>
      </c>
      <c r="X117" s="64" t="s">
        <v>431</v>
      </c>
      <c r="AE117" s="115"/>
      <c r="AH117" s="77"/>
    </row>
    <row r="118" spans="1:34" ht="12.75" customHeight="1">
      <c r="A118" s="115"/>
      <c r="B118" s="11"/>
      <c r="D118" s="11"/>
      <c r="G118" s="64" t="s">
        <v>432</v>
      </c>
      <c r="P118" s="64" t="s">
        <v>433</v>
      </c>
      <c r="X118" s="64" t="s">
        <v>411</v>
      </c>
      <c r="AE118" s="115"/>
      <c r="AH118" s="77"/>
    </row>
    <row r="119" spans="1:34" ht="12.75" customHeight="1">
      <c r="A119" s="115"/>
      <c r="B119" s="11" t="s">
        <v>434</v>
      </c>
      <c r="C119" s="64" t="s">
        <v>435</v>
      </c>
      <c r="D119" s="11" t="s">
        <v>10</v>
      </c>
      <c r="F119" s="78" t="s">
        <v>468</v>
      </c>
      <c r="G119" s="78" t="s">
        <v>467</v>
      </c>
      <c r="H119" s="78" t="s">
        <v>475</v>
      </c>
      <c r="I119" s="78" t="s">
        <v>464</v>
      </c>
      <c r="J119" s="78" t="s">
        <v>466</v>
      </c>
      <c r="K119" s="78"/>
      <c r="L119" s="78" t="s">
        <v>484</v>
      </c>
      <c r="M119" s="78" t="s">
        <v>464</v>
      </c>
      <c r="N119" s="78" t="s">
        <v>465</v>
      </c>
      <c r="O119" s="78" t="s">
        <v>469</v>
      </c>
      <c r="P119" s="78" t="s">
        <v>476</v>
      </c>
      <c r="Q119" s="78"/>
      <c r="R119" s="78"/>
      <c r="S119" s="78"/>
      <c r="T119" s="78"/>
      <c r="U119" s="78"/>
      <c r="AE119" s="115"/>
      <c r="AH119" s="77"/>
    </row>
    <row r="120" spans="1:34" ht="12.75" customHeight="1">
      <c r="A120" s="115"/>
      <c r="B120" s="11" t="s">
        <v>436</v>
      </c>
      <c r="C120" s="64" t="s">
        <v>437</v>
      </c>
      <c r="D120" s="11" t="s">
        <v>10</v>
      </c>
      <c r="F120" s="78">
        <v>1</v>
      </c>
      <c r="G120" s="64" t="s">
        <v>438</v>
      </c>
      <c r="L120" s="64" t="s">
        <v>439</v>
      </c>
      <c r="T120" s="64" t="s">
        <v>440</v>
      </c>
      <c r="Y120" s="64" t="s">
        <v>441</v>
      </c>
      <c r="AE120" s="115"/>
      <c r="AH120" s="77"/>
    </row>
    <row r="121" spans="1:34" ht="12.75" customHeight="1">
      <c r="A121" s="115"/>
      <c r="B121" s="117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118"/>
      <c r="AH121" s="77"/>
    </row>
    <row r="122" spans="1:34" ht="12.75" customHeight="1">
      <c r="A122" s="115"/>
      <c r="B122" s="38" t="s">
        <v>442</v>
      </c>
      <c r="AE122" s="115"/>
      <c r="AH122" s="77"/>
    </row>
    <row r="123" spans="1:34" ht="12.75" customHeight="1">
      <c r="A123" s="115"/>
      <c r="B123" s="11" t="s">
        <v>111</v>
      </c>
      <c r="C123" s="64" t="s">
        <v>340</v>
      </c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AE123" s="115"/>
      <c r="AH123" s="77"/>
    </row>
    <row r="124" spans="1:34" ht="12.75" customHeight="1">
      <c r="A124" s="115"/>
      <c r="B124" s="11" t="s">
        <v>115</v>
      </c>
      <c r="C124" s="64" t="s">
        <v>391</v>
      </c>
      <c r="F124" s="78" t="s">
        <v>464</v>
      </c>
      <c r="G124" s="78" t="s">
        <v>476</v>
      </c>
      <c r="H124" s="78" t="s">
        <v>475</v>
      </c>
      <c r="I124" s="78" t="s">
        <v>477</v>
      </c>
      <c r="J124" s="78"/>
      <c r="K124" s="78" t="s">
        <v>463</v>
      </c>
      <c r="L124" s="78" t="s">
        <v>469</v>
      </c>
      <c r="M124" s="78" t="s">
        <v>491</v>
      </c>
      <c r="N124" s="78" t="s">
        <v>477</v>
      </c>
      <c r="O124" s="78" t="s">
        <v>486</v>
      </c>
      <c r="P124" s="78" t="s">
        <v>477</v>
      </c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115"/>
      <c r="AH124" s="77"/>
    </row>
    <row r="125" spans="1:34" ht="12.75" customHeight="1">
      <c r="A125" s="115"/>
      <c r="B125" s="11" t="s">
        <v>118</v>
      </c>
      <c r="C125" s="64" t="s">
        <v>396</v>
      </c>
      <c r="F125" s="225" t="s">
        <v>397</v>
      </c>
      <c r="G125" s="239"/>
      <c r="H125" s="91"/>
      <c r="I125" s="91"/>
      <c r="J125" s="240" t="s">
        <v>398</v>
      </c>
      <c r="K125" s="194"/>
      <c r="L125" s="239"/>
      <c r="M125" s="91"/>
      <c r="N125" s="91"/>
      <c r="O125" s="240" t="s">
        <v>399</v>
      </c>
      <c r="P125" s="194"/>
      <c r="Q125" s="239"/>
      <c r="R125" s="91"/>
      <c r="S125" s="91"/>
      <c r="T125" s="91"/>
      <c r="U125" s="91"/>
      <c r="V125" s="240" t="s">
        <v>359</v>
      </c>
      <c r="W125" s="194"/>
      <c r="X125" s="239"/>
      <c r="Y125" s="91"/>
      <c r="Z125" s="91"/>
      <c r="AA125" s="91"/>
      <c r="AE125" s="115"/>
      <c r="AH125" s="77"/>
    </row>
    <row r="126" spans="1:34" ht="12.75" customHeight="1">
      <c r="A126" s="115"/>
      <c r="B126" s="11" t="s">
        <v>121</v>
      </c>
      <c r="C126" s="64" t="s">
        <v>128</v>
      </c>
      <c r="F126" s="91"/>
      <c r="G126" s="91"/>
      <c r="AE126" s="115"/>
      <c r="AH126" s="77"/>
    </row>
    <row r="127" spans="1:34" ht="12.75" customHeight="1">
      <c r="A127" s="115"/>
      <c r="B127" s="11" t="s">
        <v>124</v>
      </c>
      <c r="C127" s="64" t="s">
        <v>345</v>
      </c>
      <c r="F127" s="246" t="s">
        <v>490</v>
      </c>
      <c r="G127" s="223"/>
      <c r="H127" s="223"/>
      <c r="I127" s="223"/>
      <c r="J127" s="223"/>
      <c r="K127" s="223"/>
      <c r="L127" s="223"/>
      <c r="M127" s="223"/>
      <c r="N127" s="223"/>
      <c r="O127" s="223"/>
      <c r="P127" s="223"/>
      <c r="Q127" s="223"/>
      <c r="R127" s="223"/>
      <c r="S127" s="223"/>
      <c r="T127" s="223"/>
      <c r="U127" s="223"/>
      <c r="V127" s="223"/>
      <c r="W127" s="223"/>
      <c r="X127" s="223"/>
      <c r="Y127" s="223"/>
      <c r="Z127" s="223"/>
      <c r="AA127" s="223"/>
      <c r="AB127" s="223"/>
      <c r="AC127" s="223"/>
      <c r="AD127" s="224"/>
      <c r="AE127" s="115"/>
      <c r="AH127" s="77"/>
    </row>
    <row r="128" spans="1:34" ht="12.75" customHeight="1">
      <c r="A128" s="115"/>
      <c r="F128" s="64" t="s">
        <v>414</v>
      </c>
      <c r="L128" s="246" t="s">
        <v>102</v>
      </c>
      <c r="M128" s="223"/>
      <c r="N128" s="223"/>
      <c r="O128" s="223"/>
      <c r="P128" s="223"/>
      <c r="Q128" s="223"/>
      <c r="R128" s="223"/>
      <c r="S128" s="224"/>
      <c r="T128" s="64" t="s">
        <v>415</v>
      </c>
      <c r="X128" s="246" t="s">
        <v>106</v>
      </c>
      <c r="Y128" s="223"/>
      <c r="Z128" s="223"/>
      <c r="AA128" s="223"/>
      <c r="AB128" s="223"/>
      <c r="AC128" s="223"/>
      <c r="AD128" s="224"/>
      <c r="AE128" s="115"/>
      <c r="AH128" s="77"/>
    </row>
    <row r="129" spans="1:34" ht="12.75" customHeight="1">
      <c r="A129" s="115"/>
      <c r="F129" s="64" t="s">
        <v>416</v>
      </c>
      <c r="L129" s="246" t="s">
        <v>104</v>
      </c>
      <c r="M129" s="223"/>
      <c r="N129" s="223"/>
      <c r="O129" s="223"/>
      <c r="P129" s="223"/>
      <c r="Q129" s="223"/>
      <c r="R129" s="223"/>
      <c r="S129" s="224"/>
      <c r="T129" s="64" t="s">
        <v>417</v>
      </c>
      <c r="X129" s="246" t="s">
        <v>418</v>
      </c>
      <c r="Y129" s="223"/>
      <c r="Z129" s="223"/>
      <c r="AA129" s="223"/>
      <c r="AB129" s="223"/>
      <c r="AC129" s="223"/>
      <c r="AD129" s="224"/>
      <c r="AE129" s="115"/>
      <c r="AH129" s="77"/>
    </row>
    <row r="130" spans="1:34" ht="12.75" customHeight="1">
      <c r="A130" s="115"/>
      <c r="B130" s="117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118"/>
      <c r="AH130" s="77"/>
    </row>
    <row r="131" spans="1:34" ht="12.75" customHeight="1">
      <c r="A131" s="115"/>
      <c r="B131" s="38" t="s">
        <v>448</v>
      </c>
      <c r="AE131" s="115"/>
      <c r="AH131" s="77"/>
    </row>
    <row r="132" spans="1:34" ht="12.75" customHeight="1">
      <c r="A132" s="115"/>
      <c r="B132" s="11" t="s">
        <v>111</v>
      </c>
      <c r="C132" s="64" t="s">
        <v>340</v>
      </c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AE132" s="115"/>
      <c r="AH132" s="77"/>
    </row>
    <row r="133" spans="1:34" ht="12.75" customHeight="1">
      <c r="A133" s="115"/>
      <c r="B133" s="11" t="s">
        <v>115</v>
      </c>
      <c r="C133" s="64" t="s">
        <v>391</v>
      </c>
      <c r="F133" s="78" t="s">
        <v>484</v>
      </c>
      <c r="G133" s="78" t="s">
        <v>464</v>
      </c>
      <c r="H133" s="78" t="s">
        <v>475</v>
      </c>
      <c r="I133" s="78" t="s">
        <v>469</v>
      </c>
      <c r="J133" s="78" t="s">
        <v>485</v>
      </c>
      <c r="K133" s="78" t="s">
        <v>469</v>
      </c>
      <c r="L133" s="78"/>
      <c r="M133" s="78"/>
      <c r="N133" s="78"/>
      <c r="O133" s="78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115"/>
      <c r="AH133" s="77"/>
    </row>
    <row r="134" spans="1:34" ht="12.75" customHeight="1">
      <c r="A134" s="115"/>
      <c r="B134" s="11" t="s">
        <v>118</v>
      </c>
      <c r="C134" s="64" t="s">
        <v>396</v>
      </c>
      <c r="F134" s="225" t="s">
        <v>397</v>
      </c>
      <c r="G134" s="239"/>
      <c r="H134" s="91"/>
      <c r="I134" s="91"/>
      <c r="J134" s="240" t="s">
        <v>398</v>
      </c>
      <c r="K134" s="194"/>
      <c r="L134" s="239"/>
      <c r="M134" s="91"/>
      <c r="N134" s="91"/>
      <c r="O134" s="240" t="s">
        <v>399</v>
      </c>
      <c r="P134" s="194"/>
      <c r="Q134" s="239"/>
      <c r="R134" s="91"/>
      <c r="S134" s="91"/>
      <c r="T134" s="91"/>
      <c r="U134" s="91"/>
      <c r="V134" s="240" t="s">
        <v>359</v>
      </c>
      <c r="W134" s="194"/>
      <c r="X134" s="239"/>
      <c r="Y134" s="91"/>
      <c r="Z134" s="91"/>
      <c r="AA134" s="91"/>
      <c r="AE134" s="115"/>
      <c r="AH134" s="77"/>
    </row>
    <row r="135" spans="1:34" ht="12.75" customHeight="1">
      <c r="A135" s="115"/>
      <c r="B135" s="11" t="s">
        <v>121</v>
      </c>
      <c r="C135" s="64" t="s">
        <v>128</v>
      </c>
      <c r="F135" s="91"/>
      <c r="G135" s="91"/>
      <c r="AE135" s="115"/>
      <c r="AH135" s="77"/>
    </row>
    <row r="136" spans="1:34" ht="12.75" customHeight="1">
      <c r="A136" s="115"/>
      <c r="B136" s="11" t="s">
        <v>124</v>
      </c>
      <c r="C136" s="64" t="s">
        <v>345</v>
      </c>
      <c r="F136" s="246"/>
      <c r="G136" s="223"/>
      <c r="H136" s="223"/>
      <c r="I136" s="223"/>
      <c r="J136" s="223"/>
      <c r="K136" s="223"/>
      <c r="L136" s="223"/>
      <c r="M136" s="223"/>
      <c r="N136" s="223"/>
      <c r="O136" s="223"/>
      <c r="P136" s="223"/>
      <c r="Q136" s="223"/>
      <c r="R136" s="223"/>
      <c r="S136" s="223"/>
      <c r="T136" s="223"/>
      <c r="U136" s="223"/>
      <c r="V136" s="223"/>
      <c r="W136" s="223"/>
      <c r="X136" s="223"/>
      <c r="Y136" s="223"/>
      <c r="Z136" s="223"/>
      <c r="AA136" s="223"/>
      <c r="AB136" s="223"/>
      <c r="AC136" s="223"/>
      <c r="AD136" s="224"/>
      <c r="AE136" s="115"/>
      <c r="AH136" s="77"/>
    </row>
    <row r="137" spans="1:34" ht="12.75" customHeight="1">
      <c r="A137" s="115"/>
      <c r="F137" s="64" t="s">
        <v>414</v>
      </c>
      <c r="L137" s="246" t="s">
        <v>102</v>
      </c>
      <c r="M137" s="223"/>
      <c r="N137" s="223"/>
      <c r="O137" s="223"/>
      <c r="P137" s="223"/>
      <c r="Q137" s="223"/>
      <c r="R137" s="223"/>
      <c r="S137" s="224"/>
      <c r="T137" s="64" t="s">
        <v>415</v>
      </c>
      <c r="X137" s="252" t="s">
        <v>106</v>
      </c>
      <c r="Y137" s="223"/>
      <c r="Z137" s="223"/>
      <c r="AA137" s="223"/>
      <c r="AB137" s="223"/>
      <c r="AC137" s="223"/>
      <c r="AD137" s="224"/>
      <c r="AE137" s="115"/>
      <c r="AH137" s="77"/>
    </row>
    <row r="138" spans="1:34" ht="12.75" customHeight="1">
      <c r="A138" s="115"/>
      <c r="F138" s="64" t="s">
        <v>416</v>
      </c>
      <c r="L138" s="246" t="s">
        <v>104</v>
      </c>
      <c r="M138" s="223"/>
      <c r="N138" s="223"/>
      <c r="O138" s="223"/>
      <c r="P138" s="223"/>
      <c r="Q138" s="223"/>
      <c r="R138" s="223"/>
      <c r="S138" s="224"/>
      <c r="T138" s="64" t="s">
        <v>417</v>
      </c>
      <c r="X138" s="252" t="s">
        <v>418</v>
      </c>
      <c r="Y138" s="223"/>
      <c r="Z138" s="223"/>
      <c r="AA138" s="223"/>
      <c r="AB138" s="223"/>
      <c r="AC138" s="223"/>
      <c r="AD138" s="224"/>
      <c r="AE138" s="115"/>
      <c r="AH138" s="77"/>
    </row>
    <row r="139" spans="1:34" ht="12.75" customHeight="1">
      <c r="A139" s="115"/>
      <c r="B139" s="117"/>
      <c r="C139" s="62"/>
      <c r="D139" s="62"/>
      <c r="E139" s="62"/>
      <c r="F139" s="62"/>
      <c r="G139" s="62"/>
      <c r="H139" s="62"/>
      <c r="I139" s="62"/>
      <c r="J139" s="62"/>
      <c r="K139" s="62"/>
      <c r="L139" s="107"/>
      <c r="M139" s="107"/>
      <c r="N139" s="107"/>
      <c r="O139" s="107"/>
      <c r="P139" s="107"/>
      <c r="Q139" s="107"/>
      <c r="R139" s="107"/>
      <c r="S139" s="107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118"/>
      <c r="AH139" s="77"/>
    </row>
    <row r="140" spans="1:34" ht="12.75" customHeight="1">
      <c r="A140" s="115"/>
      <c r="B140" s="38" t="s">
        <v>456</v>
      </c>
      <c r="AE140" s="115"/>
      <c r="AH140" s="77"/>
    </row>
    <row r="141" spans="1:34" ht="12.75" customHeight="1">
      <c r="A141" s="115"/>
      <c r="B141" s="11" t="s">
        <v>111</v>
      </c>
      <c r="C141" s="64" t="s">
        <v>340</v>
      </c>
      <c r="F141" s="95">
        <v>3</v>
      </c>
      <c r="G141" s="95">
        <v>3</v>
      </c>
      <c r="H141" s="95">
        <v>2</v>
      </c>
      <c r="I141" s="95">
        <v>7</v>
      </c>
      <c r="J141" s="95">
        <v>0</v>
      </c>
      <c r="K141" s="95">
        <v>4</v>
      </c>
      <c r="L141" s="95">
        <v>4</v>
      </c>
      <c r="M141" s="95">
        <v>3</v>
      </c>
      <c r="N141" s="95">
        <v>0</v>
      </c>
      <c r="O141" s="95">
        <v>8</v>
      </c>
      <c r="P141" s="95">
        <v>8</v>
      </c>
      <c r="Q141" s="95">
        <v>0</v>
      </c>
      <c r="R141" s="95">
        <v>0</v>
      </c>
      <c r="S141" s="95">
        <v>0</v>
      </c>
      <c r="T141" s="95">
        <v>0</v>
      </c>
      <c r="U141" s="95">
        <v>2</v>
      </c>
      <c r="V141" s="11"/>
      <c r="W141" s="11"/>
      <c r="X141" s="11"/>
      <c r="Y141" s="11"/>
      <c r="Z141" s="11"/>
      <c r="AA141" s="11"/>
      <c r="AB141" s="11"/>
      <c r="AC141" s="11"/>
      <c r="AD141" s="11"/>
      <c r="AE141" s="115"/>
      <c r="AH141" s="77"/>
    </row>
    <row r="142" spans="1:34" ht="12.75" customHeight="1">
      <c r="A142" s="115"/>
      <c r="B142" s="11" t="s">
        <v>115</v>
      </c>
      <c r="C142" s="64" t="s">
        <v>391</v>
      </c>
      <c r="F142" s="78" t="s">
        <v>465</v>
      </c>
      <c r="G142" s="78" t="s">
        <v>467</v>
      </c>
      <c r="H142" s="78" t="s">
        <v>484</v>
      </c>
      <c r="I142" s="78" t="s">
        <v>485</v>
      </c>
      <c r="J142" s="78" t="s">
        <v>464</v>
      </c>
      <c r="K142" s="78" t="s">
        <v>485</v>
      </c>
      <c r="L142" s="78" t="s">
        <v>476</v>
      </c>
      <c r="M142" s="78" t="s">
        <v>477</v>
      </c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115"/>
      <c r="AH142" s="77"/>
    </row>
    <row r="143" spans="1:34" ht="12.75" customHeight="1">
      <c r="A143" s="115"/>
      <c r="B143" s="11" t="s">
        <v>118</v>
      </c>
      <c r="C143" s="64" t="s">
        <v>396</v>
      </c>
      <c r="F143" s="225" t="s">
        <v>397</v>
      </c>
      <c r="G143" s="239"/>
      <c r="H143" s="78">
        <v>0</v>
      </c>
      <c r="I143" s="78">
        <v>1</v>
      </c>
      <c r="J143" s="240" t="s">
        <v>398</v>
      </c>
      <c r="K143" s="194"/>
      <c r="L143" s="239"/>
      <c r="M143" s="78">
        <v>0</v>
      </c>
      <c r="N143" s="78">
        <v>7</v>
      </c>
      <c r="O143" s="240" t="s">
        <v>399</v>
      </c>
      <c r="P143" s="194"/>
      <c r="Q143" s="239"/>
      <c r="R143" s="78">
        <v>1</v>
      </c>
      <c r="S143" s="78">
        <v>9</v>
      </c>
      <c r="T143" s="78">
        <v>6</v>
      </c>
      <c r="U143" s="78">
        <v>0</v>
      </c>
      <c r="V143" s="240" t="s">
        <v>359</v>
      </c>
      <c r="W143" s="194"/>
      <c r="X143" s="239"/>
      <c r="Y143" s="78">
        <v>0</v>
      </c>
      <c r="Z143" s="78">
        <v>6</v>
      </c>
      <c r="AA143" s="78">
        <v>4</v>
      </c>
      <c r="AB143" s="11"/>
      <c r="AC143" s="11"/>
      <c r="AD143" s="11"/>
      <c r="AE143" s="115"/>
      <c r="AH143" s="77"/>
    </row>
    <row r="144" spans="1:34" ht="12.75" customHeight="1">
      <c r="A144" s="115"/>
      <c r="B144" s="11" t="s">
        <v>121</v>
      </c>
      <c r="C144" s="64" t="s">
        <v>128</v>
      </c>
      <c r="F144" s="78">
        <v>0</v>
      </c>
      <c r="G144" s="78">
        <v>2</v>
      </c>
      <c r="AE144" s="115"/>
      <c r="AH144" s="77"/>
    </row>
    <row r="145" spans="1:34" ht="12.75" customHeight="1">
      <c r="A145" s="115"/>
      <c r="B145" s="11" t="s">
        <v>124</v>
      </c>
      <c r="C145" s="64" t="s">
        <v>345</v>
      </c>
      <c r="F145" s="246" t="s">
        <v>490</v>
      </c>
      <c r="G145" s="223"/>
      <c r="H145" s="223"/>
      <c r="I145" s="223"/>
      <c r="J145" s="223"/>
      <c r="K145" s="223"/>
      <c r="L145" s="223"/>
      <c r="M145" s="223"/>
      <c r="N145" s="223"/>
      <c r="O145" s="223"/>
      <c r="P145" s="223"/>
      <c r="Q145" s="223"/>
      <c r="R145" s="223"/>
      <c r="S145" s="223"/>
      <c r="T145" s="223"/>
      <c r="U145" s="223"/>
      <c r="V145" s="223"/>
      <c r="W145" s="223"/>
      <c r="X145" s="223"/>
      <c r="Y145" s="223"/>
      <c r="Z145" s="223"/>
      <c r="AA145" s="223"/>
      <c r="AB145" s="223"/>
      <c r="AC145" s="223"/>
      <c r="AD145" s="224"/>
      <c r="AE145" s="115"/>
      <c r="AH145" s="77"/>
    </row>
    <row r="146" spans="1:34" ht="12.75" customHeight="1">
      <c r="A146" s="115"/>
      <c r="F146" s="64" t="s">
        <v>414</v>
      </c>
      <c r="L146" s="246" t="s">
        <v>102</v>
      </c>
      <c r="M146" s="223"/>
      <c r="N146" s="223"/>
      <c r="O146" s="223"/>
      <c r="P146" s="223"/>
      <c r="Q146" s="223"/>
      <c r="R146" s="223"/>
      <c r="S146" s="224"/>
      <c r="T146" s="64" t="s">
        <v>415</v>
      </c>
      <c r="X146" s="246" t="s">
        <v>106</v>
      </c>
      <c r="Y146" s="223"/>
      <c r="Z146" s="223"/>
      <c r="AA146" s="223"/>
      <c r="AB146" s="223"/>
      <c r="AC146" s="223"/>
      <c r="AD146" s="224"/>
      <c r="AE146" s="115"/>
      <c r="AH146" s="77"/>
    </row>
    <row r="147" spans="1:34" ht="12.75" customHeight="1">
      <c r="A147" s="115"/>
      <c r="F147" s="64" t="s">
        <v>416</v>
      </c>
      <c r="L147" s="246" t="s">
        <v>104</v>
      </c>
      <c r="M147" s="223"/>
      <c r="N147" s="223"/>
      <c r="O147" s="223"/>
      <c r="P147" s="223"/>
      <c r="Q147" s="223"/>
      <c r="R147" s="223"/>
      <c r="S147" s="224"/>
      <c r="T147" s="64" t="s">
        <v>417</v>
      </c>
      <c r="X147" s="246" t="s">
        <v>418</v>
      </c>
      <c r="Y147" s="223"/>
      <c r="Z147" s="223"/>
      <c r="AA147" s="223"/>
      <c r="AB147" s="223"/>
      <c r="AC147" s="223"/>
      <c r="AD147" s="224"/>
      <c r="AE147" s="115"/>
      <c r="AH147" s="77"/>
    </row>
    <row r="148" spans="1:34" ht="12.75" customHeight="1">
      <c r="A148" s="115"/>
      <c r="B148" s="117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118"/>
      <c r="AH148" s="77"/>
    </row>
    <row r="149" spans="1:34" ht="12.75" customHeight="1">
      <c r="A149" s="115"/>
      <c r="B149" s="38" t="s">
        <v>457</v>
      </c>
      <c r="AE149" s="115"/>
      <c r="AH149" s="77"/>
    </row>
    <row r="150" spans="1:34" ht="12.75" customHeight="1">
      <c r="A150" s="115"/>
      <c r="B150" s="11" t="s">
        <v>111</v>
      </c>
      <c r="C150" s="64" t="s">
        <v>340</v>
      </c>
      <c r="F150" s="108">
        <v>3</v>
      </c>
      <c r="G150" s="108">
        <v>3</v>
      </c>
      <c r="H150" s="108">
        <v>2</v>
      </c>
      <c r="I150" s="108">
        <v>7</v>
      </c>
      <c r="J150" s="108">
        <v>0</v>
      </c>
      <c r="K150" s="108">
        <v>4</v>
      </c>
      <c r="L150" s="108">
        <v>1</v>
      </c>
      <c r="M150" s="108">
        <v>6</v>
      </c>
      <c r="N150" s="108">
        <v>0</v>
      </c>
      <c r="O150" s="108">
        <v>1</v>
      </c>
      <c r="P150" s="108">
        <v>7</v>
      </c>
      <c r="Q150" s="108">
        <v>5</v>
      </c>
      <c r="R150" s="108">
        <v>0</v>
      </c>
      <c r="S150" s="108">
        <v>0</v>
      </c>
      <c r="T150" s="108">
        <v>0</v>
      </c>
      <c r="U150" s="108">
        <v>5</v>
      </c>
      <c r="V150" s="11"/>
      <c r="W150" s="11"/>
      <c r="X150" s="11"/>
      <c r="Y150" s="11"/>
      <c r="Z150" s="11"/>
      <c r="AA150" s="11"/>
      <c r="AB150" s="11"/>
      <c r="AC150" s="11"/>
      <c r="AD150" s="11"/>
      <c r="AE150" s="115"/>
      <c r="AH150" s="77"/>
    </row>
    <row r="151" spans="1:34" ht="12.75" customHeight="1">
      <c r="A151" s="115"/>
      <c r="B151" s="11" t="s">
        <v>115</v>
      </c>
      <c r="C151" s="64" t="s">
        <v>391</v>
      </c>
      <c r="F151" s="78" t="s">
        <v>484</v>
      </c>
      <c r="G151" s="78" t="s">
        <v>464</v>
      </c>
      <c r="H151" s="78" t="s">
        <v>468</v>
      </c>
      <c r="I151" s="78" t="s">
        <v>486</v>
      </c>
      <c r="J151" s="78" t="s">
        <v>477</v>
      </c>
      <c r="K151" s="78" t="s">
        <v>485</v>
      </c>
      <c r="L151" s="78" t="s">
        <v>477</v>
      </c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115"/>
      <c r="AH151" s="77"/>
    </row>
    <row r="152" spans="1:34" ht="12.75" customHeight="1">
      <c r="A152" s="115"/>
      <c r="B152" s="11" t="s">
        <v>118</v>
      </c>
      <c r="C152" s="64" t="s">
        <v>396</v>
      </c>
      <c r="F152" s="253" t="s">
        <v>397</v>
      </c>
      <c r="G152" s="224"/>
      <c r="H152" s="78">
        <v>1</v>
      </c>
      <c r="I152" s="78">
        <v>6</v>
      </c>
      <c r="J152" s="242" t="s">
        <v>398</v>
      </c>
      <c r="K152" s="243"/>
      <c r="L152" s="244"/>
      <c r="M152" s="78">
        <v>0</v>
      </c>
      <c r="N152" s="78">
        <v>1</v>
      </c>
      <c r="O152" s="242" t="s">
        <v>399</v>
      </c>
      <c r="P152" s="243"/>
      <c r="Q152" s="244"/>
      <c r="R152" s="78">
        <v>1</v>
      </c>
      <c r="S152" s="78">
        <v>9</v>
      </c>
      <c r="T152" s="78">
        <v>7</v>
      </c>
      <c r="U152" s="78">
        <v>5</v>
      </c>
      <c r="V152" s="242" t="s">
        <v>359</v>
      </c>
      <c r="W152" s="243"/>
      <c r="X152" s="244"/>
      <c r="Y152" s="78">
        <v>4</v>
      </c>
      <c r="Z152" s="78">
        <v>7</v>
      </c>
      <c r="AA152" s="78"/>
      <c r="AB152" s="11"/>
      <c r="AC152" s="11"/>
      <c r="AD152" s="11"/>
      <c r="AE152" s="115"/>
      <c r="AH152" s="77"/>
    </row>
    <row r="153" spans="1:34" ht="12.75" customHeight="1">
      <c r="A153" s="115"/>
      <c r="B153" s="11" t="s">
        <v>121</v>
      </c>
      <c r="C153" s="64" t="s">
        <v>128</v>
      </c>
      <c r="F153" s="78">
        <v>8</v>
      </c>
      <c r="G153" s="78">
        <v>5</v>
      </c>
      <c r="AE153" s="115"/>
      <c r="AH153" s="77"/>
    </row>
    <row r="154" spans="1:34" ht="12.75" customHeight="1">
      <c r="A154" s="115"/>
      <c r="B154" s="11" t="s">
        <v>124</v>
      </c>
      <c r="C154" s="64" t="s">
        <v>345</v>
      </c>
      <c r="F154" s="246" t="s">
        <v>471</v>
      </c>
      <c r="G154" s="223"/>
      <c r="H154" s="223"/>
      <c r="I154" s="223"/>
      <c r="J154" s="223"/>
      <c r="K154" s="223"/>
      <c r="L154" s="223"/>
      <c r="M154" s="223"/>
      <c r="N154" s="223"/>
      <c r="O154" s="223"/>
      <c r="P154" s="223"/>
      <c r="Q154" s="223"/>
      <c r="R154" s="223"/>
      <c r="S154" s="223"/>
      <c r="T154" s="223"/>
      <c r="U154" s="223"/>
      <c r="V154" s="223"/>
      <c r="W154" s="223"/>
      <c r="X154" s="223"/>
      <c r="Y154" s="223"/>
      <c r="Z154" s="223"/>
      <c r="AA154" s="223"/>
      <c r="AB154" s="223"/>
      <c r="AC154" s="223"/>
      <c r="AD154" s="224"/>
      <c r="AE154" s="115"/>
      <c r="AH154" s="77"/>
    </row>
    <row r="155" spans="1:34" ht="12.75" customHeight="1">
      <c r="A155" s="115"/>
      <c r="F155" s="64" t="s">
        <v>414</v>
      </c>
      <c r="L155" s="246" t="s">
        <v>102</v>
      </c>
      <c r="M155" s="223"/>
      <c r="N155" s="223"/>
      <c r="O155" s="223"/>
      <c r="P155" s="223"/>
      <c r="Q155" s="223"/>
      <c r="R155" s="223"/>
      <c r="S155" s="224"/>
      <c r="T155" s="64" t="s">
        <v>415</v>
      </c>
      <c r="X155" s="246" t="s">
        <v>106</v>
      </c>
      <c r="Y155" s="223"/>
      <c r="Z155" s="223"/>
      <c r="AA155" s="223"/>
      <c r="AB155" s="223"/>
      <c r="AC155" s="223"/>
      <c r="AD155" s="224"/>
      <c r="AE155" s="115"/>
      <c r="AH155" s="77"/>
    </row>
    <row r="156" spans="1:34" ht="12.75" customHeight="1">
      <c r="A156" s="115"/>
      <c r="F156" s="64" t="s">
        <v>416</v>
      </c>
      <c r="L156" s="246" t="s">
        <v>104</v>
      </c>
      <c r="M156" s="223"/>
      <c r="N156" s="223"/>
      <c r="O156" s="223"/>
      <c r="P156" s="223"/>
      <c r="Q156" s="223"/>
      <c r="R156" s="223"/>
      <c r="S156" s="224"/>
      <c r="T156" s="64" t="s">
        <v>417</v>
      </c>
      <c r="X156" s="246" t="s">
        <v>418</v>
      </c>
      <c r="Y156" s="223"/>
      <c r="Z156" s="223"/>
      <c r="AA156" s="223"/>
      <c r="AB156" s="223"/>
      <c r="AC156" s="223"/>
      <c r="AD156" s="224"/>
      <c r="AE156" s="115"/>
      <c r="AH156" s="77"/>
    </row>
    <row r="157" spans="1:34" ht="12.75" customHeight="1">
      <c r="A157" s="115"/>
      <c r="B157" s="117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118"/>
      <c r="AH157" s="77"/>
    </row>
    <row r="158" spans="1:34" ht="12.75" customHeight="1">
      <c r="A158" s="115"/>
      <c r="B158" s="64" t="s">
        <v>472</v>
      </c>
      <c r="AE158" s="115"/>
      <c r="AH158" s="77"/>
    </row>
    <row r="159" spans="1:34" ht="12.75" customHeight="1">
      <c r="A159" s="115"/>
      <c r="B159" s="11" t="s">
        <v>111</v>
      </c>
      <c r="C159" s="64" t="s">
        <v>340</v>
      </c>
      <c r="F159" s="108">
        <v>3</v>
      </c>
      <c r="G159" s="108">
        <v>3</v>
      </c>
      <c r="H159" s="108">
        <v>2</v>
      </c>
      <c r="I159" s="108">
        <v>7</v>
      </c>
      <c r="J159" s="108">
        <v>0</v>
      </c>
      <c r="K159" s="108">
        <v>4</v>
      </c>
      <c r="L159" s="108">
        <v>1</v>
      </c>
      <c r="M159" s="108">
        <v>5</v>
      </c>
      <c r="N159" s="108" t="s">
        <v>477</v>
      </c>
      <c r="O159" s="108">
        <v>2</v>
      </c>
      <c r="P159" s="108">
        <v>7</v>
      </c>
      <c r="Q159" s="108">
        <v>9</v>
      </c>
      <c r="R159" s="108">
        <v>0</v>
      </c>
      <c r="S159" s="108">
        <v>0</v>
      </c>
      <c r="T159" s="108">
        <v>0</v>
      </c>
      <c r="U159" s="108">
        <v>4</v>
      </c>
      <c r="V159" s="11"/>
      <c r="W159" s="11"/>
      <c r="X159" s="11"/>
      <c r="Y159" s="11"/>
      <c r="Z159" s="11"/>
      <c r="AA159" s="11"/>
      <c r="AB159" s="11"/>
      <c r="AC159" s="11"/>
      <c r="AD159" s="11"/>
      <c r="AE159" s="115"/>
      <c r="AH159" s="77"/>
    </row>
    <row r="160" spans="1:34" ht="12.75" customHeight="1">
      <c r="A160" s="115"/>
      <c r="B160" s="11" t="s">
        <v>115</v>
      </c>
      <c r="C160" s="64" t="s">
        <v>391</v>
      </c>
      <c r="F160" s="108" t="s">
        <v>491</v>
      </c>
      <c r="G160" s="108" t="s">
        <v>467</v>
      </c>
      <c r="H160" s="108" t="s">
        <v>474</v>
      </c>
      <c r="I160" s="108" t="s">
        <v>469</v>
      </c>
      <c r="J160" s="108"/>
      <c r="K160" s="108" t="s">
        <v>484</v>
      </c>
      <c r="L160" s="108" t="s">
        <v>464</v>
      </c>
      <c r="M160" s="108" t="s">
        <v>485</v>
      </c>
      <c r="N160" s="108" t="s">
        <v>476</v>
      </c>
      <c r="O160" s="109" t="s">
        <v>477</v>
      </c>
      <c r="P160" s="109" t="s">
        <v>484</v>
      </c>
      <c r="Q160" s="109" t="s">
        <v>477</v>
      </c>
      <c r="R160" s="109"/>
      <c r="S160" s="109"/>
      <c r="T160" s="109"/>
      <c r="U160" s="109"/>
      <c r="V160" s="78"/>
      <c r="W160" s="78"/>
      <c r="X160" s="78"/>
      <c r="Y160" s="78"/>
      <c r="Z160" s="78"/>
      <c r="AA160" s="78"/>
      <c r="AB160" s="78"/>
      <c r="AC160" s="78"/>
      <c r="AD160" s="78"/>
      <c r="AE160" s="115"/>
      <c r="AH160" s="77"/>
    </row>
    <row r="161" spans="1:34" ht="12.75" customHeight="1">
      <c r="A161" s="115"/>
      <c r="B161" s="11" t="s">
        <v>118</v>
      </c>
      <c r="C161" s="64" t="s">
        <v>396</v>
      </c>
      <c r="F161" s="225" t="s">
        <v>397</v>
      </c>
      <c r="G161" s="239"/>
      <c r="H161" s="78">
        <v>1</v>
      </c>
      <c r="I161" s="78">
        <v>5</v>
      </c>
      <c r="J161" s="240" t="s">
        <v>398</v>
      </c>
      <c r="K161" s="194"/>
      <c r="L161" s="239"/>
      <c r="M161" s="78">
        <v>0</v>
      </c>
      <c r="N161" s="78">
        <v>2</v>
      </c>
      <c r="O161" s="240" t="s">
        <v>399</v>
      </c>
      <c r="P161" s="194"/>
      <c r="Q161" s="239"/>
      <c r="R161" s="78">
        <v>1</v>
      </c>
      <c r="S161" s="78">
        <v>9</v>
      </c>
      <c r="T161" s="78">
        <v>7</v>
      </c>
      <c r="U161" s="78">
        <v>9</v>
      </c>
      <c r="V161" s="240" t="s">
        <v>359</v>
      </c>
      <c r="W161" s="194"/>
      <c r="X161" s="239"/>
      <c r="Y161" s="78">
        <v>4</v>
      </c>
      <c r="Z161" s="78">
        <v>2</v>
      </c>
      <c r="AA161" s="78"/>
      <c r="AB161" s="11"/>
      <c r="AC161" s="11"/>
      <c r="AD161" s="11"/>
      <c r="AE161" s="115"/>
      <c r="AH161" s="77"/>
    </row>
    <row r="162" spans="1:34" ht="12.75" customHeight="1">
      <c r="A162" s="115"/>
      <c r="B162" s="11" t="s">
        <v>121</v>
      </c>
      <c r="C162" s="64" t="s">
        <v>128</v>
      </c>
      <c r="F162" s="78">
        <v>8</v>
      </c>
      <c r="G162" s="78">
        <v>5</v>
      </c>
      <c r="AE162" s="115"/>
      <c r="AH162" s="77"/>
    </row>
    <row r="163" spans="1:34" ht="12.75" customHeight="1">
      <c r="A163" s="115"/>
      <c r="B163" s="11" t="s">
        <v>124</v>
      </c>
      <c r="C163" s="64" t="s">
        <v>345</v>
      </c>
      <c r="F163" s="246" t="s">
        <v>492</v>
      </c>
      <c r="G163" s="223"/>
      <c r="H163" s="223"/>
      <c r="I163" s="223"/>
      <c r="J163" s="223"/>
      <c r="K163" s="223"/>
      <c r="L163" s="223"/>
      <c r="M163" s="223"/>
      <c r="N163" s="223"/>
      <c r="O163" s="223"/>
      <c r="P163" s="223"/>
      <c r="Q163" s="223"/>
      <c r="R163" s="223"/>
      <c r="S163" s="223"/>
      <c r="T163" s="223"/>
      <c r="U163" s="223"/>
      <c r="V163" s="223"/>
      <c r="W163" s="223"/>
      <c r="X163" s="223"/>
      <c r="Y163" s="223"/>
      <c r="Z163" s="223"/>
      <c r="AA163" s="223"/>
      <c r="AB163" s="223"/>
      <c r="AC163" s="223"/>
      <c r="AD163" s="224"/>
      <c r="AE163" s="115"/>
      <c r="AH163" s="77"/>
    </row>
    <row r="164" spans="1:34" ht="12.75" customHeight="1">
      <c r="A164" s="115"/>
      <c r="F164" s="64" t="s">
        <v>414</v>
      </c>
      <c r="L164" s="246" t="s">
        <v>102</v>
      </c>
      <c r="M164" s="223"/>
      <c r="N164" s="223"/>
      <c r="O164" s="223"/>
      <c r="P164" s="223"/>
      <c r="Q164" s="223"/>
      <c r="R164" s="223"/>
      <c r="S164" s="224"/>
      <c r="T164" s="64" t="s">
        <v>415</v>
      </c>
      <c r="X164" s="246" t="s">
        <v>106</v>
      </c>
      <c r="Y164" s="223"/>
      <c r="Z164" s="223"/>
      <c r="AA164" s="223"/>
      <c r="AB164" s="223"/>
      <c r="AC164" s="223"/>
      <c r="AD164" s="224"/>
      <c r="AE164" s="115"/>
      <c r="AH164" s="77"/>
    </row>
    <row r="165" spans="1:34" ht="12.75" customHeight="1">
      <c r="A165" s="115"/>
      <c r="F165" s="64" t="s">
        <v>416</v>
      </c>
      <c r="L165" s="246" t="s">
        <v>104</v>
      </c>
      <c r="M165" s="223"/>
      <c r="N165" s="223"/>
      <c r="O165" s="223"/>
      <c r="P165" s="223"/>
      <c r="Q165" s="223"/>
      <c r="R165" s="223"/>
      <c r="S165" s="224"/>
      <c r="T165" s="64" t="s">
        <v>417</v>
      </c>
      <c r="X165" s="246" t="s">
        <v>418</v>
      </c>
      <c r="Y165" s="223"/>
      <c r="Z165" s="223"/>
      <c r="AA165" s="223"/>
      <c r="AB165" s="223"/>
      <c r="AC165" s="223"/>
      <c r="AD165" s="224"/>
      <c r="AE165" s="115"/>
      <c r="AH165" s="77"/>
    </row>
    <row r="166" spans="1:34" ht="12.75" customHeight="1">
      <c r="A166" s="115"/>
      <c r="B166" s="119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20"/>
      <c r="AH166" s="77"/>
    </row>
    <row r="167" spans="1:34" ht="12.75" customHeight="1">
      <c r="AH167" s="77"/>
    </row>
    <row r="168" spans="1:34" ht="12.75" customHeight="1">
      <c r="U168" s="3" t="s">
        <v>493</v>
      </c>
      <c r="AH168" s="77"/>
    </row>
    <row r="169" spans="1:34" ht="12.75" customHeight="1">
      <c r="C169" s="225" t="s">
        <v>480</v>
      </c>
      <c r="D169" s="194"/>
      <c r="E169" s="194"/>
      <c r="F169" s="194"/>
      <c r="G169" s="194"/>
      <c r="AH169" s="77"/>
    </row>
    <row r="170" spans="1:34" ht="12.75" customHeight="1">
      <c r="C170" s="225" t="s">
        <v>494</v>
      </c>
      <c r="D170" s="194"/>
      <c r="E170" s="194"/>
      <c r="F170" s="194"/>
      <c r="G170" s="194"/>
      <c r="W170" s="64" t="s">
        <v>481</v>
      </c>
      <c r="AH170" s="77"/>
    </row>
    <row r="171" spans="1:34" ht="12.75" customHeight="1">
      <c r="C171" s="225" t="s">
        <v>365</v>
      </c>
      <c r="D171" s="194"/>
      <c r="E171" s="194"/>
      <c r="F171" s="194"/>
      <c r="G171" s="194"/>
      <c r="AH171" s="77"/>
    </row>
    <row r="172" spans="1:34" ht="12.75" customHeight="1">
      <c r="C172" s="11"/>
      <c r="D172" s="11"/>
      <c r="E172" s="11"/>
      <c r="F172" s="11"/>
      <c r="G172" s="11"/>
      <c r="AH172" s="77"/>
    </row>
    <row r="173" spans="1:34" ht="12.75" customHeight="1">
      <c r="AH173" s="77"/>
    </row>
    <row r="174" spans="1:34" ht="12.75" customHeight="1">
      <c r="AH174" s="77"/>
    </row>
    <row r="175" spans="1:34" ht="12.75" customHeight="1">
      <c r="C175" s="225" t="s">
        <v>366</v>
      </c>
      <c r="D175" s="194"/>
      <c r="E175" s="194"/>
      <c r="F175" s="194"/>
      <c r="G175" s="194"/>
      <c r="W175" s="3" t="s">
        <v>495</v>
      </c>
      <c r="AH175" s="77"/>
    </row>
    <row r="176" spans="1:34" ht="12.75" customHeight="1">
      <c r="C176" s="11"/>
      <c r="D176" s="11"/>
      <c r="E176" s="11"/>
      <c r="F176" s="11"/>
      <c r="G176" s="11"/>
      <c r="W176" s="3"/>
      <c r="AH176" s="77"/>
    </row>
    <row r="177" spans="1:34" ht="12.75" customHeight="1">
      <c r="C177" s="11"/>
      <c r="D177" s="11"/>
      <c r="E177" s="11"/>
      <c r="F177" s="11"/>
      <c r="G177" s="11"/>
      <c r="W177" s="3"/>
      <c r="AH177" s="77"/>
    </row>
    <row r="178" spans="1:34" ht="12.75" customHeight="1">
      <c r="Y178" s="235" t="s">
        <v>368</v>
      </c>
      <c r="Z178" s="236"/>
      <c r="AA178" s="236"/>
      <c r="AB178" s="236"/>
      <c r="AC178" s="237"/>
      <c r="AH178" s="77"/>
    </row>
    <row r="179" spans="1:34" ht="12.75" customHeight="1">
      <c r="AH179" s="77"/>
    </row>
    <row r="180" spans="1:34" ht="12.75" customHeight="1">
      <c r="B180" s="64" t="s">
        <v>369</v>
      </c>
      <c r="D180" s="11" t="s">
        <v>10</v>
      </c>
      <c r="F180" s="64" t="s">
        <v>370</v>
      </c>
      <c r="P180" s="64" t="s">
        <v>371</v>
      </c>
      <c r="R180" s="11" t="s">
        <v>10</v>
      </c>
      <c r="S180" s="64" t="s">
        <v>372</v>
      </c>
      <c r="V180" s="11" t="s">
        <v>10</v>
      </c>
      <c r="W180" s="64" t="s">
        <v>373</v>
      </c>
      <c r="AH180" s="77"/>
    </row>
    <row r="181" spans="1:34" ht="12.75" customHeight="1">
      <c r="B181" s="64" t="s">
        <v>331</v>
      </c>
      <c r="D181" s="11" t="s">
        <v>10</v>
      </c>
      <c r="F181" s="64" t="s">
        <v>374</v>
      </c>
      <c r="S181" s="64" t="s">
        <v>375</v>
      </c>
      <c r="V181" s="11" t="s">
        <v>10</v>
      </c>
      <c r="W181" s="64" t="s">
        <v>376</v>
      </c>
      <c r="AH181" s="77"/>
    </row>
    <row r="182" spans="1:34" ht="12.75" customHeight="1">
      <c r="B182" s="64" t="s">
        <v>377</v>
      </c>
      <c r="D182" s="11" t="s">
        <v>10</v>
      </c>
      <c r="F182" s="64" t="s">
        <v>378</v>
      </c>
      <c r="P182" s="62"/>
      <c r="S182" s="64" t="s">
        <v>379</v>
      </c>
      <c r="V182" s="11" t="s">
        <v>10</v>
      </c>
      <c r="W182" s="64" t="s">
        <v>380</v>
      </c>
      <c r="AH182" s="77"/>
    </row>
    <row r="183" spans="1:34" ht="12.75" customHeight="1">
      <c r="B183" s="64" t="s">
        <v>381</v>
      </c>
      <c r="D183" s="11" t="s">
        <v>10</v>
      </c>
      <c r="F183" s="78">
        <v>3</v>
      </c>
      <c r="G183" s="78">
        <v>3</v>
      </c>
      <c r="H183" s="78">
        <v>2</v>
      </c>
      <c r="I183" s="78">
        <v>7</v>
      </c>
      <c r="J183" s="78">
        <v>0</v>
      </c>
      <c r="K183" s="78">
        <v>4</v>
      </c>
      <c r="L183" s="78">
        <v>0</v>
      </c>
      <c r="M183" s="78">
        <v>2</v>
      </c>
      <c r="N183" s="78">
        <v>0</v>
      </c>
      <c r="O183" s="78">
        <v>2</v>
      </c>
      <c r="P183" s="11">
        <v>2</v>
      </c>
      <c r="Q183" s="79"/>
      <c r="S183" s="64" t="s">
        <v>382</v>
      </c>
      <c r="V183" s="11" t="s">
        <v>10</v>
      </c>
      <c r="W183" s="64" t="s">
        <v>383</v>
      </c>
      <c r="AH183" s="77"/>
    </row>
    <row r="184" spans="1:34" ht="12.75" customHeight="1">
      <c r="P184" s="59"/>
      <c r="AH184" s="77"/>
    </row>
    <row r="185" spans="1:34" ht="12.75" customHeight="1">
      <c r="B185" s="196" t="s">
        <v>334</v>
      </c>
      <c r="C185" s="194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  <c r="AA185" s="194"/>
      <c r="AB185" s="194"/>
      <c r="AC185" s="194"/>
      <c r="AD185" s="194"/>
      <c r="AH185" s="77"/>
    </row>
    <row r="186" spans="1:34" ht="12.75" customHeight="1">
      <c r="B186" s="225" t="s">
        <v>496</v>
      </c>
      <c r="C186" s="194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  <c r="AA186" s="194"/>
      <c r="AB186" s="194"/>
      <c r="AC186" s="194"/>
      <c r="AD186" s="194"/>
      <c r="AH186" s="77"/>
    </row>
    <row r="187" spans="1:34" ht="12.75" customHeight="1">
      <c r="AH187" s="77"/>
    </row>
    <row r="188" spans="1:34" ht="12.75" customHeight="1">
      <c r="B188" s="64" t="s">
        <v>385</v>
      </c>
      <c r="D188" s="11" t="s">
        <v>10</v>
      </c>
      <c r="F188" s="78" t="s">
        <v>465</v>
      </c>
      <c r="G188" s="78" t="s">
        <v>464</v>
      </c>
      <c r="H188" s="78" t="s">
        <v>468</v>
      </c>
      <c r="I188" s="78" t="s">
        <v>486</v>
      </c>
      <c r="J188" s="78" t="s">
        <v>477</v>
      </c>
      <c r="K188" s="78" t="s">
        <v>485</v>
      </c>
      <c r="L188" s="78" t="s">
        <v>477</v>
      </c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91"/>
      <c r="AD188" s="91"/>
      <c r="AH188" s="77"/>
    </row>
    <row r="189" spans="1:34" ht="12.75" customHeight="1">
      <c r="B189" s="64" t="s">
        <v>387</v>
      </c>
      <c r="D189" s="11" t="s">
        <v>10</v>
      </c>
      <c r="F189" s="78">
        <v>3</v>
      </c>
      <c r="G189" s="78">
        <v>3</v>
      </c>
      <c r="H189" s="78">
        <v>2</v>
      </c>
      <c r="I189" s="78">
        <v>7</v>
      </c>
      <c r="J189" s="78">
        <v>0</v>
      </c>
      <c r="K189" s="78">
        <v>4</v>
      </c>
      <c r="L189" s="78">
        <v>1</v>
      </c>
      <c r="M189" s="78">
        <v>5</v>
      </c>
      <c r="N189" s="78">
        <v>0</v>
      </c>
      <c r="O189" s="78">
        <v>8</v>
      </c>
      <c r="P189" s="78">
        <v>0</v>
      </c>
      <c r="Q189" s="78">
        <v>7</v>
      </c>
      <c r="R189" s="78">
        <v>0</v>
      </c>
      <c r="S189" s="78">
        <v>0</v>
      </c>
      <c r="T189" s="78">
        <v>8</v>
      </c>
      <c r="U189" s="78">
        <v>4</v>
      </c>
      <c r="V189" s="91"/>
      <c r="W189" s="91"/>
      <c r="X189" s="91"/>
      <c r="Y189" s="91"/>
      <c r="AH189" s="77"/>
    </row>
    <row r="190" spans="1:34" ht="12.75" customHeight="1"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H190" s="77"/>
    </row>
    <row r="191" spans="1:34" ht="12.75" customHeight="1">
      <c r="A191" s="115"/>
      <c r="B191" s="38" t="s">
        <v>389</v>
      </c>
      <c r="AE191" s="116"/>
      <c r="AH191" s="77"/>
    </row>
    <row r="192" spans="1:34" ht="12.75" customHeight="1">
      <c r="A192" s="115"/>
      <c r="B192" s="11" t="s">
        <v>111</v>
      </c>
      <c r="C192" s="64" t="s">
        <v>340</v>
      </c>
      <c r="D192" s="11" t="s">
        <v>10</v>
      </c>
      <c r="F192" s="95">
        <v>3</v>
      </c>
      <c r="G192" s="95">
        <v>3</v>
      </c>
      <c r="H192" s="95">
        <v>2</v>
      </c>
      <c r="I192" s="95">
        <v>7</v>
      </c>
      <c r="J192" s="95">
        <v>0</v>
      </c>
      <c r="K192" s="95">
        <v>4</v>
      </c>
      <c r="L192" s="95">
        <v>0</v>
      </c>
      <c r="M192" s="95">
        <v>2</v>
      </c>
      <c r="N192" s="95">
        <v>0</v>
      </c>
      <c r="O192" s="95">
        <v>3</v>
      </c>
      <c r="P192" s="95">
        <v>7</v>
      </c>
      <c r="Q192" s="95">
        <v>7</v>
      </c>
      <c r="R192" s="95">
        <v>0</v>
      </c>
      <c r="S192" s="95">
        <v>0</v>
      </c>
      <c r="T192" s="95">
        <v>0</v>
      </c>
      <c r="U192" s="95">
        <v>3</v>
      </c>
      <c r="AE192" s="115"/>
      <c r="AH192" s="77"/>
    </row>
    <row r="193" spans="1:34" ht="12.75" customHeight="1">
      <c r="A193" s="115"/>
      <c r="B193" s="11" t="s">
        <v>115</v>
      </c>
      <c r="C193" s="64" t="s">
        <v>391</v>
      </c>
      <c r="D193" s="11" t="s">
        <v>10</v>
      </c>
      <c r="F193" s="78" t="s">
        <v>465</v>
      </c>
      <c r="G193" s="78" t="s">
        <v>464</v>
      </c>
      <c r="H193" s="78" t="s">
        <v>468</v>
      </c>
      <c r="I193" s="78" t="s">
        <v>486</v>
      </c>
      <c r="J193" s="78" t="s">
        <v>477</v>
      </c>
      <c r="K193" s="78" t="s">
        <v>485</v>
      </c>
      <c r="L193" s="78" t="s">
        <v>477</v>
      </c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115"/>
      <c r="AH193" s="77"/>
    </row>
    <row r="194" spans="1:34" ht="12.75" customHeight="1">
      <c r="A194" s="115"/>
      <c r="B194" s="11" t="s">
        <v>118</v>
      </c>
      <c r="C194" s="64" t="s">
        <v>285</v>
      </c>
      <c r="D194" s="11" t="s">
        <v>10</v>
      </c>
      <c r="F194" s="78">
        <v>1</v>
      </c>
      <c r="G194" s="64" t="s">
        <v>393</v>
      </c>
      <c r="M194" s="55"/>
      <c r="N194" s="64" t="s">
        <v>394</v>
      </c>
      <c r="AE194" s="115"/>
      <c r="AH194" s="77"/>
    </row>
    <row r="195" spans="1:34" ht="12.75" customHeight="1">
      <c r="A195" s="115"/>
      <c r="B195" s="11" t="s">
        <v>121</v>
      </c>
      <c r="C195" s="64" t="s">
        <v>396</v>
      </c>
      <c r="D195" s="11" t="s">
        <v>10</v>
      </c>
      <c r="F195" s="225" t="s">
        <v>397</v>
      </c>
      <c r="G195" s="239"/>
      <c r="H195" s="95">
        <v>0</v>
      </c>
      <c r="I195" s="95">
        <v>2</v>
      </c>
      <c r="J195" s="240" t="s">
        <v>398</v>
      </c>
      <c r="K195" s="194"/>
      <c r="L195" s="239"/>
      <c r="M195" s="95">
        <v>0</v>
      </c>
      <c r="N195" s="95">
        <v>3</v>
      </c>
      <c r="O195" s="240" t="s">
        <v>399</v>
      </c>
      <c r="P195" s="194"/>
      <c r="Q195" s="239"/>
      <c r="R195" s="78">
        <v>1</v>
      </c>
      <c r="S195" s="78">
        <v>9</v>
      </c>
      <c r="T195" s="78">
        <v>7</v>
      </c>
      <c r="U195" s="78">
        <v>7</v>
      </c>
      <c r="V195" s="240" t="s">
        <v>359</v>
      </c>
      <c r="W195" s="194"/>
      <c r="X195" s="239"/>
      <c r="Y195" s="78">
        <v>0</v>
      </c>
      <c r="Z195" s="78">
        <v>4</v>
      </c>
      <c r="AA195" s="91">
        <v>6</v>
      </c>
      <c r="AE195" s="115"/>
      <c r="AH195" s="77"/>
    </row>
    <row r="196" spans="1:34" ht="12.75" customHeight="1">
      <c r="A196" s="115"/>
      <c r="B196" s="11" t="s">
        <v>124</v>
      </c>
      <c r="C196" s="64" t="s">
        <v>403</v>
      </c>
      <c r="D196" s="11" t="s">
        <v>10</v>
      </c>
      <c r="F196" s="78" t="s">
        <v>487</v>
      </c>
      <c r="G196" s="78" t="s">
        <v>488</v>
      </c>
      <c r="H196" s="78" t="s">
        <v>475</v>
      </c>
      <c r="I196" s="78" t="s">
        <v>464</v>
      </c>
      <c r="J196" s="78" t="s">
        <v>474</v>
      </c>
      <c r="K196" s="78" t="s">
        <v>464</v>
      </c>
      <c r="L196" s="78" t="s">
        <v>485</v>
      </c>
      <c r="M196" s="78" t="s">
        <v>489</v>
      </c>
      <c r="N196" s="78"/>
      <c r="O196" s="78"/>
      <c r="P196" s="78"/>
      <c r="Q196" s="78"/>
      <c r="R196" s="242" t="s">
        <v>404</v>
      </c>
      <c r="S196" s="243"/>
      <c r="T196" s="243"/>
      <c r="U196" s="244"/>
      <c r="V196" s="78">
        <v>3</v>
      </c>
      <c r="W196" s="78">
        <v>3</v>
      </c>
      <c r="X196" s="240" t="s">
        <v>405</v>
      </c>
      <c r="Y196" s="194"/>
      <c r="Z196" s="194"/>
      <c r="AA196" s="239"/>
      <c r="AB196" s="78">
        <v>2</v>
      </c>
      <c r="AC196" s="78">
        <v>7</v>
      </c>
      <c r="AE196" s="115"/>
      <c r="AH196" s="77"/>
    </row>
    <row r="197" spans="1:34" ht="12.75" customHeight="1">
      <c r="A197" s="115"/>
      <c r="B197" s="11" t="s">
        <v>127</v>
      </c>
      <c r="C197" s="64" t="s">
        <v>125</v>
      </c>
      <c r="D197" s="11" t="s">
        <v>10</v>
      </c>
      <c r="F197" s="55">
        <v>1</v>
      </c>
      <c r="G197" s="64" t="s">
        <v>406</v>
      </c>
      <c r="K197" s="64" t="s">
        <v>407</v>
      </c>
      <c r="O197" s="64" t="s">
        <v>408</v>
      </c>
      <c r="S197" s="64" t="s">
        <v>409</v>
      </c>
      <c r="W197" s="64" t="s">
        <v>410</v>
      </c>
      <c r="Z197" s="64" t="s">
        <v>411</v>
      </c>
      <c r="AE197" s="115"/>
      <c r="AH197" s="77"/>
    </row>
    <row r="198" spans="1:34" ht="12.75" customHeight="1">
      <c r="A198" s="115"/>
      <c r="B198" s="11" t="s">
        <v>130</v>
      </c>
      <c r="C198" s="64" t="s">
        <v>128</v>
      </c>
      <c r="D198" s="11" t="s">
        <v>10</v>
      </c>
      <c r="F198" s="95">
        <v>0</v>
      </c>
      <c r="G198" s="95">
        <v>9</v>
      </c>
      <c r="AE198" s="115"/>
      <c r="AH198" s="77"/>
    </row>
    <row r="199" spans="1:34" ht="12.75" customHeight="1">
      <c r="A199" s="115"/>
      <c r="B199" s="11" t="s">
        <v>134</v>
      </c>
      <c r="C199" s="64" t="s">
        <v>345</v>
      </c>
      <c r="D199" s="11" t="s">
        <v>10</v>
      </c>
      <c r="F199" s="246" t="s">
        <v>497</v>
      </c>
      <c r="G199" s="223"/>
      <c r="H199" s="223"/>
      <c r="I199" s="223"/>
      <c r="J199" s="223"/>
      <c r="K199" s="223"/>
      <c r="L199" s="223"/>
      <c r="M199" s="223"/>
      <c r="N199" s="223"/>
      <c r="O199" s="223"/>
      <c r="P199" s="223"/>
      <c r="Q199" s="223"/>
      <c r="R199" s="223"/>
      <c r="S199" s="223"/>
      <c r="T199" s="223"/>
      <c r="U199" s="223"/>
      <c r="V199" s="223"/>
      <c r="W199" s="223"/>
      <c r="X199" s="223"/>
      <c r="Y199" s="223"/>
      <c r="Z199" s="223"/>
      <c r="AA199" s="223"/>
      <c r="AB199" s="223"/>
      <c r="AC199" s="223"/>
      <c r="AD199" s="224"/>
      <c r="AE199" s="115"/>
      <c r="AH199" s="77"/>
    </row>
    <row r="200" spans="1:34" ht="12.75" customHeight="1">
      <c r="A200" s="115"/>
      <c r="B200" s="11"/>
      <c r="F200" s="64" t="s">
        <v>414</v>
      </c>
      <c r="L200" s="246" t="s">
        <v>102</v>
      </c>
      <c r="M200" s="223"/>
      <c r="N200" s="223"/>
      <c r="O200" s="223"/>
      <c r="P200" s="223"/>
      <c r="Q200" s="223"/>
      <c r="R200" s="223"/>
      <c r="S200" s="224"/>
      <c r="T200" s="64" t="s">
        <v>415</v>
      </c>
      <c r="X200" s="246" t="s">
        <v>106</v>
      </c>
      <c r="Y200" s="223"/>
      <c r="Z200" s="223"/>
      <c r="AA200" s="223"/>
      <c r="AB200" s="223"/>
      <c r="AC200" s="223"/>
      <c r="AD200" s="224"/>
      <c r="AE200" s="115"/>
      <c r="AH200" s="77"/>
    </row>
    <row r="201" spans="1:34" ht="12.75" customHeight="1">
      <c r="A201" s="115"/>
      <c r="B201" s="11"/>
      <c r="F201" s="64" t="s">
        <v>416</v>
      </c>
      <c r="L201" s="246" t="s">
        <v>104</v>
      </c>
      <c r="M201" s="223"/>
      <c r="N201" s="223"/>
      <c r="O201" s="223"/>
      <c r="P201" s="223"/>
      <c r="Q201" s="223"/>
      <c r="R201" s="223"/>
      <c r="S201" s="224"/>
      <c r="T201" s="64" t="s">
        <v>417</v>
      </c>
      <c r="X201" s="246" t="s">
        <v>418</v>
      </c>
      <c r="Y201" s="223"/>
      <c r="Z201" s="223"/>
      <c r="AA201" s="223"/>
      <c r="AB201" s="223"/>
      <c r="AC201" s="223"/>
      <c r="AD201" s="224"/>
      <c r="AE201" s="115"/>
      <c r="AH201" s="77"/>
    </row>
    <row r="202" spans="1:34" ht="12.75" customHeight="1">
      <c r="A202" s="115"/>
      <c r="B202" s="11" t="s">
        <v>137</v>
      </c>
      <c r="C202" s="64" t="s">
        <v>419</v>
      </c>
      <c r="D202" s="11" t="s">
        <v>10</v>
      </c>
      <c r="F202" s="91">
        <v>1</v>
      </c>
      <c r="G202" s="64" t="s">
        <v>111</v>
      </c>
      <c r="J202" s="64" t="s">
        <v>115</v>
      </c>
      <c r="M202" s="64" t="s">
        <v>118</v>
      </c>
      <c r="P202" s="64" t="s">
        <v>420</v>
      </c>
      <c r="AE202" s="115"/>
      <c r="AH202" s="77"/>
    </row>
    <row r="203" spans="1:34" ht="12.75" customHeight="1">
      <c r="A203" s="115"/>
      <c r="B203" s="11" t="s">
        <v>145</v>
      </c>
      <c r="C203" s="64" t="s">
        <v>421</v>
      </c>
      <c r="D203" s="11" t="s">
        <v>10</v>
      </c>
      <c r="F203" s="225" t="s">
        <v>397</v>
      </c>
      <c r="G203" s="194"/>
      <c r="H203" s="95">
        <v>2</v>
      </c>
      <c r="I203" s="95">
        <v>8</v>
      </c>
      <c r="J203" s="240" t="s">
        <v>422</v>
      </c>
      <c r="K203" s="194"/>
      <c r="L203" s="194"/>
      <c r="M203" s="78">
        <v>0</v>
      </c>
      <c r="N203" s="78">
        <v>5</v>
      </c>
      <c r="O203" s="240" t="s">
        <v>399</v>
      </c>
      <c r="P203" s="194"/>
      <c r="Q203" s="194"/>
      <c r="R203" s="78">
        <v>2</v>
      </c>
      <c r="S203" s="78">
        <v>0</v>
      </c>
      <c r="T203" s="78">
        <v>2</v>
      </c>
      <c r="U203" s="78">
        <v>3</v>
      </c>
      <c r="V203" s="11"/>
      <c r="AE203" s="115"/>
      <c r="AH203" s="77"/>
    </row>
    <row r="204" spans="1:34" ht="12.75" customHeight="1">
      <c r="A204" s="115"/>
      <c r="B204" s="11" t="s">
        <v>424</v>
      </c>
      <c r="C204" s="64" t="s">
        <v>425</v>
      </c>
      <c r="D204" s="11" t="s">
        <v>10</v>
      </c>
      <c r="F204" s="91">
        <v>2</v>
      </c>
      <c r="G204" s="91">
        <v>3</v>
      </c>
      <c r="H204" s="91">
        <v>3</v>
      </c>
      <c r="I204" s="91">
        <v>0</v>
      </c>
      <c r="AE204" s="115"/>
      <c r="AH204" s="77"/>
    </row>
    <row r="205" spans="1:34" ht="12.75" customHeight="1">
      <c r="A205" s="115"/>
      <c r="B205" s="11" t="s">
        <v>427</v>
      </c>
      <c r="C205" s="64" t="s">
        <v>428</v>
      </c>
      <c r="D205" s="11" t="s">
        <v>10</v>
      </c>
      <c r="F205" s="91">
        <v>1</v>
      </c>
      <c r="G205" s="64" t="s">
        <v>429</v>
      </c>
      <c r="P205" s="64" t="s">
        <v>430</v>
      </c>
      <c r="X205" s="64" t="s">
        <v>431</v>
      </c>
      <c r="AE205" s="115"/>
      <c r="AH205" s="77"/>
    </row>
    <row r="206" spans="1:34" ht="12.75" customHeight="1">
      <c r="A206" s="115"/>
      <c r="B206" s="11"/>
      <c r="D206" s="11"/>
      <c r="G206" s="64" t="s">
        <v>432</v>
      </c>
      <c r="P206" s="64" t="s">
        <v>433</v>
      </c>
      <c r="X206" s="64" t="s">
        <v>411</v>
      </c>
      <c r="AE206" s="115"/>
      <c r="AH206" s="77"/>
    </row>
    <row r="207" spans="1:34" ht="12.75" customHeight="1">
      <c r="A207" s="115"/>
      <c r="B207" s="11" t="s">
        <v>434</v>
      </c>
      <c r="C207" s="64" t="s">
        <v>435</v>
      </c>
      <c r="D207" s="11" t="s">
        <v>10</v>
      </c>
      <c r="F207" s="78" t="s">
        <v>468</v>
      </c>
      <c r="G207" s="78" t="s">
        <v>467</v>
      </c>
      <c r="H207" s="78" t="s">
        <v>475</v>
      </c>
      <c r="I207" s="78" t="s">
        <v>464</v>
      </c>
      <c r="J207" s="78" t="s">
        <v>466</v>
      </c>
      <c r="K207" s="78"/>
      <c r="L207" s="78" t="s">
        <v>484</v>
      </c>
      <c r="M207" s="78" t="s">
        <v>464</v>
      </c>
      <c r="N207" s="78" t="s">
        <v>465</v>
      </c>
      <c r="O207" s="78" t="s">
        <v>469</v>
      </c>
      <c r="P207" s="78" t="s">
        <v>476</v>
      </c>
      <c r="Q207" s="78"/>
      <c r="R207" s="78"/>
      <c r="S207" s="78"/>
      <c r="T207" s="78"/>
      <c r="U207" s="78"/>
      <c r="AE207" s="115"/>
      <c r="AH207" s="77"/>
    </row>
    <row r="208" spans="1:34" ht="12.75" customHeight="1">
      <c r="A208" s="115"/>
      <c r="B208" s="11" t="s">
        <v>436</v>
      </c>
      <c r="C208" s="64" t="s">
        <v>437</v>
      </c>
      <c r="D208" s="11" t="s">
        <v>10</v>
      </c>
      <c r="F208" s="78">
        <v>1</v>
      </c>
      <c r="G208" s="64" t="s">
        <v>438</v>
      </c>
      <c r="L208" s="64" t="s">
        <v>439</v>
      </c>
      <c r="T208" s="64" t="s">
        <v>440</v>
      </c>
      <c r="Y208" s="64" t="s">
        <v>441</v>
      </c>
      <c r="AE208" s="115"/>
      <c r="AH208" s="77"/>
    </row>
    <row r="209" spans="1:34" ht="12.75" customHeight="1">
      <c r="A209" s="115"/>
      <c r="B209" s="117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118"/>
      <c r="AH209" s="77"/>
    </row>
    <row r="210" spans="1:34" ht="12.75" customHeight="1">
      <c r="A210" s="115"/>
      <c r="B210" s="38" t="s">
        <v>442</v>
      </c>
      <c r="AE210" s="115"/>
      <c r="AH210" s="77"/>
    </row>
    <row r="211" spans="1:34" ht="12.75" customHeight="1">
      <c r="A211" s="115"/>
      <c r="B211" s="11" t="s">
        <v>111</v>
      </c>
      <c r="C211" s="64" t="s">
        <v>340</v>
      </c>
      <c r="F211" s="55">
        <v>3</v>
      </c>
      <c r="G211" s="55">
        <v>3</v>
      </c>
      <c r="H211" s="55">
        <v>2</v>
      </c>
      <c r="I211" s="55">
        <v>7</v>
      </c>
      <c r="J211" s="55">
        <v>0</v>
      </c>
      <c r="K211" s="55">
        <v>4</v>
      </c>
      <c r="L211" s="55">
        <v>0</v>
      </c>
      <c r="M211" s="55">
        <v>1</v>
      </c>
      <c r="N211" s="55">
        <v>0</v>
      </c>
      <c r="O211" s="55">
        <v>7</v>
      </c>
      <c r="P211" s="55">
        <v>5</v>
      </c>
      <c r="Q211" s="55">
        <v>2</v>
      </c>
      <c r="R211" s="55">
        <v>0</v>
      </c>
      <c r="S211" s="55">
        <v>0</v>
      </c>
      <c r="T211" s="55">
        <v>9</v>
      </c>
      <c r="U211" s="55">
        <v>4</v>
      </c>
      <c r="AE211" s="115"/>
      <c r="AH211" s="77"/>
    </row>
    <row r="212" spans="1:34" ht="12.75" customHeight="1">
      <c r="A212" s="115"/>
      <c r="B212" s="11" t="s">
        <v>115</v>
      </c>
      <c r="C212" s="64" t="s">
        <v>391</v>
      </c>
      <c r="F212" s="78" t="s">
        <v>476</v>
      </c>
      <c r="G212" s="78" t="s">
        <v>468</v>
      </c>
      <c r="H212" s="78" t="s">
        <v>469</v>
      </c>
      <c r="I212" s="78" t="s">
        <v>484</v>
      </c>
      <c r="J212" s="78" t="s">
        <v>485</v>
      </c>
      <c r="K212" s="78" t="s">
        <v>477</v>
      </c>
      <c r="L212" s="78"/>
      <c r="M212" s="78"/>
      <c r="N212" s="78"/>
      <c r="O212" s="78"/>
      <c r="P212" s="78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  <c r="AC212" s="91"/>
      <c r="AD212" s="91"/>
      <c r="AE212" s="115"/>
      <c r="AH212" s="77"/>
    </row>
    <row r="213" spans="1:34" ht="12.75" customHeight="1">
      <c r="A213" s="115"/>
      <c r="B213" s="11" t="s">
        <v>118</v>
      </c>
      <c r="C213" s="64" t="s">
        <v>396</v>
      </c>
      <c r="F213" s="225" t="s">
        <v>397</v>
      </c>
      <c r="G213" s="239"/>
      <c r="H213" s="91">
        <v>0</v>
      </c>
      <c r="I213" s="91">
        <v>1</v>
      </c>
      <c r="J213" s="240" t="s">
        <v>398</v>
      </c>
      <c r="K213" s="194"/>
      <c r="L213" s="239"/>
      <c r="M213" s="91">
        <v>0</v>
      </c>
      <c r="N213" s="91">
        <v>7</v>
      </c>
      <c r="O213" s="240" t="s">
        <v>399</v>
      </c>
      <c r="P213" s="194"/>
      <c r="Q213" s="239"/>
      <c r="R213" s="91">
        <v>1</v>
      </c>
      <c r="S213" s="91">
        <v>9</v>
      </c>
      <c r="T213" s="91">
        <v>5</v>
      </c>
      <c r="U213" s="91">
        <v>2</v>
      </c>
      <c r="V213" s="240" t="s">
        <v>359</v>
      </c>
      <c r="W213" s="194"/>
      <c r="X213" s="239"/>
      <c r="Y213" s="91">
        <v>0</v>
      </c>
      <c r="Z213" s="91">
        <v>7</v>
      </c>
      <c r="AA213" s="91">
        <v>2</v>
      </c>
      <c r="AE213" s="115"/>
      <c r="AH213" s="77"/>
    </row>
    <row r="214" spans="1:34" ht="12.75" customHeight="1">
      <c r="A214" s="115"/>
      <c r="B214" s="11" t="s">
        <v>121</v>
      </c>
      <c r="C214" s="64" t="s">
        <v>128</v>
      </c>
      <c r="F214" s="91">
        <v>0</v>
      </c>
      <c r="G214" s="91">
        <v>9</v>
      </c>
      <c r="AE214" s="115"/>
      <c r="AH214" s="77"/>
    </row>
    <row r="215" spans="1:34" ht="12.75" customHeight="1">
      <c r="A215" s="115"/>
      <c r="B215" s="11" t="s">
        <v>124</v>
      </c>
      <c r="C215" s="64" t="s">
        <v>345</v>
      </c>
      <c r="F215" s="246" t="s">
        <v>497</v>
      </c>
      <c r="G215" s="223"/>
      <c r="H215" s="223"/>
      <c r="I215" s="223"/>
      <c r="J215" s="223"/>
      <c r="K215" s="223"/>
      <c r="L215" s="223"/>
      <c r="M215" s="223"/>
      <c r="N215" s="223"/>
      <c r="O215" s="223"/>
      <c r="P215" s="223"/>
      <c r="Q215" s="223"/>
      <c r="R215" s="223"/>
      <c r="S215" s="223"/>
      <c r="T215" s="223"/>
      <c r="U215" s="223"/>
      <c r="V215" s="223"/>
      <c r="W215" s="223"/>
      <c r="X215" s="223"/>
      <c r="Y215" s="223"/>
      <c r="Z215" s="223"/>
      <c r="AA215" s="223"/>
      <c r="AB215" s="223"/>
      <c r="AC215" s="223"/>
      <c r="AD215" s="224"/>
      <c r="AE215" s="115"/>
      <c r="AH215" s="77"/>
    </row>
    <row r="216" spans="1:34" ht="12.75" customHeight="1">
      <c r="A216" s="115"/>
      <c r="F216" s="64" t="s">
        <v>414</v>
      </c>
      <c r="L216" s="246" t="s">
        <v>102</v>
      </c>
      <c r="M216" s="223"/>
      <c r="N216" s="223"/>
      <c r="O216" s="223"/>
      <c r="P216" s="223"/>
      <c r="Q216" s="223"/>
      <c r="R216" s="223"/>
      <c r="S216" s="224"/>
      <c r="T216" s="64" t="s">
        <v>415</v>
      </c>
      <c r="X216" s="246" t="s">
        <v>106</v>
      </c>
      <c r="Y216" s="223"/>
      <c r="Z216" s="223"/>
      <c r="AA216" s="223"/>
      <c r="AB216" s="223"/>
      <c r="AC216" s="223"/>
      <c r="AD216" s="224"/>
      <c r="AE216" s="115"/>
      <c r="AH216" s="77"/>
    </row>
    <row r="217" spans="1:34" ht="12.75" customHeight="1">
      <c r="A217" s="115"/>
      <c r="F217" s="64" t="s">
        <v>416</v>
      </c>
      <c r="L217" s="246" t="s">
        <v>104</v>
      </c>
      <c r="M217" s="223"/>
      <c r="N217" s="223"/>
      <c r="O217" s="223"/>
      <c r="P217" s="223"/>
      <c r="Q217" s="223"/>
      <c r="R217" s="223"/>
      <c r="S217" s="224"/>
      <c r="T217" s="64" t="s">
        <v>417</v>
      </c>
      <c r="X217" s="246" t="s">
        <v>418</v>
      </c>
      <c r="Y217" s="223"/>
      <c r="Z217" s="223"/>
      <c r="AA217" s="223"/>
      <c r="AB217" s="223"/>
      <c r="AC217" s="223"/>
      <c r="AD217" s="224"/>
      <c r="AE217" s="115"/>
      <c r="AH217" s="77"/>
    </row>
    <row r="218" spans="1:34" ht="12.75" customHeight="1">
      <c r="A218" s="115"/>
      <c r="B218" s="117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118"/>
      <c r="AH218" s="77"/>
    </row>
    <row r="219" spans="1:34" ht="12.75" customHeight="1">
      <c r="A219" s="115"/>
      <c r="B219" s="38" t="s">
        <v>448</v>
      </c>
      <c r="AE219" s="115"/>
      <c r="AH219" s="77"/>
    </row>
    <row r="220" spans="1:34" ht="12.75" customHeight="1">
      <c r="A220" s="115"/>
      <c r="B220" s="11" t="s">
        <v>111</v>
      </c>
      <c r="C220" s="64" t="s">
        <v>340</v>
      </c>
      <c r="F220" s="95">
        <v>3</v>
      </c>
      <c r="G220" s="95">
        <v>3</v>
      </c>
      <c r="H220" s="95">
        <v>2</v>
      </c>
      <c r="I220" s="95">
        <v>7</v>
      </c>
      <c r="J220" s="95">
        <v>0</v>
      </c>
      <c r="K220" s="95">
        <v>4</v>
      </c>
      <c r="L220" s="95">
        <v>0</v>
      </c>
      <c r="M220" s="95">
        <v>1</v>
      </c>
      <c r="N220" s="95">
        <v>0</v>
      </c>
      <c r="O220" s="95">
        <v>7</v>
      </c>
      <c r="P220" s="95">
        <v>5</v>
      </c>
      <c r="Q220" s="95">
        <v>2</v>
      </c>
      <c r="R220" s="95">
        <v>0</v>
      </c>
      <c r="S220" s="95">
        <v>0</v>
      </c>
      <c r="T220" s="95">
        <v>9</v>
      </c>
      <c r="U220" s="95">
        <v>4</v>
      </c>
      <c r="AE220" s="115"/>
      <c r="AH220" s="77"/>
    </row>
    <row r="221" spans="1:34" ht="12.75" customHeight="1">
      <c r="A221" s="115"/>
      <c r="B221" s="11" t="s">
        <v>115</v>
      </c>
      <c r="C221" s="64" t="s">
        <v>391</v>
      </c>
      <c r="F221" s="78" t="s">
        <v>498</v>
      </c>
      <c r="G221" s="78" t="s">
        <v>468</v>
      </c>
      <c r="H221" s="78" t="s">
        <v>469</v>
      </c>
      <c r="I221" s="78" t="s">
        <v>465</v>
      </c>
      <c r="J221" s="78" t="s">
        <v>464</v>
      </c>
      <c r="K221" s="78" t="s">
        <v>466</v>
      </c>
      <c r="L221" s="78"/>
      <c r="M221" s="78"/>
      <c r="N221" s="78"/>
      <c r="O221" s="78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  <c r="AC221" s="91"/>
      <c r="AD221" s="91"/>
      <c r="AE221" s="115"/>
      <c r="AH221" s="77"/>
    </row>
    <row r="222" spans="1:34" ht="12.75" customHeight="1">
      <c r="A222" s="115"/>
      <c r="B222" s="11" t="s">
        <v>118</v>
      </c>
      <c r="C222" s="64" t="s">
        <v>396</v>
      </c>
      <c r="F222" s="225" t="s">
        <v>397</v>
      </c>
      <c r="G222" s="239"/>
      <c r="H222" s="91">
        <v>0</v>
      </c>
      <c r="I222" s="91">
        <v>1</v>
      </c>
      <c r="J222" s="240" t="s">
        <v>398</v>
      </c>
      <c r="K222" s="194"/>
      <c r="L222" s="239"/>
      <c r="M222" s="91">
        <v>0</v>
      </c>
      <c r="N222" s="91">
        <v>7</v>
      </c>
      <c r="O222" s="240" t="s">
        <v>399</v>
      </c>
      <c r="P222" s="194"/>
      <c r="Q222" s="239"/>
      <c r="R222" s="91">
        <v>1</v>
      </c>
      <c r="S222" s="91">
        <v>9</v>
      </c>
      <c r="T222" s="91">
        <v>5</v>
      </c>
      <c r="U222" s="91">
        <v>8</v>
      </c>
      <c r="V222" s="240" t="s">
        <v>359</v>
      </c>
      <c r="W222" s="194"/>
      <c r="X222" s="239"/>
      <c r="Y222" s="91">
        <v>0</v>
      </c>
      <c r="Z222" s="91">
        <v>6</v>
      </c>
      <c r="AA222" s="91">
        <v>6</v>
      </c>
      <c r="AE222" s="115"/>
      <c r="AH222" s="77"/>
    </row>
    <row r="223" spans="1:34" ht="12.75" customHeight="1">
      <c r="A223" s="115"/>
      <c r="B223" s="11" t="s">
        <v>121</v>
      </c>
      <c r="C223" s="64" t="s">
        <v>128</v>
      </c>
      <c r="F223" s="91">
        <v>0</v>
      </c>
      <c r="G223" s="91">
        <v>2</v>
      </c>
      <c r="AE223" s="115"/>
      <c r="AH223" s="77"/>
    </row>
    <row r="224" spans="1:34" ht="12.75" customHeight="1">
      <c r="A224" s="115"/>
      <c r="B224" s="11" t="s">
        <v>124</v>
      </c>
      <c r="C224" s="64" t="s">
        <v>345</v>
      </c>
      <c r="F224" s="246" t="s">
        <v>497</v>
      </c>
      <c r="G224" s="223"/>
      <c r="H224" s="223"/>
      <c r="I224" s="223"/>
      <c r="J224" s="223"/>
      <c r="K224" s="223"/>
      <c r="L224" s="223"/>
      <c r="M224" s="223"/>
      <c r="N224" s="223"/>
      <c r="O224" s="223"/>
      <c r="P224" s="223"/>
      <c r="Q224" s="223"/>
      <c r="R224" s="223"/>
      <c r="S224" s="223"/>
      <c r="T224" s="223"/>
      <c r="U224" s="223"/>
      <c r="V224" s="223"/>
      <c r="W224" s="223"/>
      <c r="X224" s="223"/>
      <c r="Y224" s="223"/>
      <c r="Z224" s="223"/>
      <c r="AA224" s="223"/>
      <c r="AB224" s="223"/>
      <c r="AC224" s="223"/>
      <c r="AD224" s="224"/>
      <c r="AE224" s="115"/>
      <c r="AH224" s="77"/>
    </row>
    <row r="225" spans="1:34" ht="12.75" customHeight="1">
      <c r="A225" s="115"/>
      <c r="F225" s="64" t="s">
        <v>414</v>
      </c>
      <c r="L225" s="246" t="s">
        <v>102</v>
      </c>
      <c r="M225" s="223"/>
      <c r="N225" s="223"/>
      <c r="O225" s="223"/>
      <c r="P225" s="223"/>
      <c r="Q225" s="223"/>
      <c r="R225" s="223"/>
      <c r="S225" s="224"/>
      <c r="T225" s="64" t="s">
        <v>415</v>
      </c>
      <c r="X225" s="252" t="s">
        <v>106</v>
      </c>
      <c r="Y225" s="223"/>
      <c r="Z225" s="223"/>
      <c r="AA225" s="223"/>
      <c r="AB225" s="223"/>
      <c r="AC225" s="223"/>
      <c r="AD225" s="224"/>
      <c r="AE225" s="115"/>
      <c r="AH225" s="77"/>
    </row>
    <row r="226" spans="1:34" ht="12.75" customHeight="1">
      <c r="A226" s="115"/>
      <c r="F226" s="64" t="s">
        <v>416</v>
      </c>
      <c r="L226" s="246" t="s">
        <v>104</v>
      </c>
      <c r="M226" s="223"/>
      <c r="N226" s="223"/>
      <c r="O226" s="223"/>
      <c r="P226" s="223"/>
      <c r="Q226" s="223"/>
      <c r="R226" s="223"/>
      <c r="S226" s="224"/>
      <c r="T226" s="64" t="s">
        <v>417</v>
      </c>
      <c r="X226" s="252" t="s">
        <v>418</v>
      </c>
      <c r="Y226" s="223"/>
      <c r="Z226" s="223"/>
      <c r="AA226" s="223"/>
      <c r="AB226" s="223"/>
      <c r="AC226" s="223"/>
      <c r="AD226" s="224"/>
      <c r="AE226" s="115"/>
      <c r="AH226" s="77"/>
    </row>
    <row r="227" spans="1:34" ht="12.75" customHeight="1">
      <c r="A227" s="115"/>
      <c r="B227" s="117"/>
      <c r="C227" s="62"/>
      <c r="D227" s="62"/>
      <c r="E227" s="62"/>
      <c r="F227" s="62"/>
      <c r="G227" s="62"/>
      <c r="H227" s="62"/>
      <c r="I227" s="62"/>
      <c r="J227" s="62"/>
      <c r="K227" s="62"/>
      <c r="L227" s="107"/>
      <c r="M227" s="107"/>
      <c r="N227" s="107"/>
      <c r="O227" s="107"/>
      <c r="P227" s="107"/>
      <c r="Q227" s="107"/>
      <c r="R227" s="107"/>
      <c r="S227" s="107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118"/>
      <c r="AH227" s="77"/>
    </row>
    <row r="228" spans="1:34" ht="12.75" customHeight="1">
      <c r="A228" s="115"/>
      <c r="B228" s="38" t="s">
        <v>456</v>
      </c>
      <c r="AE228" s="115"/>
      <c r="AH228" s="77"/>
    </row>
    <row r="229" spans="1:34" ht="12.75" customHeight="1">
      <c r="A229" s="115"/>
      <c r="B229" s="11" t="s">
        <v>111</v>
      </c>
      <c r="C229" s="64" t="s">
        <v>340</v>
      </c>
      <c r="F229" s="95">
        <v>3</v>
      </c>
      <c r="G229" s="95">
        <v>3</v>
      </c>
      <c r="H229" s="95">
        <v>2</v>
      </c>
      <c r="I229" s="95">
        <v>7</v>
      </c>
      <c r="J229" s="95">
        <v>0</v>
      </c>
      <c r="K229" s="95">
        <v>4</v>
      </c>
      <c r="L229" s="95">
        <v>4</v>
      </c>
      <c r="M229" s="95">
        <v>3</v>
      </c>
      <c r="N229" s="95">
        <v>0</v>
      </c>
      <c r="O229" s="95">
        <v>8</v>
      </c>
      <c r="P229" s="95">
        <v>8</v>
      </c>
      <c r="Q229" s="95">
        <v>0</v>
      </c>
      <c r="R229" s="95">
        <v>0</v>
      </c>
      <c r="S229" s="95">
        <v>0</v>
      </c>
      <c r="T229" s="95">
        <v>0</v>
      </c>
      <c r="U229" s="95">
        <v>2</v>
      </c>
      <c r="V229" s="11"/>
      <c r="W229" s="11"/>
      <c r="X229" s="11"/>
      <c r="Y229" s="11"/>
      <c r="Z229" s="11"/>
      <c r="AA229" s="11"/>
      <c r="AB229" s="11"/>
      <c r="AC229" s="11"/>
      <c r="AD229" s="11"/>
      <c r="AE229" s="115"/>
      <c r="AH229" s="77"/>
    </row>
    <row r="230" spans="1:34" ht="12.75" customHeight="1">
      <c r="A230" s="115"/>
      <c r="B230" s="11" t="s">
        <v>115</v>
      </c>
      <c r="C230" s="64" t="s">
        <v>391</v>
      </c>
      <c r="F230" s="78" t="s">
        <v>465</v>
      </c>
      <c r="G230" s="78" t="s">
        <v>464</v>
      </c>
      <c r="H230" s="78" t="s">
        <v>468</v>
      </c>
      <c r="I230" s="78" t="s">
        <v>484</v>
      </c>
      <c r="J230" s="78" t="s">
        <v>469</v>
      </c>
      <c r="K230" s="78" t="s">
        <v>485</v>
      </c>
      <c r="L230" s="78" t="s">
        <v>469</v>
      </c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115"/>
      <c r="AH230" s="77"/>
    </row>
    <row r="231" spans="1:34" ht="12.75" customHeight="1">
      <c r="A231" s="115"/>
      <c r="B231" s="11" t="s">
        <v>118</v>
      </c>
      <c r="C231" s="64" t="s">
        <v>396</v>
      </c>
      <c r="F231" s="225" t="s">
        <v>397</v>
      </c>
      <c r="G231" s="239"/>
      <c r="H231" s="78">
        <v>0</v>
      </c>
      <c r="I231" s="78">
        <v>3</v>
      </c>
      <c r="J231" s="240" t="s">
        <v>398</v>
      </c>
      <c r="K231" s="194"/>
      <c r="L231" s="239"/>
      <c r="M231" s="78">
        <v>0</v>
      </c>
      <c r="N231" s="78">
        <v>8</v>
      </c>
      <c r="O231" s="240" t="s">
        <v>399</v>
      </c>
      <c r="P231" s="194"/>
      <c r="Q231" s="239"/>
      <c r="R231" s="78">
        <v>1</v>
      </c>
      <c r="S231" s="78">
        <v>9</v>
      </c>
      <c r="T231" s="78">
        <v>8</v>
      </c>
      <c r="U231" s="78">
        <v>0</v>
      </c>
      <c r="V231" s="240" t="s">
        <v>359</v>
      </c>
      <c r="W231" s="194"/>
      <c r="X231" s="239"/>
      <c r="Y231" s="78">
        <v>0</v>
      </c>
      <c r="Z231" s="78">
        <v>4</v>
      </c>
      <c r="AA231" s="78">
        <v>4</v>
      </c>
      <c r="AB231" s="11"/>
      <c r="AC231" s="11"/>
      <c r="AD231" s="11"/>
      <c r="AE231" s="115"/>
      <c r="AH231" s="77"/>
    </row>
    <row r="232" spans="1:34" ht="12.75" customHeight="1">
      <c r="A232" s="115"/>
      <c r="B232" s="11" t="s">
        <v>121</v>
      </c>
      <c r="C232" s="64" t="s">
        <v>128</v>
      </c>
      <c r="F232" s="78">
        <v>0</v>
      </c>
      <c r="G232" s="78">
        <v>2</v>
      </c>
      <c r="AE232" s="115"/>
      <c r="AH232" s="77"/>
    </row>
    <row r="233" spans="1:34" ht="12.75" customHeight="1">
      <c r="A233" s="115"/>
      <c r="B233" s="11" t="s">
        <v>124</v>
      </c>
      <c r="C233" s="64" t="s">
        <v>345</v>
      </c>
      <c r="F233" s="246" t="s">
        <v>497</v>
      </c>
      <c r="G233" s="223"/>
      <c r="H233" s="223"/>
      <c r="I233" s="223"/>
      <c r="J233" s="223"/>
      <c r="K233" s="223"/>
      <c r="L233" s="223"/>
      <c r="M233" s="223"/>
      <c r="N233" s="223"/>
      <c r="O233" s="223"/>
      <c r="P233" s="223"/>
      <c r="Q233" s="223"/>
      <c r="R233" s="223"/>
      <c r="S233" s="223"/>
      <c r="T233" s="223"/>
      <c r="U233" s="223"/>
      <c r="V233" s="223"/>
      <c r="W233" s="223"/>
      <c r="X233" s="223"/>
      <c r="Y233" s="223"/>
      <c r="Z233" s="223"/>
      <c r="AA233" s="223"/>
      <c r="AB233" s="223"/>
      <c r="AC233" s="223"/>
      <c r="AD233" s="224"/>
      <c r="AE233" s="115"/>
      <c r="AH233" s="77"/>
    </row>
    <row r="234" spans="1:34" ht="12.75" customHeight="1">
      <c r="A234" s="115"/>
      <c r="F234" s="64" t="s">
        <v>414</v>
      </c>
      <c r="L234" s="246" t="s">
        <v>102</v>
      </c>
      <c r="M234" s="223"/>
      <c r="N234" s="223"/>
      <c r="O234" s="223"/>
      <c r="P234" s="223"/>
      <c r="Q234" s="223"/>
      <c r="R234" s="223"/>
      <c r="S234" s="224"/>
      <c r="T234" s="64" t="s">
        <v>415</v>
      </c>
      <c r="X234" s="246" t="s">
        <v>106</v>
      </c>
      <c r="Y234" s="223"/>
      <c r="Z234" s="223"/>
      <c r="AA234" s="223"/>
      <c r="AB234" s="223"/>
      <c r="AC234" s="223"/>
      <c r="AD234" s="224"/>
      <c r="AE234" s="115"/>
      <c r="AH234" s="77"/>
    </row>
    <row r="235" spans="1:34" ht="12.75" customHeight="1">
      <c r="A235" s="115"/>
      <c r="F235" s="64" t="s">
        <v>416</v>
      </c>
      <c r="L235" s="246" t="s">
        <v>104</v>
      </c>
      <c r="M235" s="223"/>
      <c r="N235" s="223"/>
      <c r="O235" s="223"/>
      <c r="P235" s="223"/>
      <c r="Q235" s="223"/>
      <c r="R235" s="223"/>
      <c r="S235" s="224"/>
      <c r="T235" s="64" t="s">
        <v>417</v>
      </c>
      <c r="X235" s="246" t="s">
        <v>418</v>
      </c>
      <c r="Y235" s="223"/>
      <c r="Z235" s="223"/>
      <c r="AA235" s="223"/>
      <c r="AB235" s="223"/>
      <c r="AC235" s="223"/>
      <c r="AD235" s="224"/>
      <c r="AE235" s="115"/>
      <c r="AH235" s="77"/>
    </row>
    <row r="236" spans="1:34" ht="12.75" customHeight="1">
      <c r="A236" s="115"/>
      <c r="B236" s="117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118"/>
      <c r="AH236" s="77"/>
    </row>
    <row r="237" spans="1:34" ht="12.75" customHeight="1">
      <c r="A237" s="115"/>
      <c r="B237" s="38" t="s">
        <v>457</v>
      </c>
      <c r="AE237" s="115"/>
      <c r="AH237" s="77"/>
    </row>
    <row r="238" spans="1:34" ht="12.75" customHeight="1">
      <c r="A238" s="115"/>
      <c r="B238" s="11" t="s">
        <v>111</v>
      </c>
      <c r="C238" s="64" t="s">
        <v>340</v>
      </c>
      <c r="F238" s="108">
        <v>3</v>
      </c>
      <c r="G238" s="108">
        <v>3</v>
      </c>
      <c r="H238" s="108">
        <v>2</v>
      </c>
      <c r="I238" s="108">
        <v>7</v>
      </c>
      <c r="J238" s="108">
        <v>0</v>
      </c>
      <c r="K238" s="108">
        <v>4</v>
      </c>
      <c r="L238" s="108">
        <v>1</v>
      </c>
      <c r="M238" s="108">
        <v>6</v>
      </c>
      <c r="N238" s="108">
        <v>0</v>
      </c>
      <c r="O238" s="108">
        <v>1</v>
      </c>
      <c r="P238" s="108">
        <v>7</v>
      </c>
      <c r="Q238" s="108">
        <v>5</v>
      </c>
      <c r="R238" s="108">
        <v>0</v>
      </c>
      <c r="S238" s="108">
        <v>0</v>
      </c>
      <c r="T238" s="108">
        <v>0</v>
      </c>
      <c r="U238" s="108">
        <v>5</v>
      </c>
      <c r="V238" s="11"/>
      <c r="W238" s="11"/>
      <c r="X238" s="11"/>
      <c r="Y238" s="11"/>
      <c r="Z238" s="11"/>
      <c r="AA238" s="11"/>
      <c r="AB238" s="11"/>
      <c r="AC238" s="11"/>
      <c r="AD238" s="11"/>
      <c r="AE238" s="115"/>
      <c r="AH238" s="77"/>
    </row>
    <row r="239" spans="1:34" ht="12.75" customHeight="1">
      <c r="A239" s="115"/>
      <c r="B239" s="11" t="s">
        <v>115</v>
      </c>
      <c r="C239" s="64" t="s">
        <v>391</v>
      </c>
      <c r="F239" s="78" t="s">
        <v>484</v>
      </c>
      <c r="G239" s="78" t="s">
        <v>464</v>
      </c>
      <c r="H239" s="78" t="s">
        <v>468</v>
      </c>
      <c r="I239" s="78" t="s">
        <v>486</v>
      </c>
      <c r="J239" s="78" t="s">
        <v>477</v>
      </c>
      <c r="K239" s="78" t="s">
        <v>485</v>
      </c>
      <c r="L239" s="78" t="s">
        <v>477</v>
      </c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115"/>
      <c r="AH239" s="77"/>
    </row>
    <row r="240" spans="1:34" ht="12.75" customHeight="1">
      <c r="A240" s="115"/>
      <c r="B240" s="11" t="s">
        <v>118</v>
      </c>
      <c r="C240" s="64" t="s">
        <v>396</v>
      </c>
      <c r="F240" s="253" t="s">
        <v>397</v>
      </c>
      <c r="G240" s="224"/>
      <c r="H240" s="78">
        <v>1</v>
      </c>
      <c r="I240" s="78">
        <v>6</v>
      </c>
      <c r="J240" s="242" t="s">
        <v>398</v>
      </c>
      <c r="K240" s="243"/>
      <c r="L240" s="244"/>
      <c r="M240" s="78">
        <v>0</v>
      </c>
      <c r="N240" s="78">
        <v>1</v>
      </c>
      <c r="O240" s="242" t="s">
        <v>399</v>
      </c>
      <c r="P240" s="243"/>
      <c r="Q240" s="244"/>
      <c r="R240" s="78">
        <v>1</v>
      </c>
      <c r="S240" s="78">
        <v>9</v>
      </c>
      <c r="T240" s="78">
        <v>7</v>
      </c>
      <c r="U240" s="78">
        <v>5</v>
      </c>
      <c r="V240" s="242" t="s">
        <v>359</v>
      </c>
      <c r="W240" s="243"/>
      <c r="X240" s="244"/>
      <c r="Y240" s="78">
        <v>4</v>
      </c>
      <c r="Z240" s="78">
        <v>7</v>
      </c>
      <c r="AA240" s="78"/>
      <c r="AB240" s="11"/>
      <c r="AC240" s="11"/>
      <c r="AD240" s="11"/>
      <c r="AE240" s="115"/>
      <c r="AH240" s="77"/>
    </row>
    <row r="241" spans="1:34" ht="12.75" customHeight="1">
      <c r="A241" s="115"/>
      <c r="B241" s="11" t="s">
        <v>121</v>
      </c>
      <c r="C241" s="64" t="s">
        <v>128</v>
      </c>
      <c r="F241" s="78">
        <v>8</v>
      </c>
      <c r="G241" s="78">
        <v>5</v>
      </c>
      <c r="AE241" s="115"/>
      <c r="AH241" s="77"/>
    </row>
    <row r="242" spans="1:34" ht="12.75" customHeight="1">
      <c r="A242" s="115"/>
      <c r="B242" s="11" t="s">
        <v>124</v>
      </c>
      <c r="C242" s="64" t="s">
        <v>345</v>
      </c>
      <c r="F242" s="246" t="s">
        <v>471</v>
      </c>
      <c r="G242" s="223"/>
      <c r="H242" s="223"/>
      <c r="I242" s="223"/>
      <c r="J242" s="223"/>
      <c r="K242" s="223"/>
      <c r="L242" s="223"/>
      <c r="M242" s="223"/>
      <c r="N242" s="223"/>
      <c r="O242" s="223"/>
      <c r="P242" s="223"/>
      <c r="Q242" s="223"/>
      <c r="R242" s="223"/>
      <c r="S242" s="223"/>
      <c r="T242" s="223"/>
      <c r="U242" s="223"/>
      <c r="V242" s="223"/>
      <c r="W242" s="223"/>
      <c r="X242" s="223"/>
      <c r="Y242" s="223"/>
      <c r="Z242" s="223"/>
      <c r="AA242" s="223"/>
      <c r="AB242" s="223"/>
      <c r="AC242" s="223"/>
      <c r="AD242" s="224"/>
      <c r="AE242" s="115"/>
      <c r="AH242" s="77"/>
    </row>
    <row r="243" spans="1:34" ht="12.75" customHeight="1">
      <c r="A243" s="115"/>
      <c r="F243" s="64" t="s">
        <v>414</v>
      </c>
      <c r="L243" s="246" t="s">
        <v>102</v>
      </c>
      <c r="M243" s="223"/>
      <c r="N243" s="223"/>
      <c r="O243" s="223"/>
      <c r="P243" s="223"/>
      <c r="Q243" s="223"/>
      <c r="R243" s="223"/>
      <c r="S243" s="224"/>
      <c r="T243" s="64" t="s">
        <v>415</v>
      </c>
      <c r="X243" s="246" t="s">
        <v>106</v>
      </c>
      <c r="Y243" s="223"/>
      <c r="Z243" s="223"/>
      <c r="AA243" s="223"/>
      <c r="AB243" s="223"/>
      <c r="AC243" s="223"/>
      <c r="AD243" s="224"/>
      <c r="AE243" s="115"/>
      <c r="AH243" s="77"/>
    </row>
    <row r="244" spans="1:34" ht="12.75" customHeight="1">
      <c r="A244" s="115"/>
      <c r="F244" s="64" t="s">
        <v>416</v>
      </c>
      <c r="L244" s="246" t="s">
        <v>104</v>
      </c>
      <c r="M244" s="223"/>
      <c r="N244" s="223"/>
      <c r="O244" s="223"/>
      <c r="P244" s="223"/>
      <c r="Q244" s="223"/>
      <c r="R244" s="223"/>
      <c r="S244" s="224"/>
      <c r="T244" s="64" t="s">
        <v>417</v>
      </c>
      <c r="X244" s="246" t="s">
        <v>418</v>
      </c>
      <c r="Y244" s="223"/>
      <c r="Z244" s="223"/>
      <c r="AA244" s="223"/>
      <c r="AB244" s="223"/>
      <c r="AC244" s="223"/>
      <c r="AD244" s="224"/>
      <c r="AE244" s="115"/>
      <c r="AH244" s="77"/>
    </row>
    <row r="245" spans="1:34" ht="12.75" customHeight="1">
      <c r="A245" s="115"/>
      <c r="B245" s="117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118"/>
      <c r="AH245" s="77"/>
    </row>
    <row r="246" spans="1:34" ht="12.75" customHeight="1">
      <c r="A246" s="115"/>
      <c r="B246" s="64" t="s">
        <v>472</v>
      </c>
      <c r="AE246" s="115"/>
      <c r="AH246" s="77"/>
    </row>
    <row r="247" spans="1:34" ht="12.75" customHeight="1">
      <c r="A247" s="115"/>
      <c r="B247" s="11" t="s">
        <v>111</v>
      </c>
      <c r="C247" s="64" t="s">
        <v>340</v>
      </c>
      <c r="F247" s="108">
        <v>3</v>
      </c>
      <c r="G247" s="108">
        <v>3</v>
      </c>
      <c r="H247" s="108">
        <v>2</v>
      </c>
      <c r="I247" s="108">
        <v>7</v>
      </c>
      <c r="J247" s="108">
        <v>0</v>
      </c>
      <c r="K247" s="108">
        <v>4</v>
      </c>
      <c r="L247" s="108">
        <v>1</v>
      </c>
      <c r="M247" s="108">
        <v>5</v>
      </c>
      <c r="N247" s="108" t="s">
        <v>477</v>
      </c>
      <c r="O247" s="108">
        <v>2</v>
      </c>
      <c r="P247" s="108">
        <v>7</v>
      </c>
      <c r="Q247" s="108">
        <v>9</v>
      </c>
      <c r="R247" s="108">
        <v>0</v>
      </c>
      <c r="S247" s="108">
        <v>0</v>
      </c>
      <c r="T247" s="108">
        <v>0</v>
      </c>
      <c r="U247" s="108">
        <v>4</v>
      </c>
      <c r="V247" s="11"/>
      <c r="W247" s="11"/>
      <c r="X247" s="11"/>
      <c r="Y247" s="11"/>
      <c r="Z247" s="11"/>
      <c r="AA247" s="11"/>
      <c r="AB247" s="11"/>
      <c r="AC247" s="11"/>
      <c r="AD247" s="11"/>
      <c r="AE247" s="115"/>
      <c r="AH247" s="77"/>
    </row>
    <row r="248" spans="1:34" ht="12.75" customHeight="1">
      <c r="A248" s="115"/>
      <c r="B248" s="11" t="s">
        <v>115</v>
      </c>
      <c r="C248" s="64" t="s">
        <v>391</v>
      </c>
      <c r="F248" s="108" t="s">
        <v>491</v>
      </c>
      <c r="G248" s="108" t="s">
        <v>467</v>
      </c>
      <c r="H248" s="108" t="s">
        <v>474</v>
      </c>
      <c r="I248" s="108" t="s">
        <v>469</v>
      </c>
      <c r="J248" s="108"/>
      <c r="K248" s="108" t="s">
        <v>484</v>
      </c>
      <c r="L248" s="108" t="s">
        <v>464</v>
      </c>
      <c r="M248" s="108" t="s">
        <v>485</v>
      </c>
      <c r="N248" s="108" t="s">
        <v>476</v>
      </c>
      <c r="O248" s="109" t="s">
        <v>477</v>
      </c>
      <c r="P248" s="109" t="s">
        <v>484</v>
      </c>
      <c r="Q248" s="109" t="s">
        <v>477</v>
      </c>
      <c r="R248" s="109"/>
      <c r="S248" s="109"/>
      <c r="T248" s="109"/>
      <c r="U248" s="109"/>
      <c r="V248" s="78"/>
      <c r="W248" s="78"/>
      <c r="X248" s="78"/>
      <c r="Y248" s="78"/>
      <c r="Z248" s="78"/>
      <c r="AA248" s="78"/>
      <c r="AB248" s="78"/>
      <c r="AC248" s="78"/>
      <c r="AD248" s="78"/>
      <c r="AE248" s="115"/>
      <c r="AH248" s="77"/>
    </row>
    <row r="249" spans="1:34" ht="12.75" customHeight="1">
      <c r="A249" s="115"/>
      <c r="B249" s="11" t="s">
        <v>118</v>
      </c>
      <c r="C249" s="64" t="s">
        <v>396</v>
      </c>
      <c r="F249" s="225" t="s">
        <v>397</v>
      </c>
      <c r="G249" s="239"/>
      <c r="H249" s="78">
        <v>1</v>
      </c>
      <c r="I249" s="78">
        <v>5</v>
      </c>
      <c r="J249" s="240" t="s">
        <v>398</v>
      </c>
      <c r="K249" s="194"/>
      <c r="L249" s="239"/>
      <c r="M249" s="78">
        <v>0</v>
      </c>
      <c r="N249" s="78">
        <v>2</v>
      </c>
      <c r="O249" s="240" t="s">
        <v>399</v>
      </c>
      <c r="P249" s="194"/>
      <c r="Q249" s="239"/>
      <c r="R249" s="78">
        <v>1</v>
      </c>
      <c r="S249" s="78">
        <v>9</v>
      </c>
      <c r="T249" s="78">
        <v>7</v>
      </c>
      <c r="U249" s="78">
        <v>9</v>
      </c>
      <c r="V249" s="240" t="s">
        <v>359</v>
      </c>
      <c r="W249" s="194"/>
      <c r="X249" s="239"/>
      <c r="Y249" s="78">
        <v>4</v>
      </c>
      <c r="Z249" s="78">
        <v>2</v>
      </c>
      <c r="AA249" s="78"/>
      <c r="AB249" s="11"/>
      <c r="AC249" s="11"/>
      <c r="AD249" s="11"/>
      <c r="AE249" s="115"/>
      <c r="AH249" s="77"/>
    </row>
    <row r="250" spans="1:34" ht="12.75" customHeight="1">
      <c r="A250" s="115"/>
      <c r="B250" s="11" t="s">
        <v>121</v>
      </c>
      <c r="C250" s="64" t="s">
        <v>128</v>
      </c>
      <c r="F250" s="78">
        <v>8</v>
      </c>
      <c r="G250" s="78">
        <v>5</v>
      </c>
      <c r="AE250" s="115"/>
      <c r="AH250" s="77"/>
    </row>
    <row r="251" spans="1:34" ht="12.75" customHeight="1">
      <c r="A251" s="115"/>
      <c r="B251" s="11" t="s">
        <v>124</v>
      </c>
      <c r="C251" s="64" t="s">
        <v>345</v>
      </c>
      <c r="F251" s="246" t="s">
        <v>492</v>
      </c>
      <c r="G251" s="223"/>
      <c r="H251" s="223"/>
      <c r="I251" s="223"/>
      <c r="J251" s="223"/>
      <c r="K251" s="223"/>
      <c r="L251" s="223"/>
      <c r="M251" s="223"/>
      <c r="N251" s="223"/>
      <c r="O251" s="223"/>
      <c r="P251" s="223"/>
      <c r="Q251" s="223"/>
      <c r="R251" s="223"/>
      <c r="S251" s="223"/>
      <c r="T251" s="223"/>
      <c r="U251" s="223"/>
      <c r="V251" s="223"/>
      <c r="W251" s="223"/>
      <c r="X251" s="223"/>
      <c r="Y251" s="223"/>
      <c r="Z251" s="223"/>
      <c r="AA251" s="223"/>
      <c r="AB251" s="223"/>
      <c r="AC251" s="223"/>
      <c r="AD251" s="224"/>
      <c r="AE251" s="115"/>
      <c r="AH251" s="77"/>
    </row>
    <row r="252" spans="1:34" ht="12.75" customHeight="1">
      <c r="A252" s="115"/>
      <c r="F252" s="64" t="s">
        <v>414</v>
      </c>
      <c r="L252" s="246" t="s">
        <v>102</v>
      </c>
      <c r="M252" s="223"/>
      <c r="N252" s="223"/>
      <c r="O252" s="223"/>
      <c r="P252" s="223"/>
      <c r="Q252" s="223"/>
      <c r="R252" s="223"/>
      <c r="S252" s="224"/>
      <c r="T252" s="64" t="s">
        <v>415</v>
      </c>
      <c r="X252" s="246" t="s">
        <v>106</v>
      </c>
      <c r="Y252" s="223"/>
      <c r="Z252" s="223"/>
      <c r="AA252" s="223"/>
      <c r="AB252" s="223"/>
      <c r="AC252" s="223"/>
      <c r="AD252" s="224"/>
      <c r="AE252" s="115"/>
      <c r="AH252" s="77"/>
    </row>
    <row r="253" spans="1:34" ht="12.75" customHeight="1">
      <c r="A253" s="115"/>
      <c r="F253" s="64" t="s">
        <v>416</v>
      </c>
      <c r="L253" s="246" t="s">
        <v>104</v>
      </c>
      <c r="M253" s="223"/>
      <c r="N253" s="223"/>
      <c r="O253" s="223"/>
      <c r="P253" s="223"/>
      <c r="Q253" s="223"/>
      <c r="R253" s="223"/>
      <c r="S253" s="224"/>
      <c r="T253" s="64" t="s">
        <v>417</v>
      </c>
      <c r="X253" s="246" t="s">
        <v>418</v>
      </c>
      <c r="Y253" s="223"/>
      <c r="Z253" s="223"/>
      <c r="AA253" s="223"/>
      <c r="AB253" s="223"/>
      <c r="AC253" s="223"/>
      <c r="AD253" s="224"/>
      <c r="AE253" s="115"/>
      <c r="AH253" s="77"/>
    </row>
    <row r="254" spans="1:34" ht="12.75" customHeight="1">
      <c r="A254" s="115"/>
      <c r="B254" s="119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/>
      <c r="AC254" s="114"/>
      <c r="AD254" s="114"/>
      <c r="AE254" s="120"/>
      <c r="AH254" s="77"/>
    </row>
    <row r="255" spans="1:34" ht="12.75" customHeight="1">
      <c r="AH255" s="77"/>
    </row>
    <row r="256" spans="1:34" ht="12.75" customHeight="1">
      <c r="U256" s="3" t="s">
        <v>493</v>
      </c>
      <c r="AH256" s="77"/>
    </row>
    <row r="257" spans="2:34" ht="12.75" customHeight="1">
      <c r="C257" s="225" t="s">
        <v>480</v>
      </c>
      <c r="D257" s="194"/>
      <c r="E257" s="194"/>
      <c r="F257" s="194"/>
      <c r="G257" s="194"/>
      <c r="AH257" s="77"/>
    </row>
    <row r="258" spans="2:34" ht="12.75" customHeight="1">
      <c r="C258" s="225" t="s">
        <v>494</v>
      </c>
      <c r="D258" s="194"/>
      <c r="E258" s="194"/>
      <c r="F258" s="194"/>
      <c r="G258" s="194"/>
      <c r="W258" s="64" t="s">
        <v>481</v>
      </c>
      <c r="AH258" s="77"/>
    </row>
    <row r="259" spans="2:34" ht="12.75" customHeight="1">
      <c r="C259" s="225" t="s">
        <v>365</v>
      </c>
      <c r="D259" s="194"/>
      <c r="E259" s="194"/>
      <c r="F259" s="194"/>
      <c r="G259" s="194"/>
      <c r="AH259" s="77"/>
    </row>
    <row r="260" spans="2:34" ht="12.75" customHeight="1">
      <c r="C260" s="11"/>
      <c r="D260" s="11"/>
      <c r="E260" s="11"/>
      <c r="F260" s="11"/>
      <c r="G260" s="11"/>
      <c r="AH260" s="77"/>
    </row>
    <row r="261" spans="2:34" ht="12.75" customHeight="1">
      <c r="AH261" s="77"/>
    </row>
    <row r="262" spans="2:34" ht="12.75" customHeight="1">
      <c r="AH262" s="77"/>
    </row>
    <row r="263" spans="2:34" ht="12.75" customHeight="1">
      <c r="C263" s="225" t="s">
        <v>366</v>
      </c>
      <c r="D263" s="194"/>
      <c r="E263" s="194"/>
      <c r="F263" s="194"/>
      <c r="G263" s="194"/>
      <c r="W263" s="3" t="s">
        <v>495</v>
      </c>
      <c r="AH263" s="77"/>
    </row>
    <row r="264" spans="2:34" ht="12.75" customHeight="1">
      <c r="C264" s="11"/>
      <c r="D264" s="11"/>
      <c r="E264" s="11"/>
      <c r="F264" s="11"/>
      <c r="G264" s="11"/>
      <c r="W264" s="3"/>
      <c r="AH264" s="77"/>
    </row>
    <row r="265" spans="2:34" ht="12.75" customHeight="1">
      <c r="C265" s="11"/>
      <c r="D265" s="11"/>
      <c r="E265" s="11"/>
      <c r="F265" s="11"/>
      <c r="G265" s="11"/>
      <c r="W265" s="3"/>
      <c r="AH265" s="77"/>
    </row>
    <row r="266" spans="2:34" ht="12.75" customHeight="1">
      <c r="Y266" s="235" t="s">
        <v>368</v>
      </c>
      <c r="Z266" s="236"/>
      <c r="AA266" s="236"/>
      <c r="AB266" s="236"/>
      <c r="AC266" s="237"/>
      <c r="AF266" s="64" t="s">
        <v>391</v>
      </c>
      <c r="AG266" s="11" t="s">
        <v>10</v>
      </c>
      <c r="AH266" s="77"/>
    </row>
    <row r="267" spans="2:34" ht="12.75" customHeight="1">
      <c r="AF267" s="64" t="s">
        <v>285</v>
      </c>
      <c r="AG267" s="11" t="s">
        <v>10</v>
      </c>
      <c r="AH267" s="77"/>
    </row>
    <row r="268" spans="2:34" ht="12.75" customHeight="1">
      <c r="B268" s="64" t="s">
        <v>369</v>
      </c>
      <c r="D268" s="11" t="s">
        <v>10</v>
      </c>
      <c r="F268" s="64" t="s">
        <v>370</v>
      </c>
      <c r="P268" s="64" t="s">
        <v>371</v>
      </c>
      <c r="R268" s="11" t="s">
        <v>10</v>
      </c>
      <c r="S268" s="64" t="s">
        <v>372</v>
      </c>
      <c r="V268" s="11" t="s">
        <v>10</v>
      </c>
      <c r="W268" s="64" t="s">
        <v>373</v>
      </c>
      <c r="AF268" s="64" t="s">
        <v>396</v>
      </c>
      <c r="AG268" s="11" t="s">
        <v>10</v>
      </c>
      <c r="AH268" s="77"/>
    </row>
    <row r="269" spans="2:34" ht="12.75" customHeight="1">
      <c r="B269" s="64" t="s">
        <v>331</v>
      </c>
      <c r="D269" s="11" t="s">
        <v>10</v>
      </c>
      <c r="F269" s="64" t="s">
        <v>374</v>
      </c>
      <c r="S269" s="64" t="s">
        <v>375</v>
      </c>
      <c r="V269" s="11" t="s">
        <v>10</v>
      </c>
      <c r="W269" s="64" t="s">
        <v>376</v>
      </c>
      <c r="AF269" s="64" t="s">
        <v>403</v>
      </c>
      <c r="AG269" s="11" t="s">
        <v>10</v>
      </c>
      <c r="AH269" s="77"/>
    </row>
    <row r="270" spans="2:34" ht="12.75" customHeight="1">
      <c r="B270" s="64" t="s">
        <v>377</v>
      </c>
      <c r="D270" s="11" t="s">
        <v>10</v>
      </c>
      <c r="F270" s="64" t="s">
        <v>378</v>
      </c>
      <c r="P270" s="62"/>
      <c r="S270" s="64" t="s">
        <v>379</v>
      </c>
      <c r="V270" s="11" t="s">
        <v>10</v>
      </c>
      <c r="W270" s="64" t="s">
        <v>380</v>
      </c>
      <c r="AF270" s="64" t="s">
        <v>125</v>
      </c>
      <c r="AG270" s="11" t="s">
        <v>10</v>
      </c>
      <c r="AH270" s="77"/>
    </row>
    <row r="271" spans="2:34" ht="12.75" customHeight="1">
      <c r="B271" s="64" t="s">
        <v>381</v>
      </c>
      <c r="D271" s="11" t="s">
        <v>10</v>
      </c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11"/>
      <c r="Q271" s="79"/>
      <c r="S271" s="64" t="s">
        <v>382</v>
      </c>
      <c r="V271" s="11" t="s">
        <v>10</v>
      </c>
      <c r="W271" s="64" t="s">
        <v>383</v>
      </c>
      <c r="AF271" s="64" t="s">
        <v>128</v>
      </c>
      <c r="AG271" s="11" t="s">
        <v>10</v>
      </c>
      <c r="AH271" s="77"/>
    </row>
    <row r="272" spans="2:34" ht="12.75" customHeight="1">
      <c r="P272" s="59"/>
      <c r="AF272" s="64" t="s">
        <v>345</v>
      </c>
      <c r="AG272" s="11" t="s">
        <v>10</v>
      </c>
      <c r="AH272" s="77"/>
    </row>
    <row r="273" spans="1:34" ht="12.75" customHeight="1">
      <c r="B273" s="196" t="s">
        <v>334</v>
      </c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  <c r="Z273" s="194"/>
      <c r="AA273" s="194"/>
      <c r="AB273" s="194"/>
      <c r="AC273" s="194"/>
      <c r="AD273" s="194"/>
      <c r="AH273" s="77"/>
    </row>
    <row r="274" spans="1:34" ht="12.75" customHeight="1">
      <c r="B274" s="225" t="s">
        <v>499</v>
      </c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  <c r="Z274" s="194"/>
      <c r="AA274" s="194"/>
      <c r="AB274" s="194"/>
      <c r="AC274" s="194"/>
      <c r="AD274" s="194"/>
      <c r="AF274" s="64" t="s">
        <v>419</v>
      </c>
      <c r="AG274" s="11" t="s">
        <v>10</v>
      </c>
      <c r="AH274" s="77"/>
    </row>
    <row r="275" spans="1:34" ht="12.75" customHeight="1">
      <c r="AF275" s="64" t="s">
        <v>421</v>
      </c>
      <c r="AG275" s="11" t="s">
        <v>10</v>
      </c>
      <c r="AH275" s="77"/>
    </row>
    <row r="276" spans="1:34" ht="12.75" customHeight="1">
      <c r="B276" s="64" t="s">
        <v>385</v>
      </c>
      <c r="D276" s="11" t="s">
        <v>10</v>
      </c>
      <c r="F276" s="78"/>
      <c r="G276" s="78"/>
      <c r="H276" s="78"/>
      <c r="I276" s="78"/>
      <c r="J276" s="78"/>
      <c r="K276" s="78"/>
      <c r="L276" s="78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  <c r="AC276" s="91"/>
      <c r="AD276" s="91"/>
      <c r="AF276" s="64" t="s">
        <v>425</v>
      </c>
      <c r="AG276" s="11" t="s">
        <v>10</v>
      </c>
      <c r="AH276" s="77"/>
    </row>
    <row r="277" spans="1:34" ht="12.75" customHeight="1">
      <c r="B277" s="64" t="s">
        <v>387</v>
      </c>
      <c r="D277" s="11" t="s">
        <v>10</v>
      </c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91"/>
      <c r="W277" s="91"/>
      <c r="X277" s="91"/>
      <c r="Y277" s="91"/>
      <c r="AF277" s="64" t="s">
        <v>428</v>
      </c>
      <c r="AG277" s="11" t="s">
        <v>10</v>
      </c>
      <c r="AH277" s="77"/>
    </row>
    <row r="278" spans="1:34" ht="12.75" customHeight="1"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  <c r="AA278" s="114"/>
      <c r="AB278" s="114"/>
      <c r="AC278" s="114"/>
      <c r="AD278" s="114"/>
      <c r="AE278" s="114"/>
      <c r="AH278" s="77"/>
    </row>
    <row r="279" spans="1:34" ht="12.75" customHeight="1">
      <c r="A279" s="115"/>
      <c r="B279" s="38" t="s">
        <v>389</v>
      </c>
      <c r="AE279" s="116"/>
      <c r="AF279" s="64" t="s">
        <v>435</v>
      </c>
      <c r="AG279" s="11" t="s">
        <v>10</v>
      </c>
      <c r="AH279" s="77"/>
    </row>
    <row r="280" spans="1:34" ht="12.75" customHeight="1">
      <c r="A280" s="115"/>
      <c r="B280" s="11" t="s">
        <v>111</v>
      </c>
      <c r="C280" s="64" t="s">
        <v>340</v>
      </c>
      <c r="D280" s="11" t="s">
        <v>10</v>
      </c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AE280" s="115"/>
      <c r="AF280" s="64" t="s">
        <v>437</v>
      </c>
      <c r="AG280" s="11" t="s">
        <v>10</v>
      </c>
      <c r="AH280" s="77"/>
    </row>
    <row r="281" spans="1:34" ht="12.75" customHeight="1">
      <c r="A281" s="115"/>
      <c r="B281" s="11" t="s">
        <v>115</v>
      </c>
      <c r="C281" s="64" t="s">
        <v>391</v>
      </c>
      <c r="D281" s="11" t="s">
        <v>10</v>
      </c>
      <c r="F281" s="78"/>
      <c r="G281" s="78"/>
      <c r="H281" s="78"/>
      <c r="I281" s="78"/>
      <c r="J281" s="78"/>
      <c r="K281" s="78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  <c r="AC281" s="91"/>
      <c r="AD281" s="91"/>
      <c r="AE281" s="115"/>
      <c r="AF281" s="62"/>
      <c r="AH281" s="77"/>
    </row>
    <row r="282" spans="1:34" ht="12.75" customHeight="1">
      <c r="A282" s="115"/>
      <c r="B282" s="11" t="s">
        <v>118</v>
      </c>
      <c r="C282" s="64" t="s">
        <v>285</v>
      </c>
      <c r="D282" s="11" t="s">
        <v>10</v>
      </c>
      <c r="F282" s="78"/>
      <c r="G282" s="64" t="s">
        <v>393</v>
      </c>
      <c r="M282" s="55"/>
      <c r="N282" s="64" t="s">
        <v>394</v>
      </c>
      <c r="AE282" s="115"/>
      <c r="AH282" s="77"/>
    </row>
    <row r="283" spans="1:34" ht="12.75" customHeight="1">
      <c r="A283" s="115"/>
      <c r="B283" s="11" t="s">
        <v>121</v>
      </c>
      <c r="C283" s="64" t="s">
        <v>396</v>
      </c>
      <c r="D283" s="11" t="s">
        <v>10</v>
      </c>
      <c r="F283" s="225" t="s">
        <v>397</v>
      </c>
      <c r="G283" s="239"/>
      <c r="H283" s="95"/>
      <c r="I283" s="95"/>
      <c r="J283" s="240" t="s">
        <v>398</v>
      </c>
      <c r="K283" s="194"/>
      <c r="L283" s="239"/>
      <c r="M283" s="95"/>
      <c r="N283" s="95"/>
      <c r="O283" s="240" t="s">
        <v>399</v>
      </c>
      <c r="P283" s="194"/>
      <c r="Q283" s="239"/>
      <c r="R283" s="78"/>
      <c r="S283" s="78"/>
      <c r="T283" s="78"/>
      <c r="U283" s="78"/>
      <c r="V283" s="240" t="s">
        <v>359</v>
      </c>
      <c r="W283" s="194"/>
      <c r="X283" s="239"/>
      <c r="Y283" s="78"/>
      <c r="Z283" s="78"/>
      <c r="AA283" s="91"/>
      <c r="AE283" s="115"/>
      <c r="AF283" s="64" t="s">
        <v>340</v>
      </c>
      <c r="AG283" s="11" t="s">
        <v>10</v>
      </c>
      <c r="AH283" s="77"/>
    </row>
    <row r="284" spans="1:34" ht="12.75" customHeight="1">
      <c r="A284" s="115"/>
      <c r="B284" s="11" t="s">
        <v>124</v>
      </c>
      <c r="C284" s="64" t="s">
        <v>403</v>
      </c>
      <c r="D284" s="11" t="s">
        <v>10</v>
      </c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242" t="s">
        <v>404</v>
      </c>
      <c r="S284" s="243"/>
      <c r="T284" s="243"/>
      <c r="U284" s="244"/>
      <c r="V284" s="78"/>
      <c r="W284" s="78"/>
      <c r="X284" s="240" t="s">
        <v>405</v>
      </c>
      <c r="Y284" s="194"/>
      <c r="Z284" s="194"/>
      <c r="AA284" s="239"/>
      <c r="AB284" s="78"/>
      <c r="AC284" s="78"/>
      <c r="AE284" s="115"/>
      <c r="AF284" s="64" t="s">
        <v>391</v>
      </c>
      <c r="AG284" s="11" t="s">
        <v>10</v>
      </c>
      <c r="AH284" s="77"/>
    </row>
    <row r="285" spans="1:34" ht="12.75" customHeight="1">
      <c r="A285" s="115"/>
      <c r="B285" s="11" t="s">
        <v>127</v>
      </c>
      <c r="C285" s="64" t="s">
        <v>125</v>
      </c>
      <c r="D285" s="11" t="s">
        <v>10</v>
      </c>
      <c r="F285" s="55"/>
      <c r="G285" s="64" t="s">
        <v>406</v>
      </c>
      <c r="K285" s="64" t="s">
        <v>407</v>
      </c>
      <c r="O285" s="64" t="s">
        <v>408</v>
      </c>
      <c r="S285" s="64" t="s">
        <v>409</v>
      </c>
      <c r="W285" s="64" t="s">
        <v>410</v>
      </c>
      <c r="Z285" s="64" t="s">
        <v>411</v>
      </c>
      <c r="AE285" s="115"/>
      <c r="AF285" s="64" t="s">
        <v>396</v>
      </c>
      <c r="AG285" s="11" t="s">
        <v>10</v>
      </c>
      <c r="AH285" s="77"/>
    </row>
    <row r="286" spans="1:34" ht="12.75" customHeight="1">
      <c r="A286" s="115"/>
      <c r="B286" s="11" t="s">
        <v>130</v>
      </c>
      <c r="C286" s="64" t="s">
        <v>128</v>
      </c>
      <c r="D286" s="11" t="s">
        <v>10</v>
      </c>
      <c r="F286" s="95"/>
      <c r="G286" s="95"/>
      <c r="AE286" s="115"/>
      <c r="AF286" s="64" t="s">
        <v>128</v>
      </c>
      <c r="AG286" s="11" t="s">
        <v>10</v>
      </c>
      <c r="AH286" s="77"/>
    </row>
    <row r="287" spans="1:34" ht="12.75" customHeight="1">
      <c r="A287" s="115"/>
      <c r="B287" s="11" t="s">
        <v>134</v>
      </c>
      <c r="C287" s="64" t="s">
        <v>345</v>
      </c>
      <c r="D287" s="11" t="s">
        <v>10</v>
      </c>
      <c r="F287" s="246"/>
      <c r="G287" s="223"/>
      <c r="H287" s="223"/>
      <c r="I287" s="223"/>
      <c r="J287" s="223"/>
      <c r="K287" s="223"/>
      <c r="L287" s="223"/>
      <c r="M287" s="223"/>
      <c r="N287" s="223"/>
      <c r="O287" s="223"/>
      <c r="P287" s="223"/>
      <c r="Q287" s="223"/>
      <c r="R287" s="223"/>
      <c r="S287" s="223"/>
      <c r="T287" s="223"/>
      <c r="U287" s="223"/>
      <c r="V287" s="223"/>
      <c r="W287" s="223"/>
      <c r="X287" s="223"/>
      <c r="Y287" s="223"/>
      <c r="Z287" s="223"/>
      <c r="AA287" s="223"/>
      <c r="AB287" s="223"/>
      <c r="AC287" s="223"/>
      <c r="AD287" s="224"/>
      <c r="AE287" s="115"/>
      <c r="AF287" s="64" t="s">
        <v>345</v>
      </c>
      <c r="AG287" s="11" t="s">
        <v>10</v>
      </c>
      <c r="AH287" s="77"/>
    </row>
    <row r="288" spans="1:34" ht="12.75" customHeight="1">
      <c r="A288" s="115"/>
      <c r="B288" s="11"/>
      <c r="F288" s="64" t="s">
        <v>414</v>
      </c>
      <c r="L288" s="246"/>
      <c r="M288" s="223"/>
      <c r="N288" s="223"/>
      <c r="O288" s="223"/>
      <c r="P288" s="223"/>
      <c r="Q288" s="223"/>
      <c r="R288" s="223"/>
      <c r="S288" s="224"/>
      <c r="T288" s="64" t="s">
        <v>415</v>
      </c>
      <c r="X288" s="246"/>
      <c r="Y288" s="223"/>
      <c r="Z288" s="223"/>
      <c r="AA288" s="223"/>
      <c r="AB288" s="223"/>
      <c r="AC288" s="223"/>
      <c r="AD288" s="224"/>
      <c r="AE288" s="115"/>
      <c r="AH288" s="77"/>
    </row>
    <row r="289" spans="1:34" ht="12.75" customHeight="1">
      <c r="A289" s="115"/>
      <c r="B289" s="11"/>
      <c r="F289" s="64" t="s">
        <v>416</v>
      </c>
      <c r="L289" s="246"/>
      <c r="M289" s="223"/>
      <c r="N289" s="223"/>
      <c r="O289" s="223"/>
      <c r="P289" s="223"/>
      <c r="Q289" s="223"/>
      <c r="R289" s="223"/>
      <c r="S289" s="224"/>
      <c r="T289" s="64" t="s">
        <v>417</v>
      </c>
      <c r="X289" s="246"/>
      <c r="Y289" s="223"/>
      <c r="Z289" s="223"/>
      <c r="AA289" s="223"/>
      <c r="AB289" s="223"/>
      <c r="AC289" s="223"/>
      <c r="AD289" s="224"/>
      <c r="AE289" s="115"/>
      <c r="AH289" s="77"/>
    </row>
    <row r="290" spans="1:34" ht="12.75" customHeight="1">
      <c r="A290" s="115"/>
      <c r="B290" s="11" t="s">
        <v>137</v>
      </c>
      <c r="C290" s="64" t="s">
        <v>419</v>
      </c>
      <c r="D290" s="11" t="s">
        <v>10</v>
      </c>
      <c r="F290" s="91"/>
      <c r="G290" s="64" t="s">
        <v>111</v>
      </c>
      <c r="J290" s="64" t="s">
        <v>115</v>
      </c>
      <c r="M290" s="64" t="s">
        <v>118</v>
      </c>
      <c r="P290" s="64" t="s">
        <v>420</v>
      </c>
      <c r="AE290" s="115"/>
      <c r="AF290" s="62"/>
      <c r="AH290" s="77"/>
    </row>
    <row r="291" spans="1:34" ht="12.75" customHeight="1">
      <c r="A291" s="115"/>
      <c r="B291" s="11" t="s">
        <v>145</v>
      </c>
      <c r="C291" s="64" t="s">
        <v>421</v>
      </c>
      <c r="D291" s="11" t="s">
        <v>10</v>
      </c>
      <c r="F291" s="225" t="s">
        <v>397</v>
      </c>
      <c r="G291" s="194"/>
      <c r="H291" s="95"/>
      <c r="I291" s="95"/>
      <c r="J291" s="240" t="s">
        <v>422</v>
      </c>
      <c r="K291" s="194"/>
      <c r="L291" s="194"/>
      <c r="M291" s="78"/>
      <c r="N291" s="78"/>
      <c r="O291" s="240" t="s">
        <v>399</v>
      </c>
      <c r="P291" s="194"/>
      <c r="Q291" s="194"/>
      <c r="R291" s="78"/>
      <c r="S291" s="78"/>
      <c r="T291" s="78"/>
      <c r="U291" s="78"/>
      <c r="V291" s="11"/>
      <c r="AE291" s="115"/>
      <c r="AH291" s="77"/>
    </row>
    <row r="292" spans="1:34" ht="12.75" customHeight="1">
      <c r="A292" s="115"/>
      <c r="B292" s="11" t="s">
        <v>424</v>
      </c>
      <c r="C292" s="64" t="s">
        <v>425</v>
      </c>
      <c r="D292" s="11" t="s">
        <v>10</v>
      </c>
      <c r="F292" s="91"/>
      <c r="G292" s="91"/>
      <c r="H292" s="91"/>
      <c r="I292" s="91"/>
      <c r="AE292" s="115"/>
      <c r="AF292" s="64" t="s">
        <v>340</v>
      </c>
      <c r="AG292" s="11" t="s">
        <v>10</v>
      </c>
      <c r="AH292" s="77"/>
    </row>
    <row r="293" spans="1:34" ht="12.75" customHeight="1">
      <c r="A293" s="115"/>
      <c r="B293" s="11" t="s">
        <v>427</v>
      </c>
      <c r="C293" s="64" t="s">
        <v>428</v>
      </c>
      <c r="D293" s="11" t="s">
        <v>10</v>
      </c>
      <c r="F293" s="91"/>
      <c r="G293" s="64" t="s">
        <v>429</v>
      </c>
      <c r="P293" s="64" t="s">
        <v>430</v>
      </c>
      <c r="X293" s="64" t="s">
        <v>431</v>
      </c>
      <c r="AE293" s="115"/>
      <c r="AF293" s="64" t="s">
        <v>391</v>
      </c>
      <c r="AG293" s="11" t="s">
        <v>10</v>
      </c>
      <c r="AH293" s="77"/>
    </row>
    <row r="294" spans="1:34" ht="12.75" customHeight="1">
      <c r="A294" s="115"/>
      <c r="B294" s="11"/>
      <c r="D294" s="11"/>
      <c r="G294" s="64" t="s">
        <v>432</v>
      </c>
      <c r="P294" s="64" t="s">
        <v>433</v>
      </c>
      <c r="X294" s="64" t="s">
        <v>411</v>
      </c>
      <c r="AE294" s="115"/>
      <c r="AF294" s="64" t="s">
        <v>396</v>
      </c>
      <c r="AG294" s="11" t="s">
        <v>10</v>
      </c>
      <c r="AH294" s="77"/>
    </row>
    <row r="295" spans="1:34" ht="12.75" customHeight="1">
      <c r="A295" s="115"/>
      <c r="B295" s="11" t="s">
        <v>434</v>
      </c>
      <c r="C295" s="64" t="s">
        <v>435</v>
      </c>
      <c r="D295" s="11" t="s">
        <v>10</v>
      </c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AE295" s="115"/>
      <c r="AF295" s="64" t="s">
        <v>128</v>
      </c>
      <c r="AG295" s="11" t="s">
        <v>10</v>
      </c>
      <c r="AH295" s="77"/>
    </row>
    <row r="296" spans="1:34" ht="12.75" customHeight="1">
      <c r="A296" s="115"/>
      <c r="B296" s="11" t="s">
        <v>436</v>
      </c>
      <c r="C296" s="64" t="s">
        <v>437</v>
      </c>
      <c r="D296" s="11" t="s">
        <v>10</v>
      </c>
      <c r="F296" s="78"/>
      <c r="G296" s="64" t="s">
        <v>438</v>
      </c>
      <c r="L296" s="64" t="s">
        <v>439</v>
      </c>
      <c r="T296" s="64" t="s">
        <v>440</v>
      </c>
      <c r="Y296" s="64" t="s">
        <v>441</v>
      </c>
      <c r="AE296" s="115"/>
      <c r="AF296" s="64" t="s">
        <v>345</v>
      </c>
      <c r="AG296" s="11" t="s">
        <v>10</v>
      </c>
      <c r="AH296" s="77"/>
    </row>
    <row r="297" spans="1:34" ht="12.75" customHeight="1">
      <c r="A297" s="115"/>
      <c r="B297" s="117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118"/>
      <c r="AH297" s="77"/>
    </row>
    <row r="298" spans="1:34" ht="12.75" customHeight="1">
      <c r="A298" s="115"/>
      <c r="B298" s="38" t="s">
        <v>442</v>
      </c>
      <c r="AE298" s="115"/>
      <c r="AH298" s="77"/>
    </row>
    <row r="299" spans="1:34" ht="12.75" customHeight="1">
      <c r="A299" s="115"/>
      <c r="B299" s="11" t="s">
        <v>111</v>
      </c>
      <c r="C299" s="64" t="s">
        <v>340</v>
      </c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AE299" s="115"/>
      <c r="AF299" s="62"/>
      <c r="AH299" s="77"/>
    </row>
    <row r="300" spans="1:34" ht="12.75" customHeight="1">
      <c r="A300" s="115"/>
      <c r="B300" s="11" t="s">
        <v>115</v>
      </c>
      <c r="C300" s="64" t="s">
        <v>391</v>
      </c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  <c r="AC300" s="91"/>
      <c r="AD300" s="91"/>
      <c r="AE300" s="115"/>
      <c r="AH300" s="77"/>
    </row>
    <row r="301" spans="1:34" ht="12.75" customHeight="1">
      <c r="A301" s="115"/>
      <c r="B301" s="11" t="s">
        <v>118</v>
      </c>
      <c r="C301" s="64" t="s">
        <v>396</v>
      </c>
      <c r="F301" s="225" t="s">
        <v>397</v>
      </c>
      <c r="G301" s="239"/>
      <c r="H301" s="91"/>
      <c r="I301" s="91"/>
      <c r="J301" s="240" t="s">
        <v>398</v>
      </c>
      <c r="K301" s="194"/>
      <c r="L301" s="239"/>
      <c r="M301" s="91"/>
      <c r="N301" s="91"/>
      <c r="O301" s="240" t="s">
        <v>399</v>
      </c>
      <c r="P301" s="194"/>
      <c r="Q301" s="239"/>
      <c r="R301" s="91"/>
      <c r="S301" s="91"/>
      <c r="T301" s="91"/>
      <c r="U301" s="91"/>
      <c r="V301" s="240" t="s">
        <v>359</v>
      </c>
      <c r="W301" s="194"/>
      <c r="X301" s="239"/>
      <c r="Y301" s="91"/>
      <c r="Z301" s="91"/>
      <c r="AA301" s="91"/>
      <c r="AE301" s="115"/>
      <c r="AF301" s="64" t="s">
        <v>340</v>
      </c>
      <c r="AH301" s="77"/>
    </row>
    <row r="302" spans="1:34" ht="12.75" customHeight="1">
      <c r="A302" s="115"/>
      <c r="B302" s="11" t="s">
        <v>121</v>
      </c>
      <c r="C302" s="64" t="s">
        <v>128</v>
      </c>
      <c r="F302" s="91"/>
      <c r="G302" s="91"/>
      <c r="AE302" s="115"/>
      <c r="AF302" s="64" t="s">
        <v>391</v>
      </c>
      <c r="AH302" s="77"/>
    </row>
    <row r="303" spans="1:34" ht="12.75" customHeight="1">
      <c r="A303" s="115"/>
      <c r="B303" s="11" t="s">
        <v>124</v>
      </c>
      <c r="C303" s="64" t="s">
        <v>345</v>
      </c>
      <c r="F303" s="252"/>
      <c r="G303" s="223"/>
      <c r="H303" s="223"/>
      <c r="I303" s="223"/>
      <c r="J303" s="223"/>
      <c r="K303" s="223"/>
      <c r="L303" s="223"/>
      <c r="M303" s="223"/>
      <c r="N303" s="223"/>
      <c r="O303" s="223"/>
      <c r="P303" s="223"/>
      <c r="Q303" s="223"/>
      <c r="R303" s="223"/>
      <c r="S303" s="223"/>
      <c r="T303" s="223"/>
      <c r="U303" s="223"/>
      <c r="V303" s="223"/>
      <c r="W303" s="223"/>
      <c r="X303" s="223"/>
      <c r="Y303" s="223"/>
      <c r="Z303" s="223"/>
      <c r="AA303" s="223"/>
      <c r="AB303" s="223"/>
      <c r="AC303" s="223"/>
      <c r="AD303" s="224"/>
      <c r="AE303" s="115"/>
      <c r="AF303" s="64" t="s">
        <v>396</v>
      </c>
      <c r="AH303" s="77"/>
    </row>
    <row r="304" spans="1:34" ht="12.75" customHeight="1">
      <c r="A304" s="115"/>
      <c r="F304" s="64" t="s">
        <v>414</v>
      </c>
      <c r="L304" s="252"/>
      <c r="M304" s="223"/>
      <c r="N304" s="223"/>
      <c r="O304" s="223"/>
      <c r="P304" s="223"/>
      <c r="Q304" s="223"/>
      <c r="R304" s="223"/>
      <c r="S304" s="224"/>
      <c r="T304" s="64" t="s">
        <v>415</v>
      </c>
      <c r="X304" s="252"/>
      <c r="Y304" s="223"/>
      <c r="Z304" s="223"/>
      <c r="AA304" s="223"/>
      <c r="AB304" s="223"/>
      <c r="AC304" s="223"/>
      <c r="AD304" s="224"/>
      <c r="AE304" s="115"/>
      <c r="AF304" s="64" t="s">
        <v>128</v>
      </c>
      <c r="AH304" s="77"/>
    </row>
    <row r="305" spans="1:34" ht="12.75" customHeight="1">
      <c r="A305" s="115"/>
      <c r="F305" s="64" t="s">
        <v>416</v>
      </c>
      <c r="L305" s="252"/>
      <c r="M305" s="223"/>
      <c r="N305" s="223"/>
      <c r="O305" s="223"/>
      <c r="P305" s="223"/>
      <c r="Q305" s="223"/>
      <c r="R305" s="223"/>
      <c r="S305" s="224"/>
      <c r="T305" s="64" t="s">
        <v>417</v>
      </c>
      <c r="X305" s="252"/>
      <c r="Y305" s="223"/>
      <c r="Z305" s="223"/>
      <c r="AA305" s="223"/>
      <c r="AB305" s="223"/>
      <c r="AC305" s="223"/>
      <c r="AD305" s="224"/>
      <c r="AE305" s="115"/>
      <c r="AF305" s="64" t="s">
        <v>345</v>
      </c>
      <c r="AH305" s="77"/>
    </row>
    <row r="306" spans="1:34" ht="6" customHeight="1">
      <c r="A306" s="115"/>
      <c r="B306" s="117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118"/>
      <c r="AH306" s="77"/>
    </row>
    <row r="307" spans="1:34" ht="12.75" customHeight="1">
      <c r="A307" s="115"/>
      <c r="B307" s="38" t="s">
        <v>448</v>
      </c>
      <c r="AE307" s="115"/>
      <c r="AH307" s="77"/>
    </row>
    <row r="308" spans="1:34" ht="12.75" customHeight="1">
      <c r="A308" s="115"/>
      <c r="B308" s="11" t="s">
        <v>111</v>
      </c>
      <c r="C308" s="64" t="s">
        <v>340</v>
      </c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AE308" s="115"/>
      <c r="AF308" s="62"/>
      <c r="AH308" s="77"/>
    </row>
    <row r="309" spans="1:34" ht="12.75" customHeight="1">
      <c r="A309" s="115"/>
      <c r="B309" s="11" t="s">
        <v>115</v>
      </c>
      <c r="C309" s="64" t="s">
        <v>391</v>
      </c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  <c r="AC309" s="91"/>
      <c r="AD309" s="91"/>
      <c r="AE309" s="115"/>
      <c r="AH309" s="77"/>
    </row>
    <row r="310" spans="1:34" ht="12.75" customHeight="1">
      <c r="A310" s="115"/>
      <c r="B310" s="11" t="s">
        <v>118</v>
      </c>
      <c r="C310" s="64" t="s">
        <v>396</v>
      </c>
      <c r="F310" s="225" t="s">
        <v>397</v>
      </c>
      <c r="G310" s="239"/>
      <c r="H310" s="91"/>
      <c r="I310" s="91"/>
      <c r="J310" s="240" t="s">
        <v>398</v>
      </c>
      <c r="K310" s="194"/>
      <c r="L310" s="239"/>
      <c r="M310" s="91"/>
      <c r="N310" s="91"/>
      <c r="O310" s="240" t="s">
        <v>399</v>
      </c>
      <c r="P310" s="194"/>
      <c r="Q310" s="239"/>
      <c r="R310" s="91"/>
      <c r="S310" s="91"/>
      <c r="T310" s="91"/>
      <c r="U310" s="91"/>
      <c r="V310" s="240" t="s">
        <v>359</v>
      </c>
      <c r="W310" s="194"/>
      <c r="X310" s="239"/>
      <c r="Y310" s="91"/>
      <c r="Z310" s="91"/>
      <c r="AA310" s="91"/>
      <c r="AE310" s="115"/>
      <c r="AF310" s="64" t="s">
        <v>340</v>
      </c>
      <c r="AH310" s="77"/>
    </row>
    <row r="311" spans="1:34" ht="12.75" customHeight="1">
      <c r="A311" s="115"/>
      <c r="B311" s="11" t="s">
        <v>121</v>
      </c>
      <c r="C311" s="64" t="s">
        <v>128</v>
      </c>
      <c r="F311" s="91"/>
      <c r="G311" s="91"/>
      <c r="AE311" s="115"/>
      <c r="AF311" s="64" t="s">
        <v>391</v>
      </c>
      <c r="AH311" s="77"/>
    </row>
    <row r="312" spans="1:34" ht="12.75" customHeight="1">
      <c r="A312" s="115"/>
      <c r="B312" s="11" t="s">
        <v>124</v>
      </c>
      <c r="C312" s="64" t="s">
        <v>345</v>
      </c>
      <c r="F312" s="246"/>
      <c r="G312" s="223"/>
      <c r="H312" s="223"/>
      <c r="I312" s="223"/>
      <c r="J312" s="223"/>
      <c r="K312" s="223"/>
      <c r="L312" s="223"/>
      <c r="M312" s="223"/>
      <c r="N312" s="223"/>
      <c r="O312" s="223"/>
      <c r="P312" s="223"/>
      <c r="Q312" s="223"/>
      <c r="R312" s="223"/>
      <c r="S312" s="223"/>
      <c r="T312" s="223"/>
      <c r="U312" s="223"/>
      <c r="V312" s="223"/>
      <c r="W312" s="223"/>
      <c r="X312" s="223"/>
      <c r="Y312" s="223"/>
      <c r="Z312" s="223"/>
      <c r="AA312" s="223"/>
      <c r="AB312" s="223"/>
      <c r="AC312" s="223"/>
      <c r="AD312" s="224"/>
      <c r="AE312" s="115"/>
      <c r="AF312" s="64" t="s">
        <v>396</v>
      </c>
      <c r="AH312" s="77"/>
    </row>
    <row r="313" spans="1:34" ht="12.75" customHeight="1">
      <c r="A313" s="115"/>
      <c r="F313" s="64" t="s">
        <v>414</v>
      </c>
      <c r="L313" s="246"/>
      <c r="M313" s="223"/>
      <c r="N313" s="223"/>
      <c r="O313" s="223"/>
      <c r="P313" s="223"/>
      <c r="Q313" s="223"/>
      <c r="R313" s="223"/>
      <c r="S313" s="224"/>
      <c r="T313" s="64" t="s">
        <v>415</v>
      </c>
      <c r="X313" s="246"/>
      <c r="Y313" s="223"/>
      <c r="Z313" s="223"/>
      <c r="AA313" s="223"/>
      <c r="AB313" s="223"/>
      <c r="AC313" s="223"/>
      <c r="AD313" s="224"/>
      <c r="AE313" s="115"/>
      <c r="AF313" s="64" t="s">
        <v>128</v>
      </c>
      <c r="AH313" s="77"/>
    </row>
    <row r="314" spans="1:34" ht="12.75" customHeight="1">
      <c r="A314" s="115"/>
      <c r="F314" s="64" t="s">
        <v>416</v>
      </c>
      <c r="L314" s="246"/>
      <c r="M314" s="223"/>
      <c r="N314" s="223"/>
      <c r="O314" s="223"/>
      <c r="P314" s="223"/>
      <c r="Q314" s="223"/>
      <c r="R314" s="223"/>
      <c r="S314" s="224"/>
      <c r="T314" s="64" t="s">
        <v>417</v>
      </c>
      <c r="X314" s="246"/>
      <c r="Y314" s="223"/>
      <c r="Z314" s="223"/>
      <c r="AA314" s="223"/>
      <c r="AB314" s="223"/>
      <c r="AC314" s="223"/>
      <c r="AD314" s="224"/>
      <c r="AE314" s="115"/>
      <c r="AF314" s="64" t="s">
        <v>345</v>
      </c>
      <c r="AH314" s="77"/>
    </row>
    <row r="315" spans="1:34" ht="3" customHeight="1">
      <c r="A315" s="115"/>
      <c r="B315" s="117"/>
      <c r="C315" s="62"/>
      <c r="D315" s="62"/>
      <c r="E315" s="62"/>
      <c r="F315" s="62"/>
      <c r="G315" s="62"/>
      <c r="H315" s="62"/>
      <c r="I315" s="62"/>
      <c r="J315" s="62"/>
      <c r="K315" s="62"/>
      <c r="L315" s="107"/>
      <c r="M315" s="107"/>
      <c r="N315" s="107"/>
      <c r="O315" s="107"/>
      <c r="P315" s="107"/>
      <c r="Q315" s="107"/>
      <c r="R315" s="107"/>
      <c r="S315" s="107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118"/>
      <c r="AH315" s="77"/>
    </row>
    <row r="316" spans="1:34" ht="12.75" customHeight="1">
      <c r="A316" s="115"/>
      <c r="B316" s="38" t="s">
        <v>456</v>
      </c>
      <c r="AE316" s="115"/>
      <c r="AH316" s="77"/>
    </row>
    <row r="317" spans="1:34" ht="12.75" customHeight="1">
      <c r="A317" s="115"/>
      <c r="B317" s="11" t="s">
        <v>111</v>
      </c>
      <c r="C317" s="64" t="s">
        <v>340</v>
      </c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11"/>
      <c r="W317" s="11"/>
      <c r="X317" s="11"/>
      <c r="Y317" s="11"/>
      <c r="Z317" s="11"/>
      <c r="AA317" s="11"/>
      <c r="AB317" s="11"/>
      <c r="AC317" s="11"/>
      <c r="AD317" s="11"/>
      <c r="AE317" s="115"/>
      <c r="AF317" s="62"/>
      <c r="AH317" s="77"/>
    </row>
    <row r="318" spans="1:34" ht="12.75" customHeight="1">
      <c r="A318" s="115"/>
      <c r="B318" s="11" t="s">
        <v>115</v>
      </c>
      <c r="C318" s="64" t="s">
        <v>391</v>
      </c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115"/>
      <c r="AH318" s="77"/>
    </row>
    <row r="319" spans="1:34" ht="12.75" customHeight="1">
      <c r="A319" s="115"/>
      <c r="B319" s="11" t="s">
        <v>118</v>
      </c>
      <c r="C319" s="64" t="s">
        <v>396</v>
      </c>
      <c r="F319" s="225" t="s">
        <v>397</v>
      </c>
      <c r="G319" s="239"/>
      <c r="H319" s="78"/>
      <c r="I319" s="78"/>
      <c r="J319" s="240" t="s">
        <v>398</v>
      </c>
      <c r="K319" s="194"/>
      <c r="L319" s="239"/>
      <c r="M319" s="78"/>
      <c r="N319" s="78"/>
      <c r="O319" s="240" t="s">
        <v>399</v>
      </c>
      <c r="P319" s="194"/>
      <c r="Q319" s="239"/>
      <c r="R319" s="78"/>
      <c r="S319" s="78"/>
      <c r="T319" s="78"/>
      <c r="U319" s="78"/>
      <c r="V319" s="240" t="s">
        <v>359</v>
      </c>
      <c r="W319" s="194"/>
      <c r="X319" s="239"/>
      <c r="Y319" s="78"/>
      <c r="Z319" s="78"/>
      <c r="AA319" s="78"/>
      <c r="AB319" s="11"/>
      <c r="AC319" s="11"/>
      <c r="AD319" s="11"/>
      <c r="AE319" s="115"/>
      <c r="AF319" s="64" t="s">
        <v>340</v>
      </c>
      <c r="AH319" s="77"/>
    </row>
    <row r="320" spans="1:34" ht="12.75" customHeight="1">
      <c r="A320" s="115"/>
      <c r="B320" s="11" t="s">
        <v>121</v>
      </c>
      <c r="C320" s="64" t="s">
        <v>128</v>
      </c>
      <c r="F320" s="78"/>
      <c r="G320" s="78"/>
      <c r="AE320" s="115"/>
      <c r="AF320" s="64" t="s">
        <v>391</v>
      </c>
      <c r="AH320" s="77"/>
    </row>
    <row r="321" spans="1:34" ht="12.75" customHeight="1">
      <c r="A321" s="115"/>
      <c r="B321" s="11" t="s">
        <v>124</v>
      </c>
      <c r="C321" s="64" t="s">
        <v>345</v>
      </c>
      <c r="F321" s="246"/>
      <c r="G321" s="223"/>
      <c r="H321" s="223"/>
      <c r="I321" s="223"/>
      <c r="J321" s="223"/>
      <c r="K321" s="223"/>
      <c r="L321" s="223"/>
      <c r="M321" s="223"/>
      <c r="N321" s="223"/>
      <c r="O321" s="223"/>
      <c r="P321" s="223"/>
      <c r="Q321" s="223"/>
      <c r="R321" s="223"/>
      <c r="S321" s="223"/>
      <c r="T321" s="223"/>
      <c r="U321" s="223"/>
      <c r="V321" s="223"/>
      <c r="W321" s="223"/>
      <c r="X321" s="223"/>
      <c r="Y321" s="223"/>
      <c r="Z321" s="223"/>
      <c r="AA321" s="223"/>
      <c r="AB321" s="223"/>
      <c r="AC321" s="223"/>
      <c r="AD321" s="224"/>
      <c r="AE321" s="115"/>
      <c r="AF321" s="64" t="s">
        <v>396</v>
      </c>
      <c r="AH321" s="77"/>
    </row>
    <row r="322" spans="1:34" ht="12.75" customHeight="1">
      <c r="A322" s="115"/>
      <c r="F322" s="64" t="s">
        <v>414</v>
      </c>
      <c r="L322" s="246"/>
      <c r="M322" s="223"/>
      <c r="N322" s="223"/>
      <c r="O322" s="223"/>
      <c r="P322" s="223"/>
      <c r="Q322" s="223"/>
      <c r="R322" s="223"/>
      <c r="S322" s="224"/>
      <c r="T322" s="64" t="s">
        <v>415</v>
      </c>
      <c r="X322" s="246"/>
      <c r="Y322" s="223"/>
      <c r="Z322" s="223"/>
      <c r="AA322" s="223"/>
      <c r="AB322" s="223"/>
      <c r="AC322" s="223"/>
      <c r="AD322" s="224"/>
      <c r="AE322" s="115"/>
      <c r="AF322" s="64" t="s">
        <v>128</v>
      </c>
      <c r="AH322" s="77"/>
    </row>
    <row r="323" spans="1:34" ht="12.75" customHeight="1">
      <c r="A323" s="115"/>
      <c r="F323" s="64" t="s">
        <v>416</v>
      </c>
      <c r="L323" s="246"/>
      <c r="M323" s="223"/>
      <c r="N323" s="223"/>
      <c r="O323" s="223"/>
      <c r="P323" s="223"/>
      <c r="Q323" s="223"/>
      <c r="R323" s="223"/>
      <c r="S323" s="224"/>
      <c r="T323" s="64" t="s">
        <v>417</v>
      </c>
      <c r="X323" s="246"/>
      <c r="Y323" s="223"/>
      <c r="Z323" s="223"/>
      <c r="AA323" s="223"/>
      <c r="AB323" s="223"/>
      <c r="AC323" s="223"/>
      <c r="AD323" s="224"/>
      <c r="AE323" s="115"/>
      <c r="AF323" s="64" t="s">
        <v>345</v>
      </c>
      <c r="AH323" s="77"/>
    </row>
    <row r="324" spans="1:34" ht="3.75" customHeight="1">
      <c r="A324" s="115"/>
      <c r="B324" s="117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118"/>
      <c r="AH324" s="77"/>
    </row>
    <row r="325" spans="1:34" ht="12.75" customHeight="1">
      <c r="A325" s="115"/>
      <c r="B325" s="38" t="s">
        <v>457</v>
      </c>
      <c r="AE325" s="115"/>
      <c r="AH325" s="77"/>
    </row>
    <row r="326" spans="1:34" ht="12.75" customHeight="1">
      <c r="A326" s="115"/>
      <c r="B326" s="11" t="s">
        <v>111</v>
      </c>
      <c r="C326" s="64" t="s">
        <v>340</v>
      </c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1"/>
      <c r="W326" s="11"/>
      <c r="X326" s="11"/>
      <c r="Y326" s="11"/>
      <c r="Z326" s="11"/>
      <c r="AA326" s="11"/>
      <c r="AB326" s="11"/>
      <c r="AC326" s="11"/>
      <c r="AD326" s="11"/>
      <c r="AE326" s="115"/>
      <c r="AH326" s="77"/>
    </row>
    <row r="327" spans="1:34" ht="12.75" customHeight="1">
      <c r="A327" s="115"/>
      <c r="B327" s="11" t="s">
        <v>115</v>
      </c>
      <c r="C327" s="64" t="s">
        <v>391</v>
      </c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115"/>
      <c r="AH327" s="77"/>
    </row>
    <row r="328" spans="1:34" ht="12.75" customHeight="1">
      <c r="A328" s="115"/>
      <c r="B328" s="11" t="s">
        <v>118</v>
      </c>
      <c r="C328" s="64" t="s">
        <v>396</v>
      </c>
      <c r="F328" s="253" t="s">
        <v>397</v>
      </c>
      <c r="G328" s="224"/>
      <c r="H328" s="78"/>
      <c r="I328" s="78"/>
      <c r="J328" s="242" t="s">
        <v>398</v>
      </c>
      <c r="K328" s="243"/>
      <c r="L328" s="244"/>
      <c r="M328" s="78"/>
      <c r="N328" s="78"/>
      <c r="O328" s="242" t="s">
        <v>399</v>
      </c>
      <c r="P328" s="243"/>
      <c r="Q328" s="244"/>
      <c r="R328" s="78"/>
      <c r="S328" s="78"/>
      <c r="T328" s="78"/>
      <c r="U328" s="78"/>
      <c r="V328" s="242" t="s">
        <v>359</v>
      </c>
      <c r="W328" s="243"/>
      <c r="X328" s="244"/>
      <c r="Y328" s="78"/>
      <c r="Z328" s="78"/>
      <c r="AA328" s="78"/>
      <c r="AB328" s="11"/>
      <c r="AC328" s="11"/>
      <c r="AD328" s="11"/>
      <c r="AE328" s="115"/>
      <c r="AH328" s="77"/>
    </row>
    <row r="329" spans="1:34" ht="12.75" customHeight="1">
      <c r="A329" s="115"/>
      <c r="B329" s="11" t="s">
        <v>121</v>
      </c>
      <c r="C329" s="64" t="s">
        <v>128</v>
      </c>
      <c r="F329" s="78"/>
      <c r="G329" s="78"/>
      <c r="AE329" s="115"/>
      <c r="AH329" s="77"/>
    </row>
    <row r="330" spans="1:34" ht="12.75" customHeight="1">
      <c r="A330" s="115"/>
      <c r="B330" s="11" t="s">
        <v>124</v>
      </c>
      <c r="C330" s="64" t="s">
        <v>345</v>
      </c>
      <c r="F330" s="246"/>
      <c r="G330" s="223"/>
      <c r="H330" s="223"/>
      <c r="I330" s="223"/>
      <c r="J330" s="223"/>
      <c r="K330" s="223"/>
      <c r="L330" s="223"/>
      <c r="M330" s="223"/>
      <c r="N330" s="223"/>
      <c r="O330" s="223"/>
      <c r="P330" s="223"/>
      <c r="Q330" s="223"/>
      <c r="R330" s="223"/>
      <c r="S330" s="223"/>
      <c r="T330" s="223"/>
      <c r="U330" s="223"/>
      <c r="V330" s="223"/>
      <c r="W330" s="223"/>
      <c r="X330" s="223"/>
      <c r="Y330" s="223"/>
      <c r="Z330" s="223"/>
      <c r="AA330" s="223"/>
      <c r="AB330" s="223"/>
      <c r="AC330" s="223"/>
      <c r="AD330" s="224"/>
      <c r="AE330" s="115"/>
      <c r="AH330" s="77"/>
    </row>
    <row r="331" spans="1:34" ht="12.75" customHeight="1">
      <c r="A331" s="115"/>
      <c r="F331" s="64" t="s">
        <v>414</v>
      </c>
      <c r="L331" s="246"/>
      <c r="M331" s="223"/>
      <c r="N331" s="223"/>
      <c r="O331" s="223"/>
      <c r="P331" s="223"/>
      <c r="Q331" s="223"/>
      <c r="R331" s="223"/>
      <c r="S331" s="224"/>
      <c r="T331" s="64" t="s">
        <v>415</v>
      </c>
      <c r="X331" s="246"/>
      <c r="Y331" s="223"/>
      <c r="Z331" s="223"/>
      <c r="AA331" s="223"/>
      <c r="AB331" s="223"/>
      <c r="AC331" s="223"/>
      <c r="AD331" s="224"/>
      <c r="AE331" s="115"/>
      <c r="AH331" s="77"/>
    </row>
    <row r="332" spans="1:34" ht="12.75" customHeight="1">
      <c r="A332" s="115"/>
      <c r="F332" s="64" t="s">
        <v>416</v>
      </c>
      <c r="L332" s="246"/>
      <c r="M332" s="223"/>
      <c r="N332" s="223"/>
      <c r="O332" s="223"/>
      <c r="P332" s="223"/>
      <c r="Q332" s="223"/>
      <c r="R332" s="223"/>
      <c r="S332" s="224"/>
      <c r="T332" s="64" t="s">
        <v>417</v>
      </c>
      <c r="X332" s="246"/>
      <c r="Y332" s="223"/>
      <c r="Z332" s="223"/>
      <c r="AA332" s="223"/>
      <c r="AB332" s="223"/>
      <c r="AC332" s="223"/>
      <c r="AD332" s="224"/>
      <c r="AE332" s="115"/>
      <c r="AH332" s="77"/>
    </row>
    <row r="333" spans="1:34" ht="4.5" customHeight="1">
      <c r="A333" s="115"/>
      <c r="B333" s="117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118"/>
      <c r="AH333" s="77"/>
    </row>
    <row r="334" spans="1:34" ht="12.75" customHeight="1">
      <c r="A334" s="115"/>
      <c r="B334" s="64" t="s">
        <v>472</v>
      </c>
      <c r="AE334" s="115"/>
      <c r="AH334" s="77"/>
    </row>
    <row r="335" spans="1:34" ht="12.75" customHeight="1">
      <c r="A335" s="115"/>
      <c r="B335" s="11" t="s">
        <v>111</v>
      </c>
      <c r="C335" s="64" t="s">
        <v>340</v>
      </c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1"/>
      <c r="W335" s="11"/>
      <c r="X335" s="11"/>
      <c r="Y335" s="11"/>
      <c r="Z335" s="11"/>
      <c r="AA335" s="11"/>
      <c r="AB335" s="11"/>
      <c r="AC335" s="11"/>
      <c r="AD335" s="11"/>
      <c r="AE335" s="115"/>
      <c r="AH335" s="77"/>
    </row>
    <row r="336" spans="1:34" ht="12.75" customHeight="1">
      <c r="A336" s="115"/>
      <c r="B336" s="11" t="s">
        <v>115</v>
      </c>
      <c r="C336" s="64" t="s">
        <v>391</v>
      </c>
      <c r="F336" s="108"/>
      <c r="G336" s="108"/>
      <c r="H336" s="108"/>
      <c r="I336" s="108"/>
      <c r="J336" s="108"/>
      <c r="K336" s="108"/>
      <c r="L336" s="108"/>
      <c r="M336" s="108"/>
      <c r="N336" s="108"/>
      <c r="O336" s="109"/>
      <c r="P336" s="109"/>
      <c r="Q336" s="109"/>
      <c r="R336" s="109"/>
      <c r="S336" s="109"/>
      <c r="T336" s="109"/>
      <c r="U336" s="109"/>
      <c r="V336" s="78"/>
      <c r="W336" s="78"/>
      <c r="X336" s="78"/>
      <c r="Y336" s="78"/>
      <c r="Z336" s="78"/>
      <c r="AA336" s="78"/>
      <c r="AB336" s="78"/>
      <c r="AC336" s="78"/>
      <c r="AD336" s="78"/>
      <c r="AE336" s="115"/>
      <c r="AH336" s="77"/>
    </row>
    <row r="337" spans="1:34" ht="12.75" customHeight="1">
      <c r="A337" s="115"/>
      <c r="B337" s="11" t="s">
        <v>118</v>
      </c>
      <c r="C337" s="64" t="s">
        <v>396</v>
      </c>
      <c r="F337" s="225" t="s">
        <v>397</v>
      </c>
      <c r="G337" s="239"/>
      <c r="H337" s="78"/>
      <c r="I337" s="78"/>
      <c r="J337" s="240" t="s">
        <v>398</v>
      </c>
      <c r="K337" s="194"/>
      <c r="L337" s="239"/>
      <c r="M337" s="78"/>
      <c r="N337" s="78"/>
      <c r="O337" s="240" t="s">
        <v>399</v>
      </c>
      <c r="P337" s="194"/>
      <c r="Q337" s="239"/>
      <c r="R337" s="78"/>
      <c r="S337" s="78"/>
      <c r="T337" s="78"/>
      <c r="U337" s="78"/>
      <c r="V337" s="240" t="s">
        <v>359</v>
      </c>
      <c r="W337" s="194"/>
      <c r="X337" s="239"/>
      <c r="Y337" s="78"/>
      <c r="Z337" s="78"/>
      <c r="AA337" s="78"/>
      <c r="AB337" s="11"/>
      <c r="AC337" s="11"/>
      <c r="AD337" s="11"/>
      <c r="AE337" s="115"/>
      <c r="AH337" s="77"/>
    </row>
    <row r="338" spans="1:34" ht="12.75" customHeight="1">
      <c r="A338" s="115"/>
      <c r="B338" s="11" t="s">
        <v>121</v>
      </c>
      <c r="C338" s="64" t="s">
        <v>128</v>
      </c>
      <c r="F338" s="78"/>
      <c r="G338" s="78"/>
      <c r="AE338" s="115"/>
      <c r="AH338" s="77"/>
    </row>
    <row r="339" spans="1:34" ht="12.75" customHeight="1">
      <c r="A339" s="115"/>
      <c r="B339" s="11" t="s">
        <v>124</v>
      </c>
      <c r="C339" s="64" t="s">
        <v>345</v>
      </c>
      <c r="F339" s="246"/>
      <c r="G339" s="223"/>
      <c r="H339" s="223"/>
      <c r="I339" s="223"/>
      <c r="J339" s="223"/>
      <c r="K339" s="223"/>
      <c r="L339" s="223"/>
      <c r="M339" s="223"/>
      <c r="N339" s="223"/>
      <c r="O339" s="223"/>
      <c r="P339" s="223"/>
      <c r="Q339" s="223"/>
      <c r="R339" s="223"/>
      <c r="S339" s="223"/>
      <c r="T339" s="223"/>
      <c r="U339" s="223"/>
      <c r="V339" s="223"/>
      <c r="W339" s="223"/>
      <c r="X339" s="223"/>
      <c r="Y339" s="223"/>
      <c r="Z339" s="223"/>
      <c r="AA339" s="223"/>
      <c r="AB339" s="223"/>
      <c r="AC339" s="223"/>
      <c r="AD339" s="224"/>
      <c r="AE339" s="115"/>
      <c r="AH339" s="77"/>
    </row>
    <row r="340" spans="1:34" ht="12.75" customHeight="1">
      <c r="A340" s="115"/>
      <c r="F340" s="64" t="s">
        <v>414</v>
      </c>
      <c r="L340" s="246"/>
      <c r="M340" s="223"/>
      <c r="N340" s="223"/>
      <c r="O340" s="223"/>
      <c r="P340" s="223"/>
      <c r="Q340" s="223"/>
      <c r="R340" s="223"/>
      <c r="S340" s="224"/>
      <c r="T340" s="64" t="s">
        <v>415</v>
      </c>
      <c r="X340" s="246"/>
      <c r="Y340" s="223"/>
      <c r="Z340" s="223"/>
      <c r="AA340" s="223"/>
      <c r="AB340" s="223"/>
      <c r="AC340" s="223"/>
      <c r="AD340" s="224"/>
      <c r="AE340" s="115"/>
      <c r="AH340" s="77"/>
    </row>
    <row r="341" spans="1:34" ht="12.75" customHeight="1">
      <c r="A341" s="115"/>
      <c r="F341" s="64" t="s">
        <v>416</v>
      </c>
      <c r="L341" s="246"/>
      <c r="M341" s="223"/>
      <c r="N341" s="223"/>
      <c r="O341" s="223"/>
      <c r="P341" s="223"/>
      <c r="Q341" s="223"/>
      <c r="R341" s="223"/>
      <c r="S341" s="224"/>
      <c r="T341" s="64" t="s">
        <v>417</v>
      </c>
      <c r="X341" s="246"/>
      <c r="Y341" s="223"/>
      <c r="Z341" s="223"/>
      <c r="AA341" s="223"/>
      <c r="AB341" s="223"/>
      <c r="AC341" s="223"/>
      <c r="AD341" s="224"/>
      <c r="AE341" s="115"/>
      <c r="AH341" s="77"/>
    </row>
    <row r="342" spans="1:34" ht="6.75" customHeight="1">
      <c r="A342" s="115"/>
      <c r="B342" s="119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  <c r="AB342" s="114"/>
      <c r="AC342" s="114"/>
      <c r="AD342" s="114"/>
      <c r="AE342" s="120"/>
      <c r="AH342" s="77"/>
    </row>
    <row r="343" spans="1:34" ht="12.75" customHeight="1">
      <c r="AH343" s="77"/>
    </row>
    <row r="344" spans="1:34" ht="12.75" customHeight="1">
      <c r="U344" s="3" t="s">
        <v>493</v>
      </c>
      <c r="AH344" s="77"/>
    </row>
    <row r="345" spans="1:34" ht="12.75" customHeight="1">
      <c r="C345" s="225" t="s">
        <v>480</v>
      </c>
      <c r="D345" s="194"/>
      <c r="E345" s="194"/>
      <c r="F345" s="194"/>
      <c r="G345" s="194"/>
      <c r="AH345" s="77"/>
    </row>
    <row r="346" spans="1:34" ht="12.75" customHeight="1">
      <c r="C346" s="225" t="s">
        <v>494</v>
      </c>
      <c r="D346" s="194"/>
      <c r="E346" s="194"/>
      <c r="F346" s="194"/>
      <c r="G346" s="194"/>
      <c r="W346" s="64" t="s">
        <v>481</v>
      </c>
      <c r="AH346" s="77"/>
    </row>
    <row r="347" spans="1:34" ht="12.75" customHeight="1">
      <c r="C347" s="225" t="s">
        <v>365</v>
      </c>
      <c r="D347" s="194"/>
      <c r="E347" s="194"/>
      <c r="F347" s="194"/>
      <c r="G347" s="194"/>
      <c r="AH347" s="77"/>
    </row>
    <row r="348" spans="1:34" ht="12.75" customHeight="1">
      <c r="C348" s="225" t="s">
        <v>500</v>
      </c>
      <c r="D348" s="194"/>
      <c r="E348" s="194"/>
      <c r="F348" s="194"/>
      <c r="G348" s="194"/>
      <c r="AH348" s="77"/>
    </row>
    <row r="349" spans="1:34" ht="5.25" customHeight="1">
      <c r="AH349" s="77"/>
    </row>
    <row r="350" spans="1:34" ht="12.75" customHeight="1">
      <c r="AH350" s="77"/>
    </row>
    <row r="351" spans="1:34" ht="12.75" customHeight="1">
      <c r="AH351" s="77"/>
    </row>
    <row r="352" spans="1:34" ht="12.75" customHeight="1">
      <c r="C352" s="11"/>
      <c r="D352" s="11"/>
      <c r="E352" s="11"/>
      <c r="F352" s="11"/>
      <c r="G352" s="11"/>
      <c r="W352" s="3"/>
      <c r="AH352" s="77"/>
    </row>
    <row r="353" spans="2:34" ht="12.75" customHeight="1">
      <c r="C353" s="225" t="s">
        <v>501</v>
      </c>
      <c r="D353" s="194"/>
      <c r="E353" s="194"/>
      <c r="F353" s="194"/>
      <c r="G353" s="194"/>
      <c r="W353" s="3" t="s">
        <v>495</v>
      </c>
      <c r="AH353" s="77"/>
    </row>
    <row r="354" spans="2:34" ht="12.75" customHeight="1">
      <c r="C354" s="11"/>
      <c r="D354" s="11"/>
      <c r="E354" s="11"/>
      <c r="F354" s="11"/>
      <c r="G354" s="11"/>
      <c r="W354" s="3"/>
      <c r="AH354" s="77"/>
    </row>
    <row r="355" spans="2:34" ht="12.75" customHeight="1">
      <c r="C355" s="11"/>
      <c r="D355" s="11"/>
      <c r="E355" s="11"/>
      <c r="F355" s="11"/>
      <c r="G355" s="11"/>
      <c r="W355" s="3"/>
      <c r="AH355" s="77"/>
    </row>
    <row r="356" spans="2:34" ht="12.75" customHeight="1">
      <c r="C356" s="11"/>
      <c r="D356" s="11"/>
      <c r="E356" s="11"/>
      <c r="F356" s="11"/>
      <c r="G356" s="11"/>
      <c r="W356" s="3"/>
      <c r="AH356" s="77"/>
    </row>
    <row r="357" spans="2:34" ht="12.75" customHeight="1">
      <c r="Y357" s="235" t="s">
        <v>368</v>
      </c>
      <c r="Z357" s="236"/>
      <c r="AA357" s="236"/>
      <c r="AB357" s="236"/>
      <c r="AC357" s="237"/>
      <c r="AH357" s="77"/>
    </row>
    <row r="358" spans="2:34" ht="12.75" customHeight="1">
      <c r="AH358" s="77"/>
    </row>
    <row r="359" spans="2:34" ht="12.75" customHeight="1">
      <c r="B359" s="64" t="s">
        <v>369</v>
      </c>
      <c r="D359" s="11" t="s">
        <v>10</v>
      </c>
      <c r="F359" s="64" t="s">
        <v>370</v>
      </c>
      <c r="P359" s="64" t="s">
        <v>371</v>
      </c>
      <c r="R359" s="11" t="s">
        <v>10</v>
      </c>
      <c r="S359" s="64" t="s">
        <v>372</v>
      </c>
      <c r="V359" s="11" t="s">
        <v>10</v>
      </c>
      <c r="W359" s="64" t="s">
        <v>373</v>
      </c>
      <c r="AH359" s="77"/>
    </row>
    <row r="360" spans="2:34" ht="12.75" customHeight="1">
      <c r="B360" s="64" t="s">
        <v>331</v>
      </c>
      <c r="D360" s="11" t="s">
        <v>10</v>
      </c>
      <c r="F360" s="64" t="s">
        <v>374</v>
      </c>
      <c r="S360" s="64" t="s">
        <v>375</v>
      </c>
      <c r="V360" s="11" t="s">
        <v>10</v>
      </c>
      <c r="W360" s="64" t="s">
        <v>376</v>
      </c>
      <c r="AH360" s="77"/>
    </row>
    <row r="361" spans="2:34" ht="12.75" customHeight="1">
      <c r="B361" s="64" t="s">
        <v>377</v>
      </c>
      <c r="D361" s="11" t="s">
        <v>10</v>
      </c>
      <c r="F361" s="64" t="s">
        <v>378</v>
      </c>
      <c r="P361" s="62"/>
      <c r="S361" s="64" t="s">
        <v>379</v>
      </c>
      <c r="V361" s="11" t="s">
        <v>10</v>
      </c>
      <c r="W361" s="64" t="s">
        <v>380</v>
      </c>
      <c r="AH361" s="77"/>
    </row>
    <row r="362" spans="2:34" ht="12.75" customHeight="1">
      <c r="B362" s="64" t="s">
        <v>381</v>
      </c>
      <c r="D362" s="11" t="s">
        <v>10</v>
      </c>
      <c r="F362" s="78">
        <v>3</v>
      </c>
      <c r="G362" s="78">
        <v>3</v>
      </c>
      <c r="H362" s="78">
        <v>2</v>
      </c>
      <c r="I362" s="78">
        <v>7</v>
      </c>
      <c r="J362" s="78">
        <v>0</v>
      </c>
      <c r="K362" s="78">
        <v>4</v>
      </c>
      <c r="L362" s="78">
        <v>0</v>
      </c>
      <c r="M362" s="78">
        <v>2</v>
      </c>
      <c r="N362" s="78">
        <v>0</v>
      </c>
      <c r="O362" s="78">
        <v>2</v>
      </c>
      <c r="P362" s="11">
        <v>2</v>
      </c>
      <c r="Q362" s="79"/>
      <c r="S362" s="64" t="s">
        <v>382</v>
      </c>
      <c r="V362" s="11" t="s">
        <v>10</v>
      </c>
      <c r="W362" s="64" t="s">
        <v>383</v>
      </c>
      <c r="AH362" s="77"/>
    </row>
    <row r="363" spans="2:34" ht="12.75" customHeight="1">
      <c r="P363" s="59"/>
      <c r="AH363" s="77"/>
    </row>
    <row r="364" spans="2:34" ht="12.75" customHeight="1">
      <c r="B364" s="196" t="s">
        <v>334</v>
      </c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194"/>
      <c r="Z364" s="194"/>
      <c r="AA364" s="194"/>
      <c r="AB364" s="194"/>
      <c r="AC364" s="194"/>
      <c r="AD364" s="194"/>
      <c r="AH364" s="77"/>
    </row>
    <row r="365" spans="2:34" ht="12.75" customHeight="1">
      <c r="B365" s="225" t="s">
        <v>502</v>
      </c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194"/>
      <c r="Z365" s="194"/>
      <c r="AA365" s="194"/>
      <c r="AB365" s="194"/>
      <c r="AC365" s="194"/>
      <c r="AD365" s="194"/>
      <c r="AH365" s="77"/>
    </row>
    <row r="366" spans="2:34" ht="12.75" customHeight="1">
      <c r="AH366" s="77"/>
    </row>
    <row r="367" spans="2:34" ht="12.75" customHeight="1">
      <c r="B367" s="64" t="s">
        <v>385</v>
      </c>
      <c r="D367" s="11" t="s">
        <v>10</v>
      </c>
      <c r="F367" s="78" t="s">
        <v>468</v>
      </c>
      <c r="G367" s="78" t="s">
        <v>477</v>
      </c>
      <c r="H367" s="78" t="s">
        <v>466</v>
      </c>
      <c r="I367" s="78" t="s">
        <v>469</v>
      </c>
      <c r="J367" s="78" t="s">
        <v>475</v>
      </c>
      <c r="K367" s="78"/>
      <c r="L367" s="78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  <c r="AC367" s="91"/>
      <c r="AD367" s="91"/>
      <c r="AH367" s="77"/>
    </row>
    <row r="368" spans="2:34" ht="12.75" customHeight="1">
      <c r="B368" s="64" t="s">
        <v>387</v>
      </c>
      <c r="D368" s="11" t="s">
        <v>10</v>
      </c>
      <c r="F368" s="78">
        <v>3</v>
      </c>
      <c r="G368" s="78">
        <v>3</v>
      </c>
      <c r="H368" s="78">
        <v>2</v>
      </c>
      <c r="I368" s="78">
        <v>7</v>
      </c>
      <c r="J368" s="78">
        <v>0</v>
      </c>
      <c r="K368" s="78">
        <v>4</v>
      </c>
      <c r="L368" s="78">
        <v>1</v>
      </c>
      <c r="M368" s="78">
        <v>0</v>
      </c>
      <c r="N368" s="78">
        <v>0</v>
      </c>
      <c r="O368" s="78">
        <v>4</v>
      </c>
      <c r="P368" s="78">
        <v>0</v>
      </c>
      <c r="Q368" s="78">
        <v>7</v>
      </c>
      <c r="R368" s="78">
        <v>0</v>
      </c>
      <c r="S368" s="78">
        <v>0</v>
      </c>
      <c r="T368" s="78">
        <v>1</v>
      </c>
      <c r="U368" s="78">
        <v>3</v>
      </c>
      <c r="V368" s="91"/>
      <c r="W368" s="91"/>
      <c r="X368" s="91"/>
      <c r="Y368" s="91"/>
      <c r="AH368" s="77"/>
    </row>
    <row r="369" spans="1:34" ht="12.75" customHeight="1"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  <c r="AA369" s="114"/>
      <c r="AB369" s="114"/>
      <c r="AC369" s="114"/>
      <c r="AD369" s="114"/>
      <c r="AE369" s="114"/>
      <c r="AH369" s="77"/>
    </row>
    <row r="370" spans="1:34" ht="12.75" customHeight="1">
      <c r="A370" s="115"/>
      <c r="B370" s="38" t="s">
        <v>389</v>
      </c>
      <c r="AE370" s="116"/>
      <c r="AH370" s="77"/>
    </row>
    <row r="371" spans="1:34" ht="12.75" customHeight="1">
      <c r="A371" s="115"/>
      <c r="B371" s="11" t="s">
        <v>111</v>
      </c>
      <c r="C371" s="64" t="s">
        <v>340</v>
      </c>
      <c r="D371" s="11" t="s">
        <v>10</v>
      </c>
      <c r="F371" s="95">
        <v>3</v>
      </c>
      <c r="G371" s="95">
        <v>3</v>
      </c>
      <c r="H371" s="95">
        <v>2</v>
      </c>
      <c r="I371" s="95">
        <v>7</v>
      </c>
      <c r="J371" s="95">
        <v>0</v>
      </c>
      <c r="K371" s="95">
        <v>4</v>
      </c>
      <c r="L371" s="95">
        <v>1</v>
      </c>
      <c r="M371" s="95">
        <v>2</v>
      </c>
      <c r="N371" s="95">
        <v>0</v>
      </c>
      <c r="O371" s="95">
        <v>4</v>
      </c>
      <c r="P371" s="95">
        <v>6</v>
      </c>
      <c r="Q371" s="95">
        <v>4</v>
      </c>
      <c r="R371" s="95">
        <v>0</v>
      </c>
      <c r="S371" s="95">
        <v>0</v>
      </c>
      <c r="T371" s="95">
        <v>0</v>
      </c>
      <c r="U371" s="95">
        <v>1</v>
      </c>
      <c r="AE371" s="115"/>
      <c r="AH371" s="77"/>
    </row>
    <row r="372" spans="1:34" ht="12.75" customHeight="1">
      <c r="A372" s="115"/>
      <c r="B372" s="11" t="s">
        <v>115</v>
      </c>
      <c r="C372" s="64" t="s">
        <v>391</v>
      </c>
      <c r="D372" s="11" t="s">
        <v>10</v>
      </c>
      <c r="F372" s="78" t="s">
        <v>464</v>
      </c>
      <c r="G372" s="78" t="s">
        <v>503</v>
      </c>
      <c r="H372" s="78" t="s">
        <v>498</v>
      </c>
      <c r="I372" s="78" t="s">
        <v>467</v>
      </c>
      <c r="J372" s="78" t="s">
        <v>468</v>
      </c>
      <c r="K372" s="78" t="s">
        <v>477</v>
      </c>
      <c r="L372" s="91" t="s">
        <v>473</v>
      </c>
      <c r="M372" s="91" t="s">
        <v>466</v>
      </c>
      <c r="N372" s="91" t="s">
        <v>469</v>
      </c>
      <c r="O372" s="91" t="s">
        <v>475</v>
      </c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  <c r="AC372" s="91"/>
      <c r="AD372" s="91"/>
      <c r="AE372" s="115"/>
      <c r="AH372" s="77"/>
    </row>
    <row r="373" spans="1:34" ht="12.75" customHeight="1">
      <c r="A373" s="115"/>
      <c r="B373" s="11" t="s">
        <v>118</v>
      </c>
      <c r="C373" s="64" t="s">
        <v>285</v>
      </c>
      <c r="D373" s="11" t="s">
        <v>10</v>
      </c>
      <c r="F373" s="78">
        <v>1</v>
      </c>
      <c r="G373" s="64" t="s">
        <v>393</v>
      </c>
      <c r="M373" s="55"/>
      <c r="N373" s="64" t="s">
        <v>394</v>
      </c>
      <c r="AE373" s="115"/>
      <c r="AH373" s="77"/>
    </row>
    <row r="374" spans="1:34" ht="12.75" customHeight="1">
      <c r="A374" s="115"/>
      <c r="B374" s="11" t="s">
        <v>121</v>
      </c>
      <c r="C374" s="64" t="s">
        <v>396</v>
      </c>
      <c r="D374" s="11" t="s">
        <v>10</v>
      </c>
      <c r="F374" s="225" t="s">
        <v>397</v>
      </c>
      <c r="G374" s="239"/>
      <c r="H374" s="95">
        <v>1</v>
      </c>
      <c r="I374" s="95">
        <v>2</v>
      </c>
      <c r="J374" s="240" t="s">
        <v>398</v>
      </c>
      <c r="K374" s="194"/>
      <c r="L374" s="239"/>
      <c r="M374" s="95">
        <v>0</v>
      </c>
      <c r="N374" s="95">
        <v>4</v>
      </c>
      <c r="O374" s="240" t="s">
        <v>399</v>
      </c>
      <c r="P374" s="194"/>
      <c r="Q374" s="239"/>
      <c r="R374" s="78">
        <v>1</v>
      </c>
      <c r="S374" s="78">
        <v>9</v>
      </c>
      <c r="T374" s="78">
        <v>6</v>
      </c>
      <c r="U374" s="78">
        <v>4</v>
      </c>
      <c r="V374" s="240" t="s">
        <v>359</v>
      </c>
      <c r="W374" s="194"/>
      <c r="X374" s="239"/>
      <c r="Y374" s="78">
        <v>5</v>
      </c>
      <c r="Z374" s="78">
        <v>9</v>
      </c>
      <c r="AA374" s="91"/>
      <c r="AE374" s="115"/>
      <c r="AH374" s="77"/>
    </row>
    <row r="375" spans="1:34" ht="12.75" customHeight="1">
      <c r="A375" s="115"/>
      <c r="B375" s="11" t="s">
        <v>124</v>
      </c>
      <c r="C375" s="64" t="s">
        <v>403</v>
      </c>
      <c r="D375" s="11" t="s">
        <v>10</v>
      </c>
      <c r="F375" s="78" t="s">
        <v>487</v>
      </c>
      <c r="G375" s="78" t="s">
        <v>488</v>
      </c>
      <c r="H375" s="78" t="s">
        <v>475</v>
      </c>
      <c r="I375" s="78" t="s">
        <v>464</v>
      </c>
      <c r="J375" s="78" t="s">
        <v>474</v>
      </c>
      <c r="K375" s="78" t="s">
        <v>464</v>
      </c>
      <c r="L375" s="78" t="s">
        <v>485</v>
      </c>
      <c r="M375" s="78" t="s">
        <v>489</v>
      </c>
      <c r="N375" s="78"/>
      <c r="O375" s="78"/>
      <c r="P375" s="78"/>
      <c r="Q375" s="78"/>
      <c r="R375" s="242" t="s">
        <v>404</v>
      </c>
      <c r="S375" s="243"/>
      <c r="T375" s="243"/>
      <c r="U375" s="244"/>
      <c r="V375" s="78">
        <v>3</v>
      </c>
      <c r="W375" s="78">
        <v>3</v>
      </c>
      <c r="X375" s="240" t="s">
        <v>405</v>
      </c>
      <c r="Y375" s="194"/>
      <c r="Z375" s="194"/>
      <c r="AA375" s="239"/>
      <c r="AB375" s="78">
        <v>2</v>
      </c>
      <c r="AC375" s="78">
        <v>7</v>
      </c>
      <c r="AE375" s="115"/>
      <c r="AH375" s="77"/>
    </row>
    <row r="376" spans="1:34" ht="12.75" customHeight="1">
      <c r="A376" s="115"/>
      <c r="B376" s="11" t="s">
        <v>127</v>
      </c>
      <c r="C376" s="64" t="s">
        <v>125</v>
      </c>
      <c r="D376" s="11" t="s">
        <v>10</v>
      </c>
      <c r="F376" s="55">
        <v>1</v>
      </c>
      <c r="G376" s="64" t="s">
        <v>406</v>
      </c>
      <c r="K376" s="64" t="s">
        <v>407</v>
      </c>
      <c r="O376" s="64" t="s">
        <v>408</v>
      </c>
      <c r="S376" s="64" t="s">
        <v>409</v>
      </c>
      <c r="W376" s="64" t="s">
        <v>410</v>
      </c>
      <c r="Z376" s="64" t="s">
        <v>411</v>
      </c>
      <c r="AE376" s="115"/>
      <c r="AH376" s="77"/>
    </row>
    <row r="377" spans="1:34" ht="12.75" customHeight="1">
      <c r="A377" s="115"/>
      <c r="B377" s="11" t="s">
        <v>130</v>
      </c>
      <c r="C377" s="64" t="s">
        <v>128</v>
      </c>
      <c r="D377" s="11" t="s">
        <v>10</v>
      </c>
      <c r="F377" s="95">
        <v>8</v>
      </c>
      <c r="G377" s="95">
        <v>5</v>
      </c>
      <c r="AE377" s="115"/>
      <c r="AH377" s="77"/>
    </row>
    <row r="378" spans="1:34" ht="12.75" customHeight="1">
      <c r="A378" s="115"/>
      <c r="B378" s="11" t="s">
        <v>134</v>
      </c>
      <c r="C378" s="64" t="s">
        <v>345</v>
      </c>
      <c r="D378" s="11" t="s">
        <v>10</v>
      </c>
      <c r="F378" s="246" t="s">
        <v>471</v>
      </c>
      <c r="G378" s="223"/>
      <c r="H378" s="223"/>
      <c r="I378" s="223"/>
      <c r="J378" s="223"/>
      <c r="K378" s="223"/>
      <c r="L378" s="223"/>
      <c r="M378" s="223"/>
      <c r="N378" s="223"/>
      <c r="O378" s="223"/>
      <c r="P378" s="223"/>
      <c r="Q378" s="223"/>
      <c r="R378" s="223"/>
      <c r="S378" s="223"/>
      <c r="T378" s="223"/>
      <c r="U378" s="223"/>
      <c r="V378" s="223"/>
      <c r="W378" s="223"/>
      <c r="X378" s="223"/>
      <c r="Y378" s="223"/>
      <c r="Z378" s="223"/>
      <c r="AA378" s="223"/>
      <c r="AB378" s="223"/>
      <c r="AC378" s="223"/>
      <c r="AD378" s="224"/>
      <c r="AE378" s="115"/>
      <c r="AH378" s="77"/>
    </row>
    <row r="379" spans="1:34" ht="12.75" customHeight="1">
      <c r="A379" s="115"/>
      <c r="B379" s="11"/>
      <c r="F379" s="64" t="s">
        <v>414</v>
      </c>
      <c r="L379" s="246" t="s">
        <v>102</v>
      </c>
      <c r="M379" s="223"/>
      <c r="N379" s="223"/>
      <c r="O379" s="223"/>
      <c r="P379" s="223"/>
      <c r="Q379" s="223"/>
      <c r="R379" s="223"/>
      <c r="S379" s="224"/>
      <c r="T379" s="64" t="s">
        <v>415</v>
      </c>
      <c r="X379" s="246" t="s">
        <v>106</v>
      </c>
      <c r="Y379" s="223"/>
      <c r="Z379" s="223"/>
      <c r="AA379" s="223"/>
      <c r="AB379" s="223"/>
      <c r="AC379" s="223"/>
      <c r="AD379" s="224"/>
      <c r="AE379" s="115"/>
      <c r="AH379" s="77"/>
    </row>
    <row r="380" spans="1:34" ht="12.75" customHeight="1">
      <c r="A380" s="115"/>
      <c r="B380" s="11"/>
      <c r="F380" s="64" t="s">
        <v>416</v>
      </c>
      <c r="L380" s="246" t="s">
        <v>104</v>
      </c>
      <c r="M380" s="223"/>
      <c r="N380" s="223"/>
      <c r="O380" s="223"/>
      <c r="P380" s="223"/>
      <c r="Q380" s="223"/>
      <c r="R380" s="223"/>
      <c r="S380" s="224"/>
      <c r="T380" s="64" t="s">
        <v>417</v>
      </c>
      <c r="X380" s="246" t="s">
        <v>418</v>
      </c>
      <c r="Y380" s="223"/>
      <c r="Z380" s="223"/>
      <c r="AA380" s="223"/>
      <c r="AB380" s="223"/>
      <c r="AC380" s="223"/>
      <c r="AD380" s="224"/>
      <c r="AE380" s="115"/>
      <c r="AH380" s="77"/>
    </row>
    <row r="381" spans="1:34" ht="12.75" customHeight="1">
      <c r="A381" s="115"/>
      <c r="B381" s="11" t="s">
        <v>137</v>
      </c>
      <c r="C381" s="64" t="s">
        <v>419</v>
      </c>
      <c r="D381" s="11" t="s">
        <v>10</v>
      </c>
      <c r="F381" s="91">
        <v>1</v>
      </c>
      <c r="G381" s="64" t="s">
        <v>111</v>
      </c>
      <c r="J381" s="64" t="s">
        <v>115</v>
      </c>
      <c r="M381" s="64" t="s">
        <v>118</v>
      </c>
      <c r="P381" s="64" t="s">
        <v>420</v>
      </c>
      <c r="AE381" s="115"/>
      <c r="AH381" s="77"/>
    </row>
    <row r="382" spans="1:34" ht="12.75" customHeight="1">
      <c r="A382" s="115"/>
      <c r="B382" s="11" t="s">
        <v>145</v>
      </c>
      <c r="C382" s="64" t="s">
        <v>421</v>
      </c>
      <c r="D382" s="11" t="s">
        <v>10</v>
      </c>
      <c r="F382" s="225" t="s">
        <v>397</v>
      </c>
      <c r="G382" s="194"/>
      <c r="H382" s="95">
        <v>1</v>
      </c>
      <c r="I382" s="95">
        <v>5</v>
      </c>
      <c r="J382" s="240" t="s">
        <v>422</v>
      </c>
      <c r="K382" s="194"/>
      <c r="L382" s="194"/>
      <c r="M382" s="78">
        <v>1</v>
      </c>
      <c r="N382" s="78">
        <v>0</v>
      </c>
      <c r="O382" s="240" t="s">
        <v>399</v>
      </c>
      <c r="P382" s="194"/>
      <c r="Q382" s="194"/>
      <c r="R382" s="78">
        <v>2</v>
      </c>
      <c r="S382" s="78">
        <v>0</v>
      </c>
      <c r="T382" s="78">
        <v>2</v>
      </c>
      <c r="U382" s="78">
        <v>3</v>
      </c>
      <c r="V382" s="11"/>
      <c r="AE382" s="115"/>
      <c r="AH382" s="77"/>
    </row>
    <row r="383" spans="1:34" ht="12.75" customHeight="1">
      <c r="A383" s="115"/>
      <c r="B383" s="11" t="s">
        <v>424</v>
      </c>
      <c r="C383" s="64" t="s">
        <v>425</v>
      </c>
      <c r="D383" s="11" t="s">
        <v>10</v>
      </c>
      <c r="F383" s="91">
        <v>0</v>
      </c>
      <c r="G383" s="91">
        <v>9</v>
      </c>
      <c r="H383" s="91">
        <v>3</v>
      </c>
      <c r="I383" s="91">
        <v>0</v>
      </c>
      <c r="AE383" s="115"/>
      <c r="AH383" s="77"/>
    </row>
    <row r="384" spans="1:34" ht="12.75" customHeight="1">
      <c r="A384" s="115"/>
      <c r="B384" s="11" t="s">
        <v>427</v>
      </c>
      <c r="C384" s="64" t="s">
        <v>428</v>
      </c>
      <c r="D384" s="11" t="s">
        <v>10</v>
      </c>
      <c r="F384" s="91">
        <v>1</v>
      </c>
      <c r="G384" s="64" t="s">
        <v>429</v>
      </c>
      <c r="P384" s="64" t="s">
        <v>430</v>
      </c>
      <c r="X384" s="64" t="s">
        <v>431</v>
      </c>
      <c r="AE384" s="115"/>
      <c r="AH384" s="77"/>
    </row>
    <row r="385" spans="1:34" ht="12.75" customHeight="1">
      <c r="A385" s="115"/>
      <c r="B385" s="11"/>
      <c r="D385" s="11"/>
      <c r="G385" s="64" t="s">
        <v>432</v>
      </c>
      <c r="P385" s="64" t="s">
        <v>433</v>
      </c>
      <c r="X385" s="64" t="s">
        <v>411</v>
      </c>
      <c r="AE385" s="115"/>
      <c r="AH385" s="77"/>
    </row>
    <row r="386" spans="1:34" ht="12.75" customHeight="1">
      <c r="A386" s="115"/>
      <c r="B386" s="11" t="s">
        <v>434</v>
      </c>
      <c r="C386" s="64" t="s">
        <v>435</v>
      </c>
      <c r="D386" s="11" t="s">
        <v>10</v>
      </c>
      <c r="F386" s="78" t="s">
        <v>468</v>
      </c>
      <c r="G386" s="78" t="s">
        <v>467</v>
      </c>
      <c r="H386" s="78" t="s">
        <v>475</v>
      </c>
      <c r="I386" s="78" t="s">
        <v>464</v>
      </c>
      <c r="J386" s="78" t="s">
        <v>466</v>
      </c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AE386" s="115"/>
      <c r="AH386" s="77"/>
    </row>
    <row r="387" spans="1:34" ht="12.75" customHeight="1">
      <c r="A387" s="115"/>
      <c r="B387" s="11" t="s">
        <v>436</v>
      </c>
      <c r="C387" s="64" t="s">
        <v>437</v>
      </c>
      <c r="D387" s="11" t="s">
        <v>10</v>
      </c>
      <c r="F387" s="78">
        <v>4</v>
      </c>
      <c r="G387" s="64" t="s">
        <v>438</v>
      </c>
      <c r="L387" s="64" t="s">
        <v>439</v>
      </c>
      <c r="T387" s="64" t="s">
        <v>440</v>
      </c>
      <c r="Y387" s="64" t="s">
        <v>441</v>
      </c>
      <c r="AE387" s="115"/>
      <c r="AH387" s="77"/>
    </row>
    <row r="388" spans="1:34" ht="6.75" customHeight="1">
      <c r="A388" s="115"/>
      <c r="B388" s="117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118"/>
      <c r="AH388" s="77"/>
    </row>
    <row r="389" spans="1:34" ht="12.75" customHeight="1">
      <c r="A389" s="115"/>
      <c r="B389" s="38" t="s">
        <v>442</v>
      </c>
      <c r="AE389" s="115"/>
      <c r="AH389" s="77"/>
    </row>
    <row r="390" spans="1:34" ht="12.75" customHeight="1">
      <c r="A390" s="115"/>
      <c r="B390" s="11" t="s">
        <v>111</v>
      </c>
      <c r="C390" s="64" t="s">
        <v>340</v>
      </c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AE390" s="115"/>
      <c r="AH390" s="77"/>
    </row>
    <row r="391" spans="1:34" ht="12.75" customHeight="1">
      <c r="A391" s="115"/>
      <c r="B391" s="11" t="s">
        <v>115</v>
      </c>
      <c r="C391" s="64" t="s">
        <v>391</v>
      </c>
      <c r="F391" s="78" t="s">
        <v>465</v>
      </c>
      <c r="G391" s="78" t="s">
        <v>464</v>
      </c>
      <c r="H391" s="78" t="s">
        <v>468</v>
      </c>
      <c r="I391" s="78" t="s">
        <v>476</v>
      </c>
      <c r="J391" s="78" t="s">
        <v>464</v>
      </c>
      <c r="K391" s="78" t="s">
        <v>491</v>
      </c>
      <c r="L391" s="78" t="s">
        <v>469</v>
      </c>
      <c r="M391" s="78"/>
      <c r="N391" s="78"/>
      <c r="O391" s="78"/>
      <c r="P391" s="78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  <c r="AC391" s="91"/>
      <c r="AD391" s="91"/>
      <c r="AE391" s="115"/>
      <c r="AH391" s="77"/>
    </row>
    <row r="392" spans="1:34" ht="12.75" customHeight="1">
      <c r="A392" s="115"/>
      <c r="B392" s="11" t="s">
        <v>118</v>
      </c>
      <c r="C392" s="64" t="s">
        <v>396</v>
      </c>
      <c r="F392" s="225" t="s">
        <v>397</v>
      </c>
      <c r="G392" s="239"/>
      <c r="H392" s="55"/>
      <c r="I392" s="55"/>
      <c r="J392" s="240" t="s">
        <v>398</v>
      </c>
      <c r="K392" s="194"/>
      <c r="L392" s="239"/>
      <c r="M392" s="55"/>
      <c r="N392" s="55"/>
      <c r="O392" s="240" t="s">
        <v>399</v>
      </c>
      <c r="P392" s="194"/>
      <c r="Q392" s="239"/>
      <c r="R392" s="91"/>
      <c r="S392" s="91"/>
      <c r="T392" s="91"/>
      <c r="U392" s="91"/>
      <c r="V392" s="240" t="s">
        <v>359</v>
      </c>
      <c r="W392" s="194"/>
      <c r="X392" s="239"/>
      <c r="Y392" s="91"/>
      <c r="Z392" s="91"/>
      <c r="AA392" s="91"/>
      <c r="AE392" s="115"/>
      <c r="AH392" s="77"/>
    </row>
    <row r="393" spans="1:34" ht="12.75" customHeight="1">
      <c r="A393" s="115"/>
      <c r="B393" s="11" t="s">
        <v>121</v>
      </c>
      <c r="C393" s="64" t="s">
        <v>128</v>
      </c>
      <c r="F393" s="91"/>
      <c r="G393" s="91"/>
      <c r="AE393" s="115"/>
      <c r="AH393" s="77"/>
    </row>
    <row r="394" spans="1:34" ht="12.75" customHeight="1">
      <c r="A394" s="115"/>
      <c r="B394" s="11" t="s">
        <v>124</v>
      </c>
      <c r="C394" s="64" t="s">
        <v>345</v>
      </c>
      <c r="F394" s="252"/>
      <c r="G394" s="223"/>
      <c r="H394" s="223"/>
      <c r="I394" s="223"/>
      <c r="J394" s="223"/>
      <c r="K394" s="223"/>
      <c r="L394" s="223"/>
      <c r="M394" s="223"/>
      <c r="N394" s="223"/>
      <c r="O394" s="223"/>
      <c r="P394" s="223"/>
      <c r="Q394" s="223"/>
      <c r="R394" s="223"/>
      <c r="S394" s="223"/>
      <c r="T394" s="223"/>
      <c r="U394" s="223"/>
      <c r="V394" s="223"/>
      <c r="W394" s="223"/>
      <c r="X394" s="223"/>
      <c r="Y394" s="223"/>
      <c r="Z394" s="223"/>
      <c r="AA394" s="223"/>
      <c r="AB394" s="223"/>
      <c r="AC394" s="223"/>
      <c r="AD394" s="224"/>
      <c r="AE394" s="115"/>
      <c r="AH394" s="77"/>
    </row>
    <row r="395" spans="1:34" ht="12.75" customHeight="1">
      <c r="A395" s="115"/>
      <c r="F395" s="64" t="s">
        <v>414</v>
      </c>
      <c r="L395" s="252"/>
      <c r="M395" s="223"/>
      <c r="N395" s="223"/>
      <c r="O395" s="223"/>
      <c r="P395" s="223"/>
      <c r="Q395" s="223"/>
      <c r="R395" s="223"/>
      <c r="S395" s="224"/>
      <c r="T395" s="64" t="s">
        <v>415</v>
      </c>
      <c r="X395" s="252"/>
      <c r="Y395" s="223"/>
      <c r="Z395" s="223"/>
      <c r="AA395" s="223"/>
      <c r="AB395" s="223"/>
      <c r="AC395" s="223"/>
      <c r="AD395" s="224"/>
      <c r="AE395" s="115"/>
      <c r="AH395" s="77"/>
    </row>
    <row r="396" spans="1:34" ht="12.75" customHeight="1">
      <c r="A396" s="115"/>
      <c r="F396" s="64" t="s">
        <v>416</v>
      </c>
      <c r="L396" s="252"/>
      <c r="M396" s="223"/>
      <c r="N396" s="223"/>
      <c r="O396" s="223"/>
      <c r="P396" s="223"/>
      <c r="Q396" s="223"/>
      <c r="R396" s="223"/>
      <c r="S396" s="224"/>
      <c r="T396" s="64" t="s">
        <v>417</v>
      </c>
      <c r="X396" s="252"/>
      <c r="Y396" s="223"/>
      <c r="Z396" s="223"/>
      <c r="AA396" s="223"/>
      <c r="AB396" s="223"/>
      <c r="AC396" s="223"/>
      <c r="AD396" s="224"/>
      <c r="AE396" s="115"/>
      <c r="AH396" s="77"/>
    </row>
    <row r="397" spans="1:34" ht="4.5" customHeight="1">
      <c r="A397" s="115"/>
      <c r="B397" s="117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118"/>
      <c r="AH397" s="77"/>
    </row>
    <row r="398" spans="1:34" ht="12.75" customHeight="1">
      <c r="A398" s="115"/>
      <c r="B398" s="38" t="s">
        <v>448</v>
      </c>
      <c r="AE398" s="115"/>
      <c r="AH398" s="77"/>
    </row>
    <row r="399" spans="1:34" ht="12.75" customHeight="1">
      <c r="A399" s="115"/>
      <c r="B399" s="11" t="s">
        <v>111</v>
      </c>
      <c r="C399" s="64" t="s">
        <v>340</v>
      </c>
      <c r="F399" s="55">
        <v>3</v>
      </c>
      <c r="G399" s="55">
        <v>3</v>
      </c>
      <c r="H399" s="55">
        <v>2</v>
      </c>
      <c r="I399" s="55">
        <v>7</v>
      </c>
      <c r="J399" s="55">
        <v>0</v>
      </c>
      <c r="K399" s="55">
        <v>4</v>
      </c>
      <c r="L399" s="55">
        <v>4</v>
      </c>
      <c r="M399" s="55">
        <v>1</v>
      </c>
      <c r="N399" s="55">
        <v>0</v>
      </c>
      <c r="O399" s="55">
        <v>7</v>
      </c>
      <c r="P399" s="55">
        <v>4</v>
      </c>
      <c r="Q399" s="55">
        <v>6</v>
      </c>
      <c r="R399" s="55">
        <v>0</v>
      </c>
      <c r="S399" s="55">
        <v>0</v>
      </c>
      <c r="T399" s="55">
        <v>6</v>
      </c>
      <c r="U399" s="55">
        <v>8</v>
      </c>
      <c r="AE399" s="115"/>
      <c r="AH399" s="77"/>
    </row>
    <row r="400" spans="1:34" ht="12.75" customHeight="1">
      <c r="A400" s="115"/>
      <c r="B400" s="11" t="s">
        <v>115</v>
      </c>
      <c r="C400" s="64" t="s">
        <v>391</v>
      </c>
      <c r="F400" s="78" t="s">
        <v>504</v>
      </c>
      <c r="G400" s="78" t="s">
        <v>464</v>
      </c>
      <c r="H400" s="78" t="s">
        <v>476</v>
      </c>
      <c r="I400" s="78" t="s">
        <v>477</v>
      </c>
      <c r="J400" s="78" t="s">
        <v>485</v>
      </c>
      <c r="K400" s="78" t="s">
        <v>464</v>
      </c>
      <c r="L400" s="78" t="s">
        <v>466</v>
      </c>
      <c r="M400" s="78"/>
      <c r="N400" s="78"/>
      <c r="O400" s="78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  <c r="AC400" s="91"/>
      <c r="AD400" s="91"/>
      <c r="AE400" s="115"/>
      <c r="AH400" s="77"/>
    </row>
    <row r="401" spans="1:34" ht="12.75" customHeight="1">
      <c r="A401" s="115"/>
      <c r="B401" s="11" t="s">
        <v>118</v>
      </c>
      <c r="C401" s="64" t="s">
        <v>396</v>
      </c>
      <c r="F401" s="225" t="s">
        <v>397</v>
      </c>
      <c r="G401" s="239"/>
      <c r="H401" s="55">
        <v>0</v>
      </c>
      <c r="I401" s="55">
        <v>1</v>
      </c>
      <c r="J401" s="240" t="s">
        <v>398</v>
      </c>
      <c r="K401" s="194"/>
      <c r="L401" s="239"/>
      <c r="M401" s="55">
        <v>0</v>
      </c>
      <c r="N401" s="55">
        <v>7</v>
      </c>
      <c r="O401" s="240" t="s">
        <v>399</v>
      </c>
      <c r="P401" s="194"/>
      <c r="Q401" s="239"/>
      <c r="R401" s="91">
        <v>1</v>
      </c>
      <c r="S401" s="91">
        <v>9</v>
      </c>
      <c r="T401" s="91">
        <v>4</v>
      </c>
      <c r="U401" s="91">
        <v>6</v>
      </c>
      <c r="V401" s="240" t="s">
        <v>359</v>
      </c>
      <c r="W401" s="194"/>
      <c r="X401" s="239"/>
      <c r="Y401" s="91">
        <v>7</v>
      </c>
      <c r="Z401" s="91">
        <v>7</v>
      </c>
      <c r="AA401" s="91"/>
      <c r="AE401" s="115"/>
      <c r="AH401" s="77"/>
    </row>
    <row r="402" spans="1:34" ht="12.75" customHeight="1">
      <c r="A402" s="115"/>
      <c r="B402" s="11" t="s">
        <v>121</v>
      </c>
      <c r="C402" s="64" t="s">
        <v>128</v>
      </c>
      <c r="F402" s="91">
        <v>0</v>
      </c>
      <c r="G402" s="91">
        <v>2</v>
      </c>
      <c r="AE402" s="115"/>
      <c r="AH402" s="77"/>
    </row>
    <row r="403" spans="1:34" ht="12.75" customHeight="1">
      <c r="A403" s="115"/>
      <c r="B403" s="11" t="s">
        <v>124</v>
      </c>
      <c r="C403" s="64" t="s">
        <v>345</v>
      </c>
      <c r="F403" s="246" t="s">
        <v>471</v>
      </c>
      <c r="G403" s="223"/>
      <c r="H403" s="223"/>
      <c r="I403" s="223"/>
      <c r="J403" s="223"/>
      <c r="K403" s="223"/>
      <c r="L403" s="223"/>
      <c r="M403" s="223"/>
      <c r="N403" s="223"/>
      <c r="O403" s="223"/>
      <c r="P403" s="223"/>
      <c r="Q403" s="223"/>
      <c r="R403" s="223"/>
      <c r="S403" s="223"/>
      <c r="T403" s="223"/>
      <c r="U403" s="223"/>
      <c r="V403" s="223"/>
      <c r="W403" s="223"/>
      <c r="X403" s="223"/>
      <c r="Y403" s="223"/>
      <c r="Z403" s="223"/>
      <c r="AA403" s="223"/>
      <c r="AB403" s="223"/>
      <c r="AC403" s="223"/>
      <c r="AD403" s="224"/>
      <c r="AE403" s="115"/>
      <c r="AH403" s="77"/>
    </row>
    <row r="404" spans="1:34" ht="12.75" customHeight="1">
      <c r="A404" s="115"/>
      <c r="F404" s="64" t="s">
        <v>414</v>
      </c>
      <c r="L404" s="246" t="s">
        <v>102</v>
      </c>
      <c r="M404" s="223"/>
      <c r="N404" s="223"/>
      <c r="O404" s="223"/>
      <c r="P404" s="223"/>
      <c r="Q404" s="223"/>
      <c r="R404" s="223"/>
      <c r="S404" s="224"/>
      <c r="T404" s="64" t="s">
        <v>415</v>
      </c>
      <c r="X404" s="246" t="s">
        <v>106</v>
      </c>
      <c r="Y404" s="223"/>
      <c r="Z404" s="223"/>
      <c r="AA404" s="223"/>
      <c r="AB404" s="223"/>
      <c r="AC404" s="223"/>
      <c r="AD404" s="224"/>
      <c r="AE404" s="115"/>
      <c r="AH404" s="77"/>
    </row>
    <row r="405" spans="1:34" ht="12.75" customHeight="1">
      <c r="A405" s="115"/>
      <c r="F405" s="64" t="s">
        <v>416</v>
      </c>
      <c r="L405" s="246" t="s">
        <v>104</v>
      </c>
      <c r="M405" s="223"/>
      <c r="N405" s="223"/>
      <c r="O405" s="223"/>
      <c r="P405" s="223"/>
      <c r="Q405" s="223"/>
      <c r="R405" s="223"/>
      <c r="S405" s="224"/>
      <c r="T405" s="64" t="s">
        <v>417</v>
      </c>
      <c r="X405" s="246" t="s">
        <v>418</v>
      </c>
      <c r="Y405" s="223"/>
      <c r="Z405" s="223"/>
      <c r="AA405" s="223"/>
      <c r="AB405" s="223"/>
      <c r="AC405" s="223"/>
      <c r="AD405" s="224"/>
      <c r="AE405" s="115"/>
      <c r="AH405" s="77"/>
    </row>
    <row r="406" spans="1:34" ht="6" customHeight="1">
      <c r="A406" s="115"/>
      <c r="B406" s="117"/>
      <c r="C406" s="62"/>
      <c r="D406" s="62"/>
      <c r="E406" s="62"/>
      <c r="F406" s="62"/>
      <c r="G406" s="62"/>
      <c r="H406" s="62"/>
      <c r="I406" s="62"/>
      <c r="J406" s="62"/>
      <c r="K406" s="62"/>
      <c r="L406" s="107"/>
      <c r="M406" s="107"/>
      <c r="N406" s="107"/>
      <c r="O406" s="107"/>
      <c r="P406" s="107"/>
      <c r="Q406" s="107"/>
      <c r="R406" s="107"/>
      <c r="S406" s="107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118"/>
      <c r="AH406" s="77"/>
    </row>
    <row r="407" spans="1:34" ht="12.75" customHeight="1">
      <c r="A407" s="115"/>
      <c r="B407" s="38" t="s">
        <v>456</v>
      </c>
      <c r="AE407" s="115"/>
      <c r="AH407" s="77"/>
    </row>
    <row r="408" spans="1:34" ht="12.75" customHeight="1">
      <c r="A408" s="115"/>
      <c r="B408" s="11" t="s">
        <v>111</v>
      </c>
      <c r="C408" s="64" t="s">
        <v>340</v>
      </c>
      <c r="F408" s="95">
        <v>3</v>
      </c>
      <c r="G408" s="95">
        <v>3</v>
      </c>
      <c r="H408" s="95">
        <v>2</v>
      </c>
      <c r="I408" s="95">
        <v>7</v>
      </c>
      <c r="J408" s="95">
        <v>0</v>
      </c>
      <c r="K408" s="95">
        <v>4</v>
      </c>
      <c r="L408" s="95">
        <v>2</v>
      </c>
      <c r="M408" s="95">
        <v>1</v>
      </c>
      <c r="N408" s="95">
        <v>1</v>
      </c>
      <c r="O408" s="95">
        <v>0</v>
      </c>
      <c r="P408" s="95">
        <v>8</v>
      </c>
      <c r="Q408" s="95">
        <v>9</v>
      </c>
      <c r="R408" s="95">
        <v>0</v>
      </c>
      <c r="S408" s="95">
        <v>0</v>
      </c>
      <c r="T408" s="95">
        <v>0</v>
      </c>
      <c r="U408" s="95">
        <v>4</v>
      </c>
      <c r="V408" s="11"/>
      <c r="W408" s="11"/>
      <c r="X408" s="11"/>
      <c r="Y408" s="11"/>
      <c r="Z408" s="11"/>
      <c r="AA408" s="11"/>
      <c r="AB408" s="11"/>
      <c r="AC408" s="11"/>
      <c r="AD408" s="11"/>
      <c r="AE408" s="115"/>
      <c r="AH408" s="77"/>
    </row>
    <row r="409" spans="1:34" ht="12.75" customHeight="1">
      <c r="A409" s="115"/>
      <c r="B409" s="11" t="s">
        <v>115</v>
      </c>
      <c r="C409" s="64" t="s">
        <v>391</v>
      </c>
      <c r="F409" s="78" t="s">
        <v>473</v>
      </c>
      <c r="G409" s="78" t="s">
        <v>466</v>
      </c>
      <c r="H409" s="78" t="s">
        <v>464</v>
      </c>
      <c r="I409" s="78" t="s">
        <v>474</v>
      </c>
      <c r="J409" s="78" t="s">
        <v>469</v>
      </c>
      <c r="K409" s="78" t="s">
        <v>475</v>
      </c>
      <c r="L409" s="78"/>
      <c r="M409" s="78" t="s">
        <v>475</v>
      </c>
      <c r="N409" s="78" t="s">
        <v>467</v>
      </c>
      <c r="O409" s="78" t="s">
        <v>473</v>
      </c>
      <c r="P409" s="78" t="s">
        <v>466</v>
      </c>
      <c r="Q409" s="78" t="s">
        <v>476</v>
      </c>
      <c r="R409" s="78" t="s">
        <v>464</v>
      </c>
      <c r="S409" s="78" t="s">
        <v>468</v>
      </c>
      <c r="T409" s="78" t="s">
        <v>477</v>
      </c>
      <c r="U409" s="78" t="s">
        <v>475</v>
      </c>
      <c r="V409" s="78"/>
      <c r="W409" s="78"/>
      <c r="X409" s="78"/>
      <c r="Y409" s="78"/>
      <c r="Z409" s="78"/>
      <c r="AA409" s="78"/>
      <c r="AB409" s="78"/>
      <c r="AC409" s="78"/>
      <c r="AD409" s="78"/>
      <c r="AE409" s="115"/>
      <c r="AH409" s="77"/>
    </row>
    <row r="410" spans="1:34" ht="12.75" customHeight="1">
      <c r="A410" s="115"/>
      <c r="B410" s="11" t="s">
        <v>118</v>
      </c>
      <c r="C410" s="64" t="s">
        <v>396</v>
      </c>
      <c r="F410" s="225" t="s">
        <v>397</v>
      </c>
      <c r="G410" s="239"/>
      <c r="H410" s="78">
        <v>2</v>
      </c>
      <c r="I410" s="78">
        <v>1</v>
      </c>
      <c r="J410" s="240" t="s">
        <v>398</v>
      </c>
      <c r="K410" s="194"/>
      <c r="L410" s="239"/>
      <c r="M410" s="78">
        <v>1</v>
      </c>
      <c r="N410" s="78">
        <v>0</v>
      </c>
      <c r="O410" s="240" t="s">
        <v>399</v>
      </c>
      <c r="P410" s="194"/>
      <c r="Q410" s="239"/>
      <c r="R410" s="78">
        <v>1</v>
      </c>
      <c r="S410" s="78">
        <v>9</v>
      </c>
      <c r="T410" s="78">
        <v>8</v>
      </c>
      <c r="U410" s="78">
        <v>9</v>
      </c>
      <c r="V410" s="240" t="s">
        <v>359</v>
      </c>
      <c r="W410" s="194"/>
      <c r="X410" s="239"/>
      <c r="Y410" s="78">
        <v>3</v>
      </c>
      <c r="Z410" s="78">
        <v>4</v>
      </c>
      <c r="AA410" s="78"/>
      <c r="AB410" s="11"/>
      <c r="AC410" s="11"/>
      <c r="AD410" s="11"/>
      <c r="AE410" s="115"/>
      <c r="AH410" s="77"/>
    </row>
    <row r="411" spans="1:34" ht="12.75" customHeight="1">
      <c r="A411" s="115"/>
      <c r="B411" s="11" t="s">
        <v>121</v>
      </c>
      <c r="C411" s="64" t="s">
        <v>128</v>
      </c>
      <c r="F411" s="78">
        <v>6</v>
      </c>
      <c r="G411" s="78">
        <v>5</v>
      </c>
      <c r="AE411" s="115"/>
      <c r="AH411" s="77"/>
    </row>
    <row r="412" spans="1:34" ht="12.75" customHeight="1">
      <c r="A412" s="115"/>
      <c r="B412" s="11" t="s">
        <v>124</v>
      </c>
      <c r="C412" s="64" t="s">
        <v>345</v>
      </c>
      <c r="F412" s="246" t="s">
        <v>471</v>
      </c>
      <c r="G412" s="223"/>
      <c r="H412" s="223"/>
      <c r="I412" s="223"/>
      <c r="J412" s="223"/>
      <c r="K412" s="223"/>
      <c r="L412" s="223"/>
      <c r="M412" s="223"/>
      <c r="N412" s="223"/>
      <c r="O412" s="223"/>
      <c r="P412" s="223"/>
      <c r="Q412" s="223"/>
      <c r="R412" s="223"/>
      <c r="S412" s="223"/>
      <c r="T412" s="223"/>
      <c r="U412" s="223"/>
      <c r="V412" s="223"/>
      <c r="W412" s="223"/>
      <c r="X412" s="223"/>
      <c r="Y412" s="223"/>
      <c r="Z412" s="223"/>
      <c r="AA412" s="223"/>
      <c r="AB412" s="223"/>
      <c r="AC412" s="223"/>
      <c r="AD412" s="224"/>
      <c r="AE412" s="115"/>
      <c r="AH412" s="77"/>
    </row>
    <row r="413" spans="1:34" ht="12.75" customHeight="1">
      <c r="A413" s="115"/>
      <c r="F413" s="64" t="s">
        <v>414</v>
      </c>
      <c r="L413" s="246" t="s">
        <v>102</v>
      </c>
      <c r="M413" s="223"/>
      <c r="N413" s="223"/>
      <c r="O413" s="223"/>
      <c r="P413" s="223"/>
      <c r="Q413" s="223"/>
      <c r="R413" s="223"/>
      <c r="S413" s="224"/>
      <c r="T413" s="64" t="s">
        <v>415</v>
      </c>
      <c r="X413" s="246" t="s">
        <v>106</v>
      </c>
      <c r="Y413" s="223"/>
      <c r="Z413" s="223"/>
      <c r="AA413" s="223"/>
      <c r="AB413" s="223"/>
      <c r="AC413" s="223"/>
      <c r="AD413" s="224"/>
      <c r="AE413" s="115"/>
      <c r="AH413" s="77"/>
    </row>
    <row r="414" spans="1:34" ht="12.75" customHeight="1">
      <c r="A414" s="115"/>
      <c r="F414" s="64" t="s">
        <v>416</v>
      </c>
      <c r="L414" s="246" t="s">
        <v>104</v>
      </c>
      <c r="M414" s="223"/>
      <c r="N414" s="223"/>
      <c r="O414" s="223"/>
      <c r="P414" s="223"/>
      <c r="Q414" s="223"/>
      <c r="R414" s="223"/>
      <c r="S414" s="224"/>
      <c r="T414" s="64" t="s">
        <v>417</v>
      </c>
      <c r="X414" s="246" t="s">
        <v>418</v>
      </c>
      <c r="Y414" s="223"/>
      <c r="Z414" s="223"/>
      <c r="AA414" s="223"/>
      <c r="AB414" s="223"/>
      <c r="AC414" s="223"/>
      <c r="AD414" s="224"/>
      <c r="AE414" s="115"/>
      <c r="AH414" s="77"/>
    </row>
    <row r="415" spans="1:34" ht="4.5" customHeight="1">
      <c r="A415" s="115"/>
      <c r="B415" s="117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118"/>
      <c r="AH415" s="77"/>
    </row>
    <row r="416" spans="1:34" ht="12.75" customHeight="1">
      <c r="A416" s="115"/>
      <c r="B416" s="38" t="s">
        <v>457</v>
      </c>
      <c r="AE416" s="115"/>
      <c r="AH416" s="77"/>
    </row>
    <row r="417" spans="1:34" ht="12.75" customHeight="1">
      <c r="A417" s="115"/>
      <c r="B417" s="11" t="s">
        <v>111</v>
      </c>
      <c r="C417" s="64" t="s">
        <v>340</v>
      </c>
      <c r="F417" s="108">
        <v>3</v>
      </c>
      <c r="G417" s="108">
        <v>3</v>
      </c>
      <c r="H417" s="108">
        <v>2</v>
      </c>
      <c r="I417" s="108">
        <v>7</v>
      </c>
      <c r="J417" s="108">
        <v>0</v>
      </c>
      <c r="K417" s="108">
        <v>4</v>
      </c>
      <c r="L417" s="108">
        <v>1</v>
      </c>
      <c r="M417" s="108">
        <v>6</v>
      </c>
      <c r="N417" s="108">
        <v>0</v>
      </c>
      <c r="O417" s="108">
        <v>1</v>
      </c>
      <c r="P417" s="108">
        <v>7</v>
      </c>
      <c r="Q417" s="108">
        <v>5</v>
      </c>
      <c r="R417" s="108">
        <v>0</v>
      </c>
      <c r="S417" s="108">
        <v>0</v>
      </c>
      <c r="T417" s="108">
        <v>0</v>
      </c>
      <c r="U417" s="108">
        <v>5</v>
      </c>
      <c r="V417" s="11"/>
      <c r="W417" s="11"/>
      <c r="X417" s="11"/>
      <c r="Y417" s="11"/>
      <c r="Z417" s="11"/>
      <c r="AA417" s="11"/>
      <c r="AB417" s="11"/>
      <c r="AC417" s="11"/>
      <c r="AD417" s="11"/>
      <c r="AE417" s="115"/>
      <c r="AH417" s="77"/>
    </row>
    <row r="418" spans="1:34" ht="12.75" customHeight="1">
      <c r="A418" s="115"/>
      <c r="B418" s="11" t="s">
        <v>115</v>
      </c>
      <c r="C418" s="64" t="s">
        <v>391</v>
      </c>
      <c r="F418" s="78" t="s">
        <v>484</v>
      </c>
      <c r="G418" s="78" t="s">
        <v>464</v>
      </c>
      <c r="H418" s="78" t="s">
        <v>468</v>
      </c>
      <c r="I418" s="78" t="s">
        <v>486</v>
      </c>
      <c r="J418" s="78" t="s">
        <v>477</v>
      </c>
      <c r="K418" s="78" t="s">
        <v>485</v>
      </c>
      <c r="L418" s="78" t="s">
        <v>477</v>
      </c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115"/>
      <c r="AH418" s="77"/>
    </row>
    <row r="419" spans="1:34" ht="12.75" customHeight="1">
      <c r="A419" s="115"/>
      <c r="B419" s="11" t="s">
        <v>118</v>
      </c>
      <c r="C419" s="64" t="s">
        <v>396</v>
      </c>
      <c r="F419" s="253" t="s">
        <v>397</v>
      </c>
      <c r="G419" s="224"/>
      <c r="H419" s="78">
        <v>1</v>
      </c>
      <c r="I419" s="78">
        <v>6</v>
      </c>
      <c r="J419" s="242" t="s">
        <v>398</v>
      </c>
      <c r="K419" s="243"/>
      <c r="L419" s="244"/>
      <c r="M419" s="78">
        <v>0</v>
      </c>
      <c r="N419" s="78">
        <v>1</v>
      </c>
      <c r="O419" s="242" t="s">
        <v>399</v>
      </c>
      <c r="P419" s="243"/>
      <c r="Q419" s="244"/>
      <c r="R419" s="78">
        <v>1</v>
      </c>
      <c r="S419" s="78">
        <v>9</v>
      </c>
      <c r="T419" s="78">
        <v>7</v>
      </c>
      <c r="U419" s="78">
        <v>5</v>
      </c>
      <c r="V419" s="242" t="s">
        <v>359</v>
      </c>
      <c r="W419" s="243"/>
      <c r="X419" s="244"/>
      <c r="Y419" s="78">
        <v>4</v>
      </c>
      <c r="Z419" s="78">
        <v>7</v>
      </c>
      <c r="AA419" s="78"/>
      <c r="AB419" s="11"/>
      <c r="AC419" s="11"/>
      <c r="AD419" s="11"/>
      <c r="AE419" s="115"/>
      <c r="AH419" s="77"/>
    </row>
    <row r="420" spans="1:34" ht="12.75" customHeight="1">
      <c r="A420" s="115"/>
      <c r="B420" s="11" t="s">
        <v>121</v>
      </c>
      <c r="C420" s="64" t="s">
        <v>128</v>
      </c>
      <c r="F420" s="78">
        <v>8</v>
      </c>
      <c r="G420" s="78">
        <v>5</v>
      </c>
      <c r="AE420" s="115"/>
      <c r="AH420" s="77"/>
    </row>
    <row r="421" spans="1:34" ht="12.75" customHeight="1">
      <c r="A421" s="115"/>
      <c r="B421" s="11" t="s">
        <v>124</v>
      </c>
      <c r="C421" s="64" t="s">
        <v>345</v>
      </c>
      <c r="F421" s="246" t="s">
        <v>471</v>
      </c>
      <c r="G421" s="223"/>
      <c r="H421" s="223"/>
      <c r="I421" s="223"/>
      <c r="J421" s="223"/>
      <c r="K421" s="223"/>
      <c r="L421" s="223"/>
      <c r="M421" s="223"/>
      <c r="N421" s="223"/>
      <c r="O421" s="223"/>
      <c r="P421" s="223"/>
      <c r="Q421" s="223"/>
      <c r="R421" s="223"/>
      <c r="S421" s="223"/>
      <c r="T421" s="223"/>
      <c r="U421" s="223"/>
      <c r="V421" s="223"/>
      <c r="W421" s="223"/>
      <c r="X421" s="223"/>
      <c r="Y421" s="223"/>
      <c r="Z421" s="223"/>
      <c r="AA421" s="223"/>
      <c r="AB421" s="223"/>
      <c r="AC421" s="223"/>
      <c r="AD421" s="224"/>
      <c r="AE421" s="115"/>
      <c r="AH421" s="77"/>
    </row>
    <row r="422" spans="1:34" ht="12.75" customHeight="1">
      <c r="A422" s="115"/>
      <c r="F422" s="64" t="s">
        <v>414</v>
      </c>
      <c r="L422" s="246" t="s">
        <v>102</v>
      </c>
      <c r="M422" s="223"/>
      <c r="N422" s="223"/>
      <c r="O422" s="223"/>
      <c r="P422" s="223"/>
      <c r="Q422" s="223"/>
      <c r="R422" s="223"/>
      <c r="S422" s="224"/>
      <c r="T422" s="64" t="s">
        <v>415</v>
      </c>
      <c r="X422" s="246" t="s">
        <v>106</v>
      </c>
      <c r="Y422" s="223"/>
      <c r="Z422" s="223"/>
      <c r="AA422" s="223"/>
      <c r="AB422" s="223"/>
      <c r="AC422" s="223"/>
      <c r="AD422" s="224"/>
      <c r="AE422" s="115"/>
      <c r="AH422" s="77"/>
    </row>
    <row r="423" spans="1:34" ht="12.75" customHeight="1">
      <c r="A423" s="115"/>
      <c r="F423" s="64" t="s">
        <v>416</v>
      </c>
      <c r="L423" s="246" t="s">
        <v>104</v>
      </c>
      <c r="M423" s="223"/>
      <c r="N423" s="223"/>
      <c r="O423" s="223"/>
      <c r="P423" s="223"/>
      <c r="Q423" s="223"/>
      <c r="R423" s="223"/>
      <c r="S423" s="224"/>
      <c r="T423" s="64" t="s">
        <v>417</v>
      </c>
      <c r="X423" s="246" t="s">
        <v>418</v>
      </c>
      <c r="Y423" s="223"/>
      <c r="Z423" s="223"/>
      <c r="AA423" s="223"/>
      <c r="AB423" s="223"/>
      <c r="AC423" s="223"/>
      <c r="AD423" s="224"/>
      <c r="AE423" s="115"/>
      <c r="AH423" s="77"/>
    </row>
    <row r="424" spans="1:34" ht="7.5" customHeight="1">
      <c r="A424" s="115"/>
      <c r="B424" s="117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118"/>
      <c r="AH424" s="77"/>
    </row>
    <row r="425" spans="1:34" ht="12.75" customHeight="1">
      <c r="A425" s="115"/>
      <c r="B425" s="64" t="s">
        <v>472</v>
      </c>
      <c r="AE425" s="115"/>
      <c r="AH425" s="77"/>
    </row>
    <row r="426" spans="1:34" ht="12.75" customHeight="1">
      <c r="A426" s="115"/>
      <c r="B426" s="11" t="s">
        <v>111</v>
      </c>
      <c r="C426" s="64" t="s">
        <v>340</v>
      </c>
      <c r="F426" s="108">
        <v>3</v>
      </c>
      <c r="G426" s="108">
        <v>3</v>
      </c>
      <c r="H426" s="108">
        <v>2</v>
      </c>
      <c r="I426" s="108">
        <v>7</v>
      </c>
      <c r="J426" s="108">
        <v>0</v>
      </c>
      <c r="K426" s="108">
        <v>4</v>
      </c>
      <c r="L426" s="108">
        <v>1</v>
      </c>
      <c r="M426" s="108">
        <v>5</v>
      </c>
      <c r="N426" s="108" t="s">
        <v>477</v>
      </c>
      <c r="O426" s="108">
        <v>2</v>
      </c>
      <c r="P426" s="108">
        <v>7</v>
      </c>
      <c r="Q426" s="108">
        <v>9</v>
      </c>
      <c r="R426" s="108">
        <v>0</v>
      </c>
      <c r="S426" s="108">
        <v>0</v>
      </c>
      <c r="T426" s="108">
        <v>0</v>
      </c>
      <c r="U426" s="108">
        <v>4</v>
      </c>
      <c r="V426" s="11"/>
      <c r="W426" s="11"/>
      <c r="X426" s="11"/>
      <c r="Y426" s="11"/>
      <c r="Z426" s="11"/>
      <c r="AA426" s="11"/>
      <c r="AB426" s="11"/>
      <c r="AC426" s="11"/>
      <c r="AD426" s="11"/>
      <c r="AE426" s="115"/>
      <c r="AH426" s="77"/>
    </row>
    <row r="427" spans="1:34" ht="12.75" customHeight="1">
      <c r="A427" s="115"/>
      <c r="B427" s="11" t="s">
        <v>115</v>
      </c>
      <c r="C427" s="64" t="s">
        <v>391</v>
      </c>
      <c r="F427" s="108" t="s">
        <v>491</v>
      </c>
      <c r="G427" s="108" t="s">
        <v>467</v>
      </c>
      <c r="H427" s="108" t="s">
        <v>474</v>
      </c>
      <c r="I427" s="108" t="s">
        <v>469</v>
      </c>
      <c r="J427" s="108"/>
      <c r="K427" s="108" t="s">
        <v>484</v>
      </c>
      <c r="L427" s="108" t="s">
        <v>464</v>
      </c>
      <c r="M427" s="108" t="s">
        <v>485</v>
      </c>
      <c r="N427" s="108" t="s">
        <v>476</v>
      </c>
      <c r="O427" s="109" t="s">
        <v>477</v>
      </c>
      <c r="P427" s="109" t="s">
        <v>484</v>
      </c>
      <c r="Q427" s="109" t="s">
        <v>477</v>
      </c>
      <c r="R427" s="109"/>
      <c r="S427" s="109"/>
      <c r="T427" s="109"/>
      <c r="U427" s="109"/>
      <c r="V427" s="78"/>
      <c r="W427" s="78"/>
      <c r="X427" s="78"/>
      <c r="Y427" s="78"/>
      <c r="Z427" s="78"/>
      <c r="AA427" s="78"/>
      <c r="AB427" s="78"/>
      <c r="AC427" s="78"/>
      <c r="AD427" s="78"/>
      <c r="AE427" s="115"/>
      <c r="AH427" s="77"/>
    </row>
    <row r="428" spans="1:34" ht="12.75" customHeight="1">
      <c r="A428" s="115"/>
      <c r="B428" s="11" t="s">
        <v>118</v>
      </c>
      <c r="C428" s="64" t="s">
        <v>396</v>
      </c>
      <c r="F428" s="225" t="s">
        <v>397</v>
      </c>
      <c r="G428" s="239"/>
      <c r="H428" s="78">
        <v>1</v>
      </c>
      <c r="I428" s="78">
        <v>5</v>
      </c>
      <c r="J428" s="240" t="s">
        <v>398</v>
      </c>
      <c r="K428" s="194"/>
      <c r="L428" s="239"/>
      <c r="M428" s="78">
        <v>0</v>
      </c>
      <c r="N428" s="78">
        <v>2</v>
      </c>
      <c r="O428" s="240" t="s">
        <v>399</v>
      </c>
      <c r="P428" s="194"/>
      <c r="Q428" s="239"/>
      <c r="R428" s="78">
        <v>1</v>
      </c>
      <c r="S428" s="78">
        <v>9</v>
      </c>
      <c r="T428" s="78">
        <v>7</v>
      </c>
      <c r="U428" s="78">
        <v>9</v>
      </c>
      <c r="V428" s="240" t="s">
        <v>359</v>
      </c>
      <c r="W428" s="194"/>
      <c r="X428" s="239"/>
      <c r="Y428" s="78">
        <v>4</v>
      </c>
      <c r="Z428" s="78">
        <v>2</v>
      </c>
      <c r="AA428" s="78"/>
      <c r="AB428" s="11"/>
      <c r="AC428" s="11"/>
      <c r="AD428" s="11"/>
      <c r="AE428" s="115"/>
      <c r="AH428" s="77"/>
    </row>
    <row r="429" spans="1:34" ht="12.75" customHeight="1">
      <c r="A429" s="115"/>
      <c r="B429" s="11" t="s">
        <v>121</v>
      </c>
      <c r="C429" s="64" t="s">
        <v>128</v>
      </c>
      <c r="F429" s="78">
        <v>8</v>
      </c>
      <c r="G429" s="78">
        <v>5</v>
      </c>
      <c r="AE429" s="115"/>
      <c r="AH429" s="77"/>
    </row>
    <row r="430" spans="1:34" ht="12.75" customHeight="1">
      <c r="A430" s="115"/>
      <c r="B430" s="11" t="s">
        <v>124</v>
      </c>
      <c r="C430" s="64" t="s">
        <v>345</v>
      </c>
      <c r="F430" s="246" t="s">
        <v>492</v>
      </c>
      <c r="G430" s="223"/>
      <c r="H430" s="223"/>
      <c r="I430" s="223"/>
      <c r="J430" s="223"/>
      <c r="K430" s="223"/>
      <c r="L430" s="223"/>
      <c r="M430" s="223"/>
      <c r="N430" s="223"/>
      <c r="O430" s="223"/>
      <c r="P430" s="223"/>
      <c r="Q430" s="223"/>
      <c r="R430" s="223"/>
      <c r="S430" s="223"/>
      <c r="T430" s="223"/>
      <c r="U430" s="223"/>
      <c r="V430" s="223"/>
      <c r="W430" s="223"/>
      <c r="X430" s="223"/>
      <c r="Y430" s="223"/>
      <c r="Z430" s="223"/>
      <c r="AA430" s="223"/>
      <c r="AB430" s="223"/>
      <c r="AC430" s="223"/>
      <c r="AD430" s="224"/>
      <c r="AE430" s="115"/>
      <c r="AH430" s="77"/>
    </row>
    <row r="431" spans="1:34" ht="12.75" customHeight="1">
      <c r="A431" s="115"/>
      <c r="F431" s="64" t="s">
        <v>414</v>
      </c>
      <c r="L431" s="246" t="s">
        <v>102</v>
      </c>
      <c r="M431" s="223"/>
      <c r="N431" s="223"/>
      <c r="O431" s="223"/>
      <c r="P431" s="223"/>
      <c r="Q431" s="223"/>
      <c r="R431" s="223"/>
      <c r="S431" s="224"/>
      <c r="T431" s="64" t="s">
        <v>415</v>
      </c>
      <c r="X431" s="246" t="s">
        <v>106</v>
      </c>
      <c r="Y431" s="223"/>
      <c r="Z431" s="223"/>
      <c r="AA431" s="223"/>
      <c r="AB431" s="223"/>
      <c r="AC431" s="223"/>
      <c r="AD431" s="224"/>
      <c r="AE431" s="115"/>
      <c r="AH431" s="77"/>
    </row>
    <row r="432" spans="1:34" ht="12.75" customHeight="1">
      <c r="A432" s="115"/>
      <c r="F432" s="64" t="s">
        <v>416</v>
      </c>
      <c r="L432" s="246" t="s">
        <v>104</v>
      </c>
      <c r="M432" s="223"/>
      <c r="N432" s="223"/>
      <c r="O432" s="223"/>
      <c r="P432" s="223"/>
      <c r="Q432" s="223"/>
      <c r="R432" s="223"/>
      <c r="S432" s="224"/>
      <c r="T432" s="64" t="s">
        <v>417</v>
      </c>
      <c r="X432" s="246" t="s">
        <v>418</v>
      </c>
      <c r="Y432" s="223"/>
      <c r="Z432" s="223"/>
      <c r="AA432" s="223"/>
      <c r="AB432" s="223"/>
      <c r="AC432" s="223"/>
      <c r="AD432" s="224"/>
      <c r="AE432" s="115"/>
      <c r="AH432" s="77"/>
    </row>
    <row r="433" spans="1:34" ht="12.75" customHeight="1">
      <c r="A433" s="115"/>
      <c r="B433" s="119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  <c r="AA433" s="114"/>
      <c r="AB433" s="114"/>
      <c r="AC433" s="114"/>
      <c r="AD433" s="114"/>
      <c r="AE433" s="120"/>
      <c r="AH433" s="77"/>
    </row>
    <row r="434" spans="1:34" ht="12.75" customHeight="1">
      <c r="AH434" s="77"/>
    </row>
    <row r="435" spans="1:34" ht="12.75" customHeight="1">
      <c r="U435" s="3" t="s">
        <v>505</v>
      </c>
      <c r="AH435" s="77"/>
    </row>
    <row r="436" spans="1:34" ht="12.75" customHeight="1">
      <c r="C436" s="225" t="s">
        <v>480</v>
      </c>
      <c r="D436" s="194"/>
      <c r="E436" s="194"/>
      <c r="F436" s="194"/>
      <c r="G436" s="194"/>
      <c r="AH436" s="77"/>
    </row>
    <row r="437" spans="1:34" ht="12.75" customHeight="1">
      <c r="C437" s="225" t="s">
        <v>274</v>
      </c>
      <c r="D437" s="194"/>
      <c r="E437" s="194"/>
      <c r="F437" s="194"/>
      <c r="G437" s="194"/>
      <c r="W437" s="64" t="s">
        <v>481</v>
      </c>
      <c r="AH437" s="77"/>
    </row>
    <row r="438" spans="1:34" ht="12.75" customHeight="1">
      <c r="C438" s="225"/>
      <c r="D438" s="194"/>
      <c r="E438" s="194"/>
      <c r="F438" s="194"/>
      <c r="G438" s="194"/>
      <c r="AH438" s="77"/>
    </row>
    <row r="439" spans="1:34" ht="12.75" customHeight="1">
      <c r="AH439" s="77"/>
    </row>
    <row r="440" spans="1:34" ht="12.75" customHeight="1">
      <c r="AH440" s="77"/>
    </row>
    <row r="441" spans="1:34" ht="12.75" customHeight="1">
      <c r="C441" s="225" t="s">
        <v>275</v>
      </c>
      <c r="D441" s="194"/>
      <c r="E441" s="194"/>
      <c r="F441" s="194"/>
      <c r="G441" s="194"/>
      <c r="W441" s="3" t="s">
        <v>506</v>
      </c>
      <c r="AH441" s="77"/>
    </row>
    <row r="442" spans="1:34" ht="12.75" customHeight="1">
      <c r="AH442" s="77"/>
    </row>
    <row r="443" spans="1:34" ht="12.75" customHeight="1">
      <c r="AH443" s="77"/>
    </row>
    <row r="444" spans="1:34" ht="12.75" customHeight="1">
      <c r="Y444" s="235" t="s">
        <v>368</v>
      </c>
      <c r="Z444" s="236"/>
      <c r="AA444" s="236"/>
      <c r="AB444" s="236"/>
      <c r="AC444" s="237"/>
      <c r="AH444" s="77"/>
    </row>
    <row r="445" spans="1:34" ht="12.75" customHeight="1">
      <c r="AH445" s="77"/>
    </row>
    <row r="446" spans="1:34" ht="12.75" customHeight="1">
      <c r="B446" s="64" t="s">
        <v>369</v>
      </c>
      <c r="D446" s="11" t="s">
        <v>10</v>
      </c>
      <c r="F446" s="64" t="s">
        <v>370</v>
      </c>
      <c r="P446" s="64" t="s">
        <v>371</v>
      </c>
      <c r="R446" s="11" t="s">
        <v>10</v>
      </c>
      <c r="S446" s="64" t="s">
        <v>372</v>
      </c>
      <c r="V446" s="11" t="s">
        <v>10</v>
      </c>
      <c r="W446" s="64" t="s">
        <v>373</v>
      </c>
      <c r="AH446" s="77"/>
    </row>
    <row r="447" spans="1:34" ht="12.75" customHeight="1">
      <c r="B447" s="64" t="s">
        <v>331</v>
      </c>
      <c r="D447" s="11" t="s">
        <v>10</v>
      </c>
      <c r="F447" s="64" t="s">
        <v>374</v>
      </c>
      <c r="S447" s="64" t="s">
        <v>375</v>
      </c>
      <c r="V447" s="11" t="s">
        <v>10</v>
      </c>
      <c r="W447" s="64" t="s">
        <v>376</v>
      </c>
      <c r="AH447" s="77"/>
    </row>
    <row r="448" spans="1:34" ht="12.75" customHeight="1">
      <c r="B448" s="64" t="s">
        <v>377</v>
      </c>
      <c r="D448" s="11" t="s">
        <v>10</v>
      </c>
      <c r="F448" s="64" t="s">
        <v>378</v>
      </c>
      <c r="P448" s="62"/>
      <c r="S448" s="64" t="s">
        <v>379</v>
      </c>
      <c r="V448" s="11" t="s">
        <v>10</v>
      </c>
      <c r="W448" s="64" t="s">
        <v>380</v>
      </c>
      <c r="AH448" s="77"/>
    </row>
    <row r="449" spans="1:34" ht="12.75" customHeight="1">
      <c r="B449" s="64" t="s">
        <v>381</v>
      </c>
      <c r="D449" s="11" t="s">
        <v>10</v>
      </c>
      <c r="F449" s="78">
        <v>3</v>
      </c>
      <c r="G449" s="78">
        <v>3</v>
      </c>
      <c r="H449" s="78">
        <v>2</v>
      </c>
      <c r="I449" s="78">
        <v>7</v>
      </c>
      <c r="J449" s="78">
        <v>0</v>
      </c>
      <c r="K449" s="78">
        <v>4</v>
      </c>
      <c r="L449" s="78">
        <v>0</v>
      </c>
      <c r="M449" s="78">
        <v>2</v>
      </c>
      <c r="N449" s="78">
        <v>0</v>
      </c>
      <c r="O449" s="78">
        <v>1</v>
      </c>
      <c r="P449" s="11">
        <v>1</v>
      </c>
      <c r="Q449" s="79"/>
      <c r="S449" s="64" t="s">
        <v>382</v>
      </c>
      <c r="V449" s="11" t="s">
        <v>10</v>
      </c>
      <c r="W449" s="64" t="s">
        <v>383</v>
      </c>
      <c r="AH449" s="77"/>
    </row>
    <row r="450" spans="1:34" ht="12.75" customHeight="1">
      <c r="P450" s="59"/>
      <c r="AH450" s="77"/>
    </row>
    <row r="451" spans="1:34" ht="12.75" customHeight="1">
      <c r="B451" s="196" t="s">
        <v>334</v>
      </c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  <c r="Z451" s="194"/>
      <c r="AA451" s="194"/>
      <c r="AB451" s="194"/>
      <c r="AC451" s="194"/>
      <c r="AD451" s="194"/>
      <c r="AH451" s="77"/>
    </row>
    <row r="452" spans="1:34" ht="12.75" customHeight="1">
      <c r="B452" s="225" t="s">
        <v>507</v>
      </c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  <c r="Z452" s="194"/>
      <c r="AA452" s="194"/>
      <c r="AB452" s="194"/>
      <c r="AC452" s="194"/>
      <c r="AD452" s="194"/>
      <c r="AH452" s="77"/>
    </row>
    <row r="453" spans="1:34" ht="12.75" customHeight="1">
      <c r="AH453" s="77"/>
    </row>
    <row r="454" spans="1:34" ht="12.75" customHeight="1">
      <c r="B454" s="64" t="s">
        <v>385</v>
      </c>
      <c r="D454" s="11" t="s">
        <v>10</v>
      </c>
      <c r="F454" s="78" t="s">
        <v>465</v>
      </c>
      <c r="G454" s="78" t="s">
        <v>477</v>
      </c>
      <c r="H454" s="78" t="s">
        <v>498</v>
      </c>
      <c r="I454" s="78" t="s">
        <v>469</v>
      </c>
      <c r="J454" s="78" t="s">
        <v>475</v>
      </c>
      <c r="K454" s="78" t="s">
        <v>464</v>
      </c>
      <c r="L454" s="78" t="s">
        <v>485</v>
      </c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  <c r="AC454" s="91"/>
      <c r="AD454" s="91"/>
      <c r="AH454" s="77"/>
    </row>
    <row r="455" spans="1:34" ht="12.75" customHeight="1">
      <c r="B455" s="64" t="s">
        <v>387</v>
      </c>
      <c r="D455" s="11" t="s">
        <v>10</v>
      </c>
      <c r="F455" s="78">
        <v>3</v>
      </c>
      <c r="G455" s="78">
        <v>3</v>
      </c>
      <c r="H455" s="78">
        <v>2</v>
      </c>
      <c r="I455" s="78">
        <v>7</v>
      </c>
      <c r="J455" s="78">
        <v>0</v>
      </c>
      <c r="K455" s="78">
        <v>4</v>
      </c>
      <c r="L455" s="78">
        <v>2</v>
      </c>
      <c r="M455" s="78">
        <v>4</v>
      </c>
      <c r="N455" s="78">
        <v>0</v>
      </c>
      <c r="O455" s="78">
        <v>8</v>
      </c>
      <c r="P455" s="78">
        <v>1</v>
      </c>
      <c r="Q455" s="78">
        <v>1</v>
      </c>
      <c r="R455" s="78">
        <v>0</v>
      </c>
      <c r="S455" s="78">
        <v>0</v>
      </c>
      <c r="T455" s="78">
        <v>0</v>
      </c>
      <c r="U455" s="78">
        <v>6</v>
      </c>
      <c r="V455" s="91"/>
      <c r="W455" s="91"/>
      <c r="X455" s="91"/>
      <c r="Y455" s="91"/>
      <c r="AH455" s="77"/>
    </row>
    <row r="456" spans="1:34" ht="12.75" customHeight="1"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  <c r="AA456" s="114"/>
      <c r="AB456" s="114"/>
      <c r="AC456" s="114"/>
      <c r="AD456" s="114"/>
      <c r="AE456" s="114"/>
      <c r="AH456" s="77"/>
    </row>
    <row r="457" spans="1:34" ht="12.75" customHeight="1">
      <c r="A457" s="115"/>
      <c r="B457" s="38" t="s">
        <v>389</v>
      </c>
      <c r="AE457" s="116"/>
      <c r="AH457" s="77"/>
    </row>
    <row r="458" spans="1:34" ht="12.75" customHeight="1">
      <c r="A458" s="115"/>
      <c r="B458" s="11" t="s">
        <v>111</v>
      </c>
      <c r="C458" s="64" t="s">
        <v>340</v>
      </c>
      <c r="D458" s="11" t="s">
        <v>10</v>
      </c>
      <c r="F458" s="95">
        <v>3</v>
      </c>
      <c r="G458" s="95">
        <v>3</v>
      </c>
      <c r="H458" s="95">
        <v>2</v>
      </c>
      <c r="I458" s="95">
        <v>7</v>
      </c>
      <c r="J458" s="95">
        <v>0</v>
      </c>
      <c r="K458" s="95">
        <v>4</v>
      </c>
      <c r="L458" s="95">
        <v>0</v>
      </c>
      <c r="M458" s="95">
        <v>1</v>
      </c>
      <c r="N458" s="95">
        <v>0</v>
      </c>
      <c r="O458" s="95">
        <v>7</v>
      </c>
      <c r="P458" s="95">
        <v>4</v>
      </c>
      <c r="Q458" s="95">
        <v>8</v>
      </c>
      <c r="R458" s="95">
        <v>0</v>
      </c>
      <c r="S458" s="95">
        <v>2</v>
      </c>
      <c r="T458" s="95">
        <v>5</v>
      </c>
      <c r="U458" s="95">
        <v>7</v>
      </c>
      <c r="AE458" s="115"/>
      <c r="AH458" s="77"/>
    </row>
    <row r="459" spans="1:34" ht="12.75" customHeight="1">
      <c r="A459" s="115"/>
      <c r="B459" s="11" t="s">
        <v>115</v>
      </c>
      <c r="C459" s="64" t="s">
        <v>391</v>
      </c>
      <c r="D459" s="11" t="s">
        <v>10</v>
      </c>
      <c r="F459" s="78" t="s">
        <v>465</v>
      </c>
      <c r="G459" s="78" t="s">
        <v>477</v>
      </c>
      <c r="H459" s="78" t="s">
        <v>498</v>
      </c>
      <c r="I459" s="78" t="s">
        <v>469</v>
      </c>
      <c r="J459" s="78" t="s">
        <v>475</v>
      </c>
      <c r="K459" s="78" t="s">
        <v>464</v>
      </c>
      <c r="L459" s="91" t="s">
        <v>485</v>
      </c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  <c r="AC459" s="91"/>
      <c r="AD459" s="91"/>
      <c r="AE459" s="115"/>
      <c r="AH459" s="77"/>
    </row>
    <row r="460" spans="1:34" ht="12.75" customHeight="1">
      <c r="A460" s="115"/>
      <c r="B460" s="11" t="s">
        <v>118</v>
      </c>
      <c r="C460" s="64" t="s">
        <v>285</v>
      </c>
      <c r="D460" s="11" t="s">
        <v>10</v>
      </c>
      <c r="F460" s="78">
        <v>1</v>
      </c>
      <c r="G460" s="64" t="s">
        <v>393</v>
      </c>
      <c r="M460" s="55"/>
      <c r="N460" s="64" t="s">
        <v>394</v>
      </c>
      <c r="AE460" s="115"/>
      <c r="AH460" s="77"/>
    </row>
    <row r="461" spans="1:34" ht="12.75" customHeight="1">
      <c r="A461" s="115"/>
      <c r="B461" s="11" t="s">
        <v>121</v>
      </c>
      <c r="C461" s="64" t="s">
        <v>396</v>
      </c>
      <c r="D461" s="11" t="s">
        <v>10</v>
      </c>
      <c r="F461" s="225" t="s">
        <v>397</v>
      </c>
      <c r="G461" s="239"/>
      <c r="H461" s="95">
        <v>0</v>
      </c>
      <c r="I461" s="95">
        <v>1</v>
      </c>
      <c r="J461" s="240" t="s">
        <v>398</v>
      </c>
      <c r="K461" s="194"/>
      <c r="L461" s="239"/>
      <c r="M461" s="95">
        <v>0</v>
      </c>
      <c r="N461" s="95">
        <v>7</v>
      </c>
      <c r="O461" s="240" t="s">
        <v>399</v>
      </c>
      <c r="P461" s="194"/>
      <c r="Q461" s="239"/>
      <c r="R461" s="78">
        <v>1</v>
      </c>
      <c r="S461" s="78">
        <v>9</v>
      </c>
      <c r="T461" s="78">
        <v>4</v>
      </c>
      <c r="U461" s="78">
        <v>8</v>
      </c>
      <c r="V461" s="240" t="s">
        <v>359</v>
      </c>
      <c r="W461" s="194"/>
      <c r="X461" s="239"/>
      <c r="Y461" s="78">
        <v>7</v>
      </c>
      <c r="Z461" s="78">
        <v>6</v>
      </c>
      <c r="AA461" s="91"/>
      <c r="AE461" s="115"/>
      <c r="AH461" s="77"/>
    </row>
    <row r="462" spans="1:34" ht="12.75" customHeight="1">
      <c r="A462" s="115"/>
      <c r="B462" s="11" t="s">
        <v>124</v>
      </c>
      <c r="C462" s="64" t="s">
        <v>403</v>
      </c>
      <c r="D462" s="11" t="s">
        <v>10</v>
      </c>
      <c r="F462" s="78" t="s">
        <v>487</v>
      </c>
      <c r="G462" s="78" t="s">
        <v>488</v>
      </c>
      <c r="H462" s="78" t="s">
        <v>475</v>
      </c>
      <c r="I462" s="78" t="s">
        <v>464</v>
      </c>
      <c r="J462" s="78" t="s">
        <v>474</v>
      </c>
      <c r="K462" s="78" t="s">
        <v>464</v>
      </c>
      <c r="L462" s="78" t="s">
        <v>485</v>
      </c>
      <c r="M462" s="78" t="s">
        <v>489</v>
      </c>
      <c r="N462" s="78"/>
      <c r="O462" s="78"/>
      <c r="P462" s="78"/>
      <c r="Q462" s="78"/>
      <c r="R462" s="242" t="s">
        <v>404</v>
      </c>
      <c r="S462" s="243"/>
      <c r="T462" s="243"/>
      <c r="U462" s="244"/>
      <c r="V462" s="78">
        <v>3</v>
      </c>
      <c r="W462" s="78">
        <v>3</v>
      </c>
      <c r="X462" s="240" t="s">
        <v>405</v>
      </c>
      <c r="Y462" s="194"/>
      <c r="Z462" s="194"/>
      <c r="AA462" s="239"/>
      <c r="AB462" s="78">
        <v>2</v>
      </c>
      <c r="AC462" s="78">
        <v>7</v>
      </c>
      <c r="AE462" s="115"/>
      <c r="AH462" s="77"/>
    </row>
    <row r="463" spans="1:34" ht="12.75" customHeight="1">
      <c r="A463" s="115"/>
      <c r="B463" s="11" t="s">
        <v>127</v>
      </c>
      <c r="C463" s="64" t="s">
        <v>125</v>
      </c>
      <c r="D463" s="11" t="s">
        <v>10</v>
      </c>
      <c r="F463" s="55">
        <v>1</v>
      </c>
      <c r="G463" s="64" t="s">
        <v>406</v>
      </c>
      <c r="K463" s="64" t="s">
        <v>407</v>
      </c>
      <c r="O463" s="64" t="s">
        <v>408</v>
      </c>
      <c r="S463" s="64" t="s">
        <v>409</v>
      </c>
      <c r="W463" s="64" t="s">
        <v>410</v>
      </c>
      <c r="Z463" s="64" t="s">
        <v>411</v>
      </c>
      <c r="AE463" s="115"/>
      <c r="AH463" s="77"/>
    </row>
    <row r="464" spans="1:34" ht="12.75" customHeight="1">
      <c r="A464" s="115"/>
      <c r="B464" s="11" t="s">
        <v>130</v>
      </c>
      <c r="C464" s="64" t="s">
        <v>128</v>
      </c>
      <c r="D464" s="11" t="s">
        <v>10</v>
      </c>
      <c r="F464" s="95">
        <v>0</v>
      </c>
      <c r="G464" s="95">
        <v>9</v>
      </c>
      <c r="AE464" s="115"/>
      <c r="AH464" s="77"/>
    </row>
    <row r="465" spans="1:34" ht="12.75" customHeight="1">
      <c r="A465" s="115"/>
      <c r="B465" s="11" t="s">
        <v>134</v>
      </c>
      <c r="C465" s="64" t="s">
        <v>345</v>
      </c>
      <c r="D465" s="11" t="s">
        <v>10</v>
      </c>
      <c r="F465" s="246" t="s">
        <v>508</v>
      </c>
      <c r="G465" s="223"/>
      <c r="H465" s="223"/>
      <c r="I465" s="223"/>
      <c r="J465" s="223"/>
      <c r="K465" s="223"/>
      <c r="L465" s="223"/>
      <c r="M465" s="223"/>
      <c r="N465" s="223"/>
      <c r="O465" s="223"/>
      <c r="P465" s="223"/>
      <c r="Q465" s="223"/>
      <c r="R465" s="223"/>
      <c r="S465" s="223"/>
      <c r="T465" s="223"/>
      <c r="U465" s="223"/>
      <c r="V465" s="223"/>
      <c r="W465" s="223"/>
      <c r="X465" s="223"/>
      <c r="Y465" s="223"/>
      <c r="Z465" s="223"/>
      <c r="AA465" s="223"/>
      <c r="AB465" s="223"/>
      <c r="AC465" s="223"/>
      <c r="AD465" s="224"/>
      <c r="AE465" s="115"/>
      <c r="AH465" s="77"/>
    </row>
    <row r="466" spans="1:34" ht="12.75" customHeight="1">
      <c r="A466" s="115"/>
      <c r="B466" s="11"/>
      <c r="F466" s="64" t="s">
        <v>414</v>
      </c>
      <c r="L466" s="246" t="s">
        <v>102</v>
      </c>
      <c r="M466" s="223"/>
      <c r="N466" s="223"/>
      <c r="O466" s="223"/>
      <c r="P466" s="223"/>
      <c r="Q466" s="223"/>
      <c r="R466" s="223"/>
      <c r="S466" s="224"/>
      <c r="T466" s="64" t="s">
        <v>415</v>
      </c>
      <c r="X466" s="246" t="s">
        <v>106</v>
      </c>
      <c r="Y466" s="223"/>
      <c r="Z466" s="223"/>
      <c r="AA466" s="223"/>
      <c r="AB466" s="223"/>
      <c r="AC466" s="223"/>
      <c r="AD466" s="224"/>
      <c r="AE466" s="115"/>
      <c r="AH466" s="77"/>
    </row>
    <row r="467" spans="1:34" ht="12.75" customHeight="1">
      <c r="A467" s="115"/>
      <c r="B467" s="11"/>
      <c r="F467" s="64" t="s">
        <v>416</v>
      </c>
      <c r="L467" s="246" t="s">
        <v>104</v>
      </c>
      <c r="M467" s="223"/>
      <c r="N467" s="223"/>
      <c r="O467" s="223"/>
      <c r="P467" s="223"/>
      <c r="Q467" s="223"/>
      <c r="R467" s="223"/>
      <c r="S467" s="224"/>
      <c r="T467" s="64" t="s">
        <v>417</v>
      </c>
      <c r="X467" s="246" t="s">
        <v>418</v>
      </c>
      <c r="Y467" s="223"/>
      <c r="Z467" s="223"/>
      <c r="AA467" s="223"/>
      <c r="AB467" s="223"/>
      <c r="AC467" s="223"/>
      <c r="AD467" s="224"/>
      <c r="AE467" s="115"/>
      <c r="AH467" s="77"/>
    </row>
    <row r="468" spans="1:34" ht="12.75" customHeight="1">
      <c r="A468" s="115"/>
      <c r="B468" s="11" t="s">
        <v>137</v>
      </c>
      <c r="C468" s="64" t="s">
        <v>419</v>
      </c>
      <c r="D468" s="11" t="s">
        <v>10</v>
      </c>
      <c r="F468" s="91">
        <v>1</v>
      </c>
      <c r="G468" s="64" t="s">
        <v>111</v>
      </c>
      <c r="J468" s="64" t="s">
        <v>115</v>
      </c>
      <c r="M468" s="64" t="s">
        <v>118</v>
      </c>
      <c r="P468" s="64" t="s">
        <v>420</v>
      </c>
      <c r="AE468" s="115"/>
      <c r="AH468" s="77"/>
    </row>
    <row r="469" spans="1:34" ht="12.75" customHeight="1">
      <c r="A469" s="115"/>
      <c r="B469" s="11" t="s">
        <v>145</v>
      </c>
      <c r="C469" s="64" t="s">
        <v>421</v>
      </c>
      <c r="D469" s="11" t="s">
        <v>10</v>
      </c>
      <c r="F469" s="225" t="s">
        <v>397</v>
      </c>
      <c r="G469" s="194"/>
      <c r="H469" s="95">
        <v>2</v>
      </c>
      <c r="I469" s="95">
        <v>8</v>
      </c>
      <c r="J469" s="240" t="s">
        <v>422</v>
      </c>
      <c r="K469" s="194"/>
      <c r="L469" s="194"/>
      <c r="M469" s="78">
        <v>0</v>
      </c>
      <c r="N469" s="78">
        <v>2</v>
      </c>
      <c r="O469" s="240" t="s">
        <v>399</v>
      </c>
      <c r="P469" s="194"/>
      <c r="Q469" s="194"/>
      <c r="R469" s="78">
        <v>2</v>
      </c>
      <c r="S469" s="78">
        <v>0</v>
      </c>
      <c r="T469" s="78">
        <v>2</v>
      </c>
      <c r="U469" s="78">
        <v>3</v>
      </c>
      <c r="V469" s="11"/>
      <c r="AE469" s="115"/>
      <c r="AH469" s="77"/>
    </row>
    <row r="470" spans="1:34" ht="12.75" customHeight="1">
      <c r="A470" s="115"/>
      <c r="B470" s="11" t="s">
        <v>424</v>
      </c>
      <c r="C470" s="64" t="s">
        <v>425</v>
      </c>
      <c r="D470" s="11" t="s">
        <v>10</v>
      </c>
      <c r="F470" s="91">
        <v>1</v>
      </c>
      <c r="G470" s="91">
        <v>6</v>
      </c>
      <c r="H470" s="91">
        <v>0</v>
      </c>
      <c r="I470" s="91">
        <v>0</v>
      </c>
      <c r="AE470" s="115"/>
      <c r="AH470" s="77"/>
    </row>
    <row r="471" spans="1:34" ht="12.75" customHeight="1">
      <c r="A471" s="115"/>
      <c r="B471" s="11" t="s">
        <v>427</v>
      </c>
      <c r="C471" s="64" t="s">
        <v>428</v>
      </c>
      <c r="D471" s="11" t="s">
        <v>10</v>
      </c>
      <c r="F471" s="91">
        <v>1</v>
      </c>
      <c r="G471" s="64" t="s">
        <v>429</v>
      </c>
      <c r="P471" s="64" t="s">
        <v>430</v>
      </c>
      <c r="X471" s="64" t="s">
        <v>431</v>
      </c>
      <c r="AE471" s="115"/>
      <c r="AH471" s="77"/>
    </row>
    <row r="472" spans="1:34" ht="12.75" customHeight="1">
      <c r="A472" s="115"/>
      <c r="B472" s="11"/>
      <c r="D472" s="11"/>
      <c r="G472" s="64" t="s">
        <v>432</v>
      </c>
      <c r="P472" s="64" t="s">
        <v>433</v>
      </c>
      <c r="X472" s="64" t="s">
        <v>411</v>
      </c>
      <c r="AE472" s="115"/>
      <c r="AH472" s="77"/>
    </row>
    <row r="473" spans="1:34" ht="12.75" customHeight="1">
      <c r="A473" s="115"/>
      <c r="B473" s="11" t="s">
        <v>434</v>
      </c>
      <c r="C473" s="64" t="s">
        <v>435</v>
      </c>
      <c r="D473" s="11" t="s">
        <v>10</v>
      </c>
      <c r="F473" s="78" t="s">
        <v>468</v>
      </c>
      <c r="G473" s="78" t="s">
        <v>467</v>
      </c>
      <c r="H473" s="78" t="s">
        <v>475</v>
      </c>
      <c r="I473" s="78" t="s">
        <v>464</v>
      </c>
      <c r="J473" s="78" t="s">
        <v>466</v>
      </c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AE473" s="115"/>
      <c r="AH473" s="77"/>
    </row>
    <row r="474" spans="1:34" ht="12.75" customHeight="1">
      <c r="A474" s="115"/>
      <c r="B474" s="11" t="s">
        <v>436</v>
      </c>
      <c r="C474" s="64" t="s">
        <v>437</v>
      </c>
      <c r="D474" s="11" t="s">
        <v>10</v>
      </c>
      <c r="F474" s="78">
        <v>4</v>
      </c>
      <c r="G474" s="64" t="s">
        <v>438</v>
      </c>
      <c r="L474" s="64" t="s">
        <v>439</v>
      </c>
      <c r="T474" s="64" t="s">
        <v>440</v>
      </c>
      <c r="Y474" s="64" t="s">
        <v>441</v>
      </c>
      <c r="AE474" s="115"/>
      <c r="AH474" s="77"/>
    </row>
    <row r="475" spans="1:34" ht="12.75" customHeight="1">
      <c r="A475" s="115"/>
      <c r="B475" s="117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118"/>
      <c r="AH475" s="77"/>
    </row>
    <row r="476" spans="1:34" ht="12.75" customHeight="1">
      <c r="A476" s="115"/>
      <c r="B476" s="38" t="s">
        <v>442</v>
      </c>
      <c r="AE476" s="115"/>
      <c r="AH476" s="77"/>
    </row>
    <row r="477" spans="1:34" ht="12.75" customHeight="1">
      <c r="A477" s="115"/>
      <c r="B477" s="11" t="s">
        <v>111</v>
      </c>
      <c r="C477" s="64" t="s">
        <v>340</v>
      </c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AE477" s="115"/>
      <c r="AH477" s="77"/>
    </row>
    <row r="478" spans="1:34" ht="12.75" customHeight="1">
      <c r="A478" s="115"/>
      <c r="B478" s="11" t="s">
        <v>115</v>
      </c>
      <c r="C478" s="64" t="s">
        <v>391</v>
      </c>
      <c r="F478" s="78" t="s">
        <v>463</v>
      </c>
      <c r="G478" s="78" t="s">
        <v>464</v>
      </c>
      <c r="H478" s="78" t="s">
        <v>468</v>
      </c>
      <c r="I478" s="78" t="s">
        <v>484</v>
      </c>
      <c r="J478" s="78" t="s">
        <v>464</v>
      </c>
      <c r="K478" s="78" t="s">
        <v>498</v>
      </c>
      <c r="L478" s="78" t="s">
        <v>469</v>
      </c>
      <c r="M478" s="78"/>
      <c r="N478" s="78"/>
      <c r="O478" s="78"/>
      <c r="P478" s="78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  <c r="AC478" s="91"/>
      <c r="AD478" s="91"/>
      <c r="AE478" s="115"/>
      <c r="AH478" s="77"/>
    </row>
    <row r="479" spans="1:34" ht="12.75" customHeight="1">
      <c r="A479" s="115"/>
      <c r="B479" s="11" t="s">
        <v>118</v>
      </c>
      <c r="C479" s="64" t="s">
        <v>396</v>
      </c>
      <c r="F479" s="225" t="s">
        <v>397</v>
      </c>
      <c r="G479" s="239"/>
      <c r="H479" s="55"/>
      <c r="I479" s="55"/>
      <c r="J479" s="240" t="s">
        <v>398</v>
      </c>
      <c r="K479" s="194"/>
      <c r="L479" s="239"/>
      <c r="M479" s="55"/>
      <c r="N479" s="55"/>
      <c r="O479" s="240" t="s">
        <v>399</v>
      </c>
      <c r="P479" s="194"/>
      <c r="Q479" s="239"/>
      <c r="R479" s="91"/>
      <c r="S479" s="91"/>
      <c r="T479" s="91"/>
      <c r="U479" s="91"/>
      <c r="V479" s="240" t="s">
        <v>359</v>
      </c>
      <c r="W479" s="194"/>
      <c r="X479" s="239"/>
      <c r="Y479" s="91"/>
      <c r="Z479" s="91"/>
      <c r="AA479" s="91"/>
      <c r="AE479" s="115"/>
      <c r="AH479" s="77"/>
    </row>
    <row r="480" spans="1:34" ht="12.75" customHeight="1">
      <c r="A480" s="115"/>
      <c r="B480" s="11" t="s">
        <v>121</v>
      </c>
      <c r="C480" s="64" t="s">
        <v>128</v>
      </c>
      <c r="F480" s="91"/>
      <c r="G480" s="91"/>
      <c r="AE480" s="115"/>
      <c r="AH480" s="77"/>
    </row>
    <row r="481" spans="1:34" ht="12.75" customHeight="1">
      <c r="A481" s="115"/>
      <c r="B481" s="11" t="s">
        <v>124</v>
      </c>
      <c r="C481" s="64" t="s">
        <v>345</v>
      </c>
      <c r="F481" s="252"/>
      <c r="G481" s="223"/>
      <c r="H481" s="223"/>
      <c r="I481" s="223"/>
      <c r="J481" s="223"/>
      <c r="K481" s="223"/>
      <c r="L481" s="223"/>
      <c r="M481" s="223"/>
      <c r="N481" s="223"/>
      <c r="O481" s="223"/>
      <c r="P481" s="223"/>
      <c r="Q481" s="223"/>
      <c r="R481" s="223"/>
      <c r="S481" s="223"/>
      <c r="T481" s="223"/>
      <c r="U481" s="223"/>
      <c r="V481" s="223"/>
      <c r="W481" s="223"/>
      <c r="X481" s="223"/>
      <c r="Y481" s="223"/>
      <c r="Z481" s="223"/>
      <c r="AA481" s="223"/>
      <c r="AB481" s="223"/>
      <c r="AC481" s="223"/>
      <c r="AD481" s="224"/>
      <c r="AE481" s="115"/>
      <c r="AH481" s="77"/>
    </row>
    <row r="482" spans="1:34" ht="12.75" customHeight="1">
      <c r="A482" s="115"/>
      <c r="F482" s="64" t="s">
        <v>414</v>
      </c>
      <c r="L482" s="252"/>
      <c r="M482" s="223"/>
      <c r="N482" s="223"/>
      <c r="O482" s="223"/>
      <c r="P482" s="223"/>
      <c r="Q482" s="223"/>
      <c r="R482" s="223"/>
      <c r="S482" s="224"/>
      <c r="T482" s="64" t="s">
        <v>415</v>
      </c>
      <c r="X482" s="252"/>
      <c r="Y482" s="223"/>
      <c r="Z482" s="223"/>
      <c r="AA482" s="223"/>
      <c r="AB482" s="223"/>
      <c r="AC482" s="223"/>
      <c r="AD482" s="224"/>
      <c r="AE482" s="115"/>
      <c r="AH482" s="77"/>
    </row>
    <row r="483" spans="1:34" ht="12.75" customHeight="1">
      <c r="A483" s="115"/>
      <c r="F483" s="64" t="s">
        <v>416</v>
      </c>
      <c r="L483" s="252"/>
      <c r="M483" s="223"/>
      <c r="N483" s="223"/>
      <c r="O483" s="223"/>
      <c r="P483" s="223"/>
      <c r="Q483" s="223"/>
      <c r="R483" s="223"/>
      <c r="S483" s="224"/>
      <c r="T483" s="64" t="s">
        <v>417</v>
      </c>
      <c r="X483" s="252"/>
      <c r="Y483" s="223"/>
      <c r="Z483" s="223"/>
      <c r="AA483" s="223"/>
      <c r="AB483" s="223"/>
      <c r="AC483" s="223"/>
      <c r="AD483" s="224"/>
      <c r="AE483" s="115"/>
      <c r="AH483" s="77"/>
    </row>
    <row r="484" spans="1:34" ht="7.5" customHeight="1">
      <c r="A484" s="115"/>
      <c r="B484" s="117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118"/>
      <c r="AH484" s="77"/>
    </row>
    <row r="485" spans="1:34" ht="12.75" customHeight="1">
      <c r="A485" s="115"/>
      <c r="B485" s="38" t="s">
        <v>448</v>
      </c>
      <c r="AE485" s="115"/>
      <c r="AH485" s="77"/>
    </row>
    <row r="486" spans="1:34" ht="12.75" customHeight="1">
      <c r="A486" s="115"/>
      <c r="B486" s="11" t="s">
        <v>111</v>
      </c>
      <c r="C486" s="64" t="s">
        <v>340</v>
      </c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AE486" s="115"/>
      <c r="AH486" s="77"/>
    </row>
    <row r="487" spans="1:34" ht="12.75" customHeight="1">
      <c r="A487" s="115"/>
      <c r="B487" s="11" t="s">
        <v>115</v>
      </c>
      <c r="C487" s="64" t="s">
        <v>391</v>
      </c>
      <c r="F487" s="78" t="s">
        <v>463</v>
      </c>
      <c r="G487" s="78" t="s">
        <v>464</v>
      </c>
      <c r="H487" s="78" t="s">
        <v>468</v>
      </c>
      <c r="I487" s="78" t="s">
        <v>476</v>
      </c>
      <c r="J487" s="78" t="s">
        <v>469</v>
      </c>
      <c r="K487" s="78" t="s">
        <v>485</v>
      </c>
      <c r="L487" s="78" t="s">
        <v>469</v>
      </c>
      <c r="M487" s="78"/>
      <c r="N487" s="78"/>
      <c r="O487" s="78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  <c r="AC487" s="91"/>
      <c r="AD487" s="91"/>
      <c r="AE487" s="115"/>
      <c r="AH487" s="77"/>
    </row>
    <row r="488" spans="1:34" ht="12.75" customHeight="1">
      <c r="A488" s="115"/>
      <c r="B488" s="11" t="s">
        <v>118</v>
      </c>
      <c r="C488" s="64" t="s">
        <v>396</v>
      </c>
      <c r="F488" s="225" t="s">
        <v>397</v>
      </c>
      <c r="G488" s="239"/>
      <c r="H488" s="55"/>
      <c r="I488" s="55"/>
      <c r="J488" s="240" t="s">
        <v>398</v>
      </c>
      <c r="K488" s="194"/>
      <c r="L488" s="239"/>
      <c r="M488" s="55"/>
      <c r="N488" s="55"/>
      <c r="O488" s="240" t="s">
        <v>399</v>
      </c>
      <c r="P488" s="194"/>
      <c r="Q488" s="239"/>
      <c r="R488" s="91"/>
      <c r="S488" s="91"/>
      <c r="T488" s="91"/>
      <c r="U488" s="91"/>
      <c r="V488" s="240" t="s">
        <v>359</v>
      </c>
      <c r="W488" s="194"/>
      <c r="X488" s="239"/>
      <c r="Y488" s="91"/>
      <c r="Z488" s="91"/>
      <c r="AA488" s="91"/>
      <c r="AE488" s="115"/>
      <c r="AH488" s="77"/>
    </row>
    <row r="489" spans="1:34" ht="12.75" customHeight="1">
      <c r="A489" s="115"/>
      <c r="B489" s="11" t="s">
        <v>121</v>
      </c>
      <c r="C489" s="64" t="s">
        <v>128</v>
      </c>
      <c r="F489" s="91"/>
      <c r="G489" s="91"/>
      <c r="AE489" s="115"/>
      <c r="AH489" s="77"/>
    </row>
    <row r="490" spans="1:34" ht="12.75" customHeight="1">
      <c r="A490" s="115"/>
      <c r="B490" s="11" t="s">
        <v>124</v>
      </c>
      <c r="C490" s="64" t="s">
        <v>345</v>
      </c>
      <c r="F490" s="246"/>
      <c r="G490" s="223"/>
      <c r="H490" s="223"/>
      <c r="I490" s="223"/>
      <c r="J490" s="223"/>
      <c r="K490" s="223"/>
      <c r="L490" s="223"/>
      <c r="M490" s="223"/>
      <c r="N490" s="223"/>
      <c r="O490" s="223"/>
      <c r="P490" s="223"/>
      <c r="Q490" s="223"/>
      <c r="R490" s="223"/>
      <c r="S490" s="223"/>
      <c r="T490" s="223"/>
      <c r="U490" s="223"/>
      <c r="V490" s="223"/>
      <c r="W490" s="223"/>
      <c r="X490" s="223"/>
      <c r="Y490" s="223"/>
      <c r="Z490" s="223"/>
      <c r="AA490" s="223"/>
      <c r="AB490" s="223"/>
      <c r="AC490" s="223"/>
      <c r="AD490" s="224"/>
      <c r="AE490" s="115"/>
      <c r="AH490" s="77"/>
    </row>
    <row r="491" spans="1:34" ht="12.75" customHeight="1">
      <c r="A491" s="115"/>
      <c r="F491" s="64" t="s">
        <v>414</v>
      </c>
      <c r="L491" s="246" t="s">
        <v>102</v>
      </c>
      <c r="M491" s="223"/>
      <c r="N491" s="223"/>
      <c r="O491" s="223"/>
      <c r="P491" s="223"/>
      <c r="Q491" s="223"/>
      <c r="R491" s="223"/>
      <c r="S491" s="224"/>
      <c r="T491" s="64" t="s">
        <v>415</v>
      </c>
      <c r="X491" s="246" t="s">
        <v>106</v>
      </c>
      <c r="Y491" s="223"/>
      <c r="Z491" s="223"/>
      <c r="AA491" s="223"/>
      <c r="AB491" s="223"/>
      <c r="AC491" s="223"/>
      <c r="AD491" s="224"/>
      <c r="AE491" s="115"/>
      <c r="AH491" s="77"/>
    </row>
    <row r="492" spans="1:34" ht="12.75" customHeight="1">
      <c r="A492" s="115"/>
      <c r="F492" s="64" t="s">
        <v>416</v>
      </c>
      <c r="L492" s="246" t="s">
        <v>104</v>
      </c>
      <c r="M492" s="223"/>
      <c r="N492" s="223"/>
      <c r="O492" s="223"/>
      <c r="P492" s="223"/>
      <c r="Q492" s="223"/>
      <c r="R492" s="223"/>
      <c r="S492" s="224"/>
      <c r="T492" s="64" t="s">
        <v>417</v>
      </c>
      <c r="X492" s="246" t="s">
        <v>418</v>
      </c>
      <c r="Y492" s="223"/>
      <c r="Z492" s="223"/>
      <c r="AA492" s="223"/>
      <c r="AB492" s="223"/>
      <c r="AC492" s="223"/>
      <c r="AD492" s="224"/>
      <c r="AE492" s="115"/>
      <c r="AH492" s="77"/>
    </row>
    <row r="493" spans="1:34" ht="8.25" customHeight="1">
      <c r="A493" s="115"/>
      <c r="B493" s="117"/>
      <c r="C493" s="62"/>
      <c r="D493" s="62"/>
      <c r="E493" s="62"/>
      <c r="F493" s="62"/>
      <c r="G493" s="62"/>
      <c r="H493" s="62"/>
      <c r="I493" s="62"/>
      <c r="J493" s="62"/>
      <c r="K493" s="62"/>
      <c r="L493" s="107"/>
      <c r="M493" s="107"/>
      <c r="N493" s="107"/>
      <c r="O493" s="107"/>
      <c r="P493" s="107"/>
      <c r="Q493" s="107"/>
      <c r="R493" s="107"/>
      <c r="S493" s="107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118"/>
      <c r="AH493" s="77"/>
    </row>
    <row r="494" spans="1:34" ht="12.75" customHeight="1">
      <c r="A494" s="115"/>
      <c r="B494" s="38" t="s">
        <v>456</v>
      </c>
      <c r="AE494" s="115"/>
      <c r="AH494" s="77"/>
    </row>
    <row r="495" spans="1:34" ht="12.75" customHeight="1">
      <c r="A495" s="115"/>
      <c r="B495" s="11" t="s">
        <v>111</v>
      </c>
      <c r="C495" s="64" t="s">
        <v>340</v>
      </c>
      <c r="F495" s="95">
        <v>3</v>
      </c>
      <c r="G495" s="95">
        <v>3</v>
      </c>
      <c r="H495" s="95">
        <v>2</v>
      </c>
      <c r="I495" s="95">
        <v>7</v>
      </c>
      <c r="J495" s="95">
        <v>0</v>
      </c>
      <c r="K495" s="95">
        <v>4</v>
      </c>
      <c r="L495" s="95">
        <v>4</v>
      </c>
      <c r="M495" s="95">
        <v>1</v>
      </c>
      <c r="N495" s="95">
        <v>0</v>
      </c>
      <c r="O495" s="95">
        <v>7</v>
      </c>
      <c r="P495" s="95">
        <v>5</v>
      </c>
      <c r="Q495" s="95">
        <v>4</v>
      </c>
      <c r="R495" s="95">
        <v>0</v>
      </c>
      <c r="S495" s="95">
        <v>1</v>
      </c>
      <c r="T495" s="95">
        <v>2</v>
      </c>
      <c r="U495" s="95">
        <v>2</v>
      </c>
      <c r="V495" s="11"/>
      <c r="W495" s="11"/>
      <c r="X495" s="11"/>
      <c r="Y495" s="11"/>
      <c r="Z495" s="11"/>
      <c r="AA495" s="11"/>
      <c r="AB495" s="11"/>
      <c r="AC495" s="11"/>
      <c r="AD495" s="11"/>
      <c r="AE495" s="115"/>
      <c r="AH495" s="77"/>
    </row>
    <row r="496" spans="1:34" ht="12.75" customHeight="1">
      <c r="A496" s="115"/>
      <c r="B496" s="11" t="s">
        <v>115</v>
      </c>
      <c r="C496" s="64" t="s">
        <v>391</v>
      </c>
      <c r="F496" s="78" t="s">
        <v>468</v>
      </c>
      <c r="G496" s="78" t="s">
        <v>467</v>
      </c>
      <c r="H496" s="78" t="s">
        <v>484</v>
      </c>
      <c r="I496" s="78" t="s">
        <v>475</v>
      </c>
      <c r="J496" s="78" t="s">
        <v>469</v>
      </c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115"/>
      <c r="AH496" s="77"/>
    </row>
    <row r="497" spans="1:34" ht="12.75" customHeight="1">
      <c r="A497" s="115"/>
      <c r="B497" s="11" t="s">
        <v>118</v>
      </c>
      <c r="C497" s="64" t="s">
        <v>396</v>
      </c>
      <c r="F497" s="225" t="s">
        <v>397</v>
      </c>
      <c r="G497" s="239"/>
      <c r="H497" s="78">
        <v>0</v>
      </c>
      <c r="I497" s="78">
        <v>1</v>
      </c>
      <c r="J497" s="240" t="s">
        <v>398</v>
      </c>
      <c r="K497" s="194"/>
      <c r="L497" s="239"/>
      <c r="M497" s="78">
        <v>0</v>
      </c>
      <c r="N497" s="78">
        <v>7</v>
      </c>
      <c r="O497" s="240" t="s">
        <v>399</v>
      </c>
      <c r="P497" s="194"/>
      <c r="Q497" s="239"/>
      <c r="R497" s="78">
        <v>1</v>
      </c>
      <c r="S497" s="78">
        <v>9</v>
      </c>
      <c r="T497" s="78">
        <v>5</v>
      </c>
      <c r="U497" s="78">
        <v>4</v>
      </c>
      <c r="V497" s="240" t="s">
        <v>359</v>
      </c>
      <c r="W497" s="194"/>
      <c r="X497" s="239"/>
      <c r="Y497" s="78">
        <v>4</v>
      </c>
      <c r="Z497" s="78">
        <v>9</v>
      </c>
      <c r="AA497" s="78"/>
      <c r="AB497" s="11"/>
      <c r="AC497" s="11"/>
      <c r="AD497" s="11"/>
      <c r="AE497" s="115"/>
      <c r="AH497" s="77"/>
    </row>
    <row r="498" spans="1:34" ht="12.75" customHeight="1">
      <c r="A498" s="115"/>
      <c r="B498" s="11" t="s">
        <v>121</v>
      </c>
      <c r="C498" s="64" t="s">
        <v>128</v>
      </c>
      <c r="F498" s="78">
        <v>0</v>
      </c>
      <c r="G498" s="78">
        <v>2</v>
      </c>
      <c r="AE498" s="115"/>
      <c r="AH498" s="77"/>
    </row>
    <row r="499" spans="1:34" ht="12.75" customHeight="1">
      <c r="A499" s="115"/>
      <c r="B499" s="11" t="s">
        <v>124</v>
      </c>
      <c r="C499" s="64" t="s">
        <v>345</v>
      </c>
      <c r="F499" s="246" t="s">
        <v>508</v>
      </c>
      <c r="G499" s="223"/>
      <c r="H499" s="223"/>
      <c r="I499" s="223"/>
      <c r="J499" s="223"/>
      <c r="K499" s="223"/>
      <c r="L499" s="223"/>
      <c r="M499" s="223"/>
      <c r="N499" s="223"/>
      <c r="O499" s="223"/>
      <c r="P499" s="223"/>
      <c r="Q499" s="223"/>
      <c r="R499" s="223"/>
      <c r="S499" s="223"/>
      <c r="T499" s="223"/>
      <c r="U499" s="223"/>
      <c r="V499" s="223"/>
      <c r="W499" s="223"/>
      <c r="X499" s="223"/>
      <c r="Y499" s="223"/>
      <c r="Z499" s="223"/>
      <c r="AA499" s="223"/>
      <c r="AB499" s="223"/>
      <c r="AC499" s="223"/>
      <c r="AD499" s="224"/>
      <c r="AE499" s="115"/>
      <c r="AH499" s="77"/>
    </row>
    <row r="500" spans="1:34" ht="12.75" customHeight="1">
      <c r="A500" s="115"/>
      <c r="F500" s="64" t="s">
        <v>414</v>
      </c>
      <c r="L500" s="246" t="s">
        <v>102</v>
      </c>
      <c r="M500" s="223"/>
      <c r="N500" s="223"/>
      <c r="O500" s="223"/>
      <c r="P500" s="223"/>
      <c r="Q500" s="223"/>
      <c r="R500" s="223"/>
      <c r="S500" s="224"/>
      <c r="T500" s="64" t="s">
        <v>415</v>
      </c>
      <c r="X500" s="246" t="s">
        <v>106</v>
      </c>
      <c r="Y500" s="223"/>
      <c r="Z500" s="223"/>
      <c r="AA500" s="223"/>
      <c r="AB500" s="223"/>
      <c r="AC500" s="223"/>
      <c r="AD500" s="224"/>
      <c r="AE500" s="115"/>
      <c r="AH500" s="77"/>
    </row>
    <row r="501" spans="1:34" ht="12.75" customHeight="1">
      <c r="A501" s="115"/>
      <c r="F501" s="64" t="s">
        <v>416</v>
      </c>
      <c r="L501" s="246" t="s">
        <v>104</v>
      </c>
      <c r="M501" s="223"/>
      <c r="N501" s="223"/>
      <c r="O501" s="223"/>
      <c r="P501" s="223"/>
      <c r="Q501" s="223"/>
      <c r="R501" s="223"/>
      <c r="S501" s="224"/>
      <c r="T501" s="64" t="s">
        <v>417</v>
      </c>
      <c r="X501" s="246" t="s">
        <v>418</v>
      </c>
      <c r="Y501" s="223"/>
      <c r="Z501" s="223"/>
      <c r="AA501" s="223"/>
      <c r="AB501" s="223"/>
      <c r="AC501" s="223"/>
      <c r="AD501" s="224"/>
      <c r="AE501" s="115"/>
      <c r="AH501" s="77"/>
    </row>
    <row r="502" spans="1:34" ht="12.75" customHeight="1">
      <c r="A502" s="115"/>
      <c r="B502" s="117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118"/>
      <c r="AH502" s="77"/>
    </row>
    <row r="503" spans="1:34" ht="12.75" customHeight="1">
      <c r="A503" s="115"/>
      <c r="B503" s="38" t="s">
        <v>457</v>
      </c>
      <c r="AE503" s="115"/>
      <c r="AH503" s="77"/>
    </row>
    <row r="504" spans="1:34" ht="12.75" customHeight="1">
      <c r="A504" s="115"/>
      <c r="B504" s="11" t="s">
        <v>111</v>
      </c>
      <c r="C504" s="64" t="s">
        <v>340</v>
      </c>
      <c r="F504" s="108">
        <v>3</v>
      </c>
      <c r="G504" s="108">
        <v>3</v>
      </c>
      <c r="H504" s="108">
        <v>2</v>
      </c>
      <c r="I504" s="108">
        <v>7</v>
      </c>
      <c r="J504" s="108">
        <v>0</v>
      </c>
      <c r="K504" s="108">
        <v>4</v>
      </c>
      <c r="L504" s="108">
        <v>1</v>
      </c>
      <c r="M504" s="108">
        <v>6</v>
      </c>
      <c r="N504" s="108">
        <v>0</v>
      </c>
      <c r="O504" s="108">
        <v>1</v>
      </c>
      <c r="P504" s="108">
        <v>7</v>
      </c>
      <c r="Q504" s="108">
        <v>5</v>
      </c>
      <c r="R504" s="108">
        <v>0</v>
      </c>
      <c r="S504" s="108">
        <v>0</v>
      </c>
      <c r="T504" s="108">
        <v>0</v>
      </c>
      <c r="U504" s="108">
        <v>5</v>
      </c>
      <c r="V504" s="11"/>
      <c r="W504" s="11"/>
      <c r="X504" s="11"/>
      <c r="Y504" s="11"/>
      <c r="Z504" s="11"/>
      <c r="AA504" s="11"/>
      <c r="AB504" s="11"/>
      <c r="AC504" s="11"/>
      <c r="AD504" s="11"/>
      <c r="AE504" s="115"/>
      <c r="AH504" s="77"/>
    </row>
    <row r="505" spans="1:34" ht="12.75" customHeight="1">
      <c r="A505" s="115"/>
      <c r="B505" s="11" t="s">
        <v>115</v>
      </c>
      <c r="C505" s="64" t="s">
        <v>391</v>
      </c>
      <c r="F505" s="78" t="s">
        <v>484</v>
      </c>
      <c r="G505" s="78" t="s">
        <v>464</v>
      </c>
      <c r="H505" s="78" t="s">
        <v>468</v>
      </c>
      <c r="I505" s="78" t="s">
        <v>486</v>
      </c>
      <c r="J505" s="78" t="s">
        <v>477</v>
      </c>
      <c r="K505" s="78" t="s">
        <v>485</v>
      </c>
      <c r="L505" s="78" t="s">
        <v>477</v>
      </c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115"/>
      <c r="AH505" s="77"/>
    </row>
    <row r="506" spans="1:34" ht="12.75" customHeight="1">
      <c r="A506" s="115"/>
      <c r="B506" s="11" t="s">
        <v>118</v>
      </c>
      <c r="C506" s="64" t="s">
        <v>396</v>
      </c>
      <c r="F506" s="253" t="s">
        <v>397</v>
      </c>
      <c r="G506" s="224"/>
      <c r="H506" s="78">
        <v>1</v>
      </c>
      <c r="I506" s="78">
        <v>6</v>
      </c>
      <c r="J506" s="242" t="s">
        <v>398</v>
      </c>
      <c r="K506" s="243"/>
      <c r="L506" s="244"/>
      <c r="M506" s="78">
        <v>0</v>
      </c>
      <c r="N506" s="78">
        <v>1</v>
      </c>
      <c r="O506" s="242" t="s">
        <v>399</v>
      </c>
      <c r="P506" s="243"/>
      <c r="Q506" s="244"/>
      <c r="R506" s="78">
        <v>1</v>
      </c>
      <c r="S506" s="78">
        <v>9</v>
      </c>
      <c r="T506" s="78">
        <v>7</v>
      </c>
      <c r="U506" s="78">
        <v>5</v>
      </c>
      <c r="V506" s="242" t="s">
        <v>359</v>
      </c>
      <c r="W506" s="243"/>
      <c r="X506" s="244"/>
      <c r="Y506" s="78">
        <v>4</v>
      </c>
      <c r="Z506" s="78">
        <v>7</v>
      </c>
      <c r="AA506" s="78"/>
      <c r="AB506" s="11"/>
      <c r="AC506" s="11"/>
      <c r="AD506" s="11"/>
      <c r="AE506" s="115"/>
      <c r="AH506" s="77"/>
    </row>
    <row r="507" spans="1:34" ht="12.75" customHeight="1">
      <c r="A507" s="115"/>
      <c r="B507" s="11" t="s">
        <v>121</v>
      </c>
      <c r="C507" s="64" t="s">
        <v>128</v>
      </c>
      <c r="F507" s="78">
        <v>8</v>
      </c>
      <c r="G507" s="78">
        <v>5</v>
      </c>
      <c r="AE507" s="115"/>
      <c r="AH507" s="77"/>
    </row>
    <row r="508" spans="1:34" ht="12.75" customHeight="1">
      <c r="A508" s="115"/>
      <c r="B508" s="11" t="s">
        <v>124</v>
      </c>
      <c r="C508" s="64" t="s">
        <v>345</v>
      </c>
      <c r="F508" s="246" t="s">
        <v>471</v>
      </c>
      <c r="G508" s="223"/>
      <c r="H508" s="223"/>
      <c r="I508" s="223"/>
      <c r="J508" s="223"/>
      <c r="K508" s="223"/>
      <c r="L508" s="223"/>
      <c r="M508" s="223"/>
      <c r="N508" s="223"/>
      <c r="O508" s="223"/>
      <c r="P508" s="223"/>
      <c r="Q508" s="223"/>
      <c r="R508" s="223"/>
      <c r="S508" s="223"/>
      <c r="T508" s="223"/>
      <c r="U508" s="223"/>
      <c r="V508" s="223"/>
      <c r="W508" s="223"/>
      <c r="X508" s="223"/>
      <c r="Y508" s="223"/>
      <c r="Z508" s="223"/>
      <c r="AA508" s="223"/>
      <c r="AB508" s="223"/>
      <c r="AC508" s="223"/>
      <c r="AD508" s="224"/>
      <c r="AE508" s="115"/>
      <c r="AH508" s="77"/>
    </row>
    <row r="509" spans="1:34" ht="12.75" customHeight="1">
      <c r="A509" s="115"/>
      <c r="F509" s="64" t="s">
        <v>414</v>
      </c>
      <c r="L509" s="246" t="s">
        <v>102</v>
      </c>
      <c r="M509" s="223"/>
      <c r="N509" s="223"/>
      <c r="O509" s="223"/>
      <c r="P509" s="223"/>
      <c r="Q509" s="223"/>
      <c r="R509" s="223"/>
      <c r="S509" s="224"/>
      <c r="T509" s="64" t="s">
        <v>415</v>
      </c>
      <c r="X509" s="246" t="s">
        <v>106</v>
      </c>
      <c r="Y509" s="223"/>
      <c r="Z509" s="223"/>
      <c r="AA509" s="223"/>
      <c r="AB509" s="223"/>
      <c r="AC509" s="223"/>
      <c r="AD509" s="224"/>
      <c r="AE509" s="115"/>
      <c r="AH509" s="77"/>
    </row>
    <row r="510" spans="1:34" ht="12.75" customHeight="1">
      <c r="A510" s="115"/>
      <c r="F510" s="64" t="s">
        <v>416</v>
      </c>
      <c r="L510" s="246" t="s">
        <v>104</v>
      </c>
      <c r="M510" s="223"/>
      <c r="N510" s="223"/>
      <c r="O510" s="223"/>
      <c r="P510" s="223"/>
      <c r="Q510" s="223"/>
      <c r="R510" s="223"/>
      <c r="S510" s="224"/>
      <c r="T510" s="64" t="s">
        <v>417</v>
      </c>
      <c r="X510" s="246" t="s">
        <v>418</v>
      </c>
      <c r="Y510" s="223"/>
      <c r="Z510" s="223"/>
      <c r="AA510" s="223"/>
      <c r="AB510" s="223"/>
      <c r="AC510" s="223"/>
      <c r="AD510" s="224"/>
      <c r="AE510" s="115"/>
      <c r="AH510" s="77"/>
    </row>
    <row r="511" spans="1:34" ht="12.75" customHeight="1">
      <c r="A511" s="115"/>
      <c r="B511" s="117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118"/>
      <c r="AH511" s="77"/>
    </row>
    <row r="512" spans="1:34" ht="12.75" customHeight="1">
      <c r="A512" s="115"/>
      <c r="B512" s="64" t="s">
        <v>472</v>
      </c>
      <c r="AE512" s="115"/>
      <c r="AH512" s="77"/>
    </row>
    <row r="513" spans="1:34" ht="12.75" customHeight="1">
      <c r="A513" s="115"/>
      <c r="B513" s="11" t="s">
        <v>111</v>
      </c>
      <c r="C513" s="64" t="s">
        <v>340</v>
      </c>
      <c r="F513" s="108">
        <v>3</v>
      </c>
      <c r="G513" s="108">
        <v>3</v>
      </c>
      <c r="H513" s="108">
        <v>2</v>
      </c>
      <c r="I513" s="108">
        <v>7</v>
      </c>
      <c r="J513" s="108">
        <v>0</v>
      </c>
      <c r="K513" s="108">
        <v>4</v>
      </c>
      <c r="L513" s="108">
        <v>1</v>
      </c>
      <c r="M513" s="108">
        <v>5</v>
      </c>
      <c r="N513" s="108" t="s">
        <v>477</v>
      </c>
      <c r="O513" s="108">
        <v>2</v>
      </c>
      <c r="P513" s="108">
        <v>7</v>
      </c>
      <c r="Q513" s="108">
        <v>9</v>
      </c>
      <c r="R513" s="108">
        <v>0</v>
      </c>
      <c r="S513" s="108">
        <v>0</v>
      </c>
      <c r="T513" s="108">
        <v>0</v>
      </c>
      <c r="U513" s="108">
        <v>4</v>
      </c>
      <c r="V513" s="11"/>
      <c r="W513" s="11"/>
      <c r="X513" s="11"/>
      <c r="Y513" s="11"/>
      <c r="Z513" s="11"/>
      <c r="AA513" s="11"/>
      <c r="AB513" s="11"/>
      <c r="AC513" s="11"/>
      <c r="AD513" s="11"/>
      <c r="AE513" s="115"/>
      <c r="AH513" s="77"/>
    </row>
    <row r="514" spans="1:34" ht="12.75" customHeight="1">
      <c r="A514" s="115"/>
      <c r="B514" s="11" t="s">
        <v>115</v>
      </c>
      <c r="C514" s="64" t="s">
        <v>391</v>
      </c>
      <c r="F514" s="108" t="s">
        <v>491</v>
      </c>
      <c r="G514" s="108" t="s">
        <v>467</v>
      </c>
      <c r="H514" s="108" t="s">
        <v>474</v>
      </c>
      <c r="I514" s="108" t="s">
        <v>469</v>
      </c>
      <c r="J514" s="108"/>
      <c r="K514" s="108" t="s">
        <v>484</v>
      </c>
      <c r="L514" s="108" t="s">
        <v>464</v>
      </c>
      <c r="M514" s="108" t="s">
        <v>485</v>
      </c>
      <c r="N514" s="108" t="s">
        <v>476</v>
      </c>
      <c r="O514" s="109" t="s">
        <v>477</v>
      </c>
      <c r="P514" s="109" t="s">
        <v>484</v>
      </c>
      <c r="Q514" s="109" t="s">
        <v>477</v>
      </c>
      <c r="R514" s="109"/>
      <c r="S514" s="109"/>
      <c r="T514" s="109"/>
      <c r="U514" s="109"/>
      <c r="V514" s="78"/>
      <c r="W514" s="78"/>
      <c r="X514" s="78"/>
      <c r="Y514" s="78"/>
      <c r="Z514" s="78"/>
      <c r="AA514" s="78"/>
      <c r="AB514" s="78"/>
      <c r="AC514" s="78"/>
      <c r="AD514" s="78"/>
      <c r="AE514" s="115"/>
      <c r="AH514" s="77"/>
    </row>
    <row r="515" spans="1:34" ht="12.75" customHeight="1">
      <c r="A515" s="115"/>
      <c r="B515" s="11" t="s">
        <v>118</v>
      </c>
      <c r="C515" s="64" t="s">
        <v>396</v>
      </c>
      <c r="F515" s="225" t="s">
        <v>397</v>
      </c>
      <c r="G515" s="239"/>
      <c r="H515" s="78">
        <v>1</v>
      </c>
      <c r="I515" s="78">
        <v>5</v>
      </c>
      <c r="J515" s="240" t="s">
        <v>398</v>
      </c>
      <c r="K515" s="194"/>
      <c r="L515" s="239"/>
      <c r="M515" s="78">
        <v>0</v>
      </c>
      <c r="N515" s="78">
        <v>2</v>
      </c>
      <c r="O515" s="240" t="s">
        <v>399</v>
      </c>
      <c r="P515" s="194"/>
      <c r="Q515" s="239"/>
      <c r="R515" s="78">
        <v>1</v>
      </c>
      <c r="S515" s="78">
        <v>9</v>
      </c>
      <c r="T515" s="78">
        <v>7</v>
      </c>
      <c r="U515" s="78">
        <v>9</v>
      </c>
      <c r="V515" s="240" t="s">
        <v>359</v>
      </c>
      <c r="W515" s="194"/>
      <c r="X515" s="239"/>
      <c r="Y515" s="78">
        <v>4</v>
      </c>
      <c r="Z515" s="78">
        <v>2</v>
      </c>
      <c r="AA515" s="78"/>
      <c r="AB515" s="11"/>
      <c r="AC515" s="11"/>
      <c r="AD515" s="11"/>
      <c r="AE515" s="115"/>
      <c r="AH515" s="77"/>
    </row>
    <row r="516" spans="1:34" ht="12.75" customHeight="1">
      <c r="A516" s="115"/>
      <c r="B516" s="11" t="s">
        <v>121</v>
      </c>
      <c r="C516" s="64" t="s">
        <v>128</v>
      </c>
      <c r="F516" s="78">
        <v>8</v>
      </c>
      <c r="G516" s="78">
        <v>5</v>
      </c>
      <c r="AE516" s="115"/>
      <c r="AH516" s="77"/>
    </row>
    <row r="517" spans="1:34" ht="12.75" customHeight="1">
      <c r="A517" s="115"/>
      <c r="B517" s="11" t="s">
        <v>124</v>
      </c>
      <c r="C517" s="64" t="s">
        <v>345</v>
      </c>
      <c r="F517" s="246" t="s">
        <v>492</v>
      </c>
      <c r="G517" s="223"/>
      <c r="H517" s="223"/>
      <c r="I517" s="223"/>
      <c r="J517" s="223"/>
      <c r="K517" s="223"/>
      <c r="L517" s="223"/>
      <c r="M517" s="223"/>
      <c r="N517" s="223"/>
      <c r="O517" s="223"/>
      <c r="P517" s="223"/>
      <c r="Q517" s="223"/>
      <c r="R517" s="223"/>
      <c r="S517" s="223"/>
      <c r="T517" s="223"/>
      <c r="U517" s="223"/>
      <c r="V517" s="223"/>
      <c r="W517" s="223"/>
      <c r="X517" s="223"/>
      <c r="Y517" s="223"/>
      <c r="Z517" s="223"/>
      <c r="AA517" s="223"/>
      <c r="AB517" s="223"/>
      <c r="AC517" s="223"/>
      <c r="AD517" s="224"/>
      <c r="AE517" s="115"/>
      <c r="AH517" s="77"/>
    </row>
    <row r="518" spans="1:34" ht="12.75" customHeight="1">
      <c r="A518" s="115"/>
      <c r="F518" s="64" t="s">
        <v>414</v>
      </c>
      <c r="L518" s="246" t="s">
        <v>102</v>
      </c>
      <c r="M518" s="223"/>
      <c r="N518" s="223"/>
      <c r="O518" s="223"/>
      <c r="P518" s="223"/>
      <c r="Q518" s="223"/>
      <c r="R518" s="223"/>
      <c r="S518" s="224"/>
      <c r="T518" s="64" t="s">
        <v>415</v>
      </c>
      <c r="X518" s="246" t="s">
        <v>106</v>
      </c>
      <c r="Y518" s="223"/>
      <c r="Z518" s="223"/>
      <c r="AA518" s="223"/>
      <c r="AB518" s="223"/>
      <c r="AC518" s="223"/>
      <c r="AD518" s="224"/>
      <c r="AE518" s="115"/>
      <c r="AH518" s="77"/>
    </row>
    <row r="519" spans="1:34" ht="12.75" customHeight="1">
      <c r="A519" s="115"/>
      <c r="F519" s="64" t="s">
        <v>416</v>
      </c>
      <c r="L519" s="246" t="s">
        <v>104</v>
      </c>
      <c r="M519" s="223"/>
      <c r="N519" s="223"/>
      <c r="O519" s="223"/>
      <c r="P519" s="223"/>
      <c r="Q519" s="223"/>
      <c r="R519" s="223"/>
      <c r="S519" s="224"/>
      <c r="T519" s="64" t="s">
        <v>417</v>
      </c>
      <c r="X519" s="246" t="s">
        <v>418</v>
      </c>
      <c r="Y519" s="223"/>
      <c r="Z519" s="223"/>
      <c r="AA519" s="223"/>
      <c r="AB519" s="223"/>
      <c r="AC519" s="223"/>
      <c r="AD519" s="224"/>
      <c r="AE519" s="115"/>
      <c r="AH519" s="77"/>
    </row>
    <row r="520" spans="1:34" ht="12.75" customHeight="1">
      <c r="A520" s="115"/>
      <c r="B520" s="119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  <c r="AA520" s="114"/>
      <c r="AB520" s="114"/>
      <c r="AC520" s="114"/>
      <c r="AD520" s="114"/>
      <c r="AE520" s="120"/>
      <c r="AH520" s="77"/>
    </row>
    <row r="521" spans="1:34" ht="12.75" customHeight="1">
      <c r="AH521" s="77"/>
    </row>
    <row r="522" spans="1:34" ht="12.75" customHeight="1">
      <c r="U522" s="3" t="s">
        <v>509</v>
      </c>
      <c r="AH522" s="77"/>
    </row>
    <row r="523" spans="1:34" ht="12.75" customHeight="1">
      <c r="C523" s="225" t="s">
        <v>480</v>
      </c>
      <c r="D523" s="194"/>
      <c r="E523" s="194"/>
      <c r="F523" s="194"/>
      <c r="G523" s="194"/>
      <c r="AH523" s="77"/>
    </row>
    <row r="524" spans="1:34" ht="12.75" customHeight="1">
      <c r="C524" s="225" t="s">
        <v>494</v>
      </c>
      <c r="D524" s="194"/>
      <c r="E524" s="194"/>
      <c r="F524" s="194"/>
      <c r="G524" s="194"/>
      <c r="W524" s="64" t="s">
        <v>481</v>
      </c>
      <c r="AH524" s="77"/>
    </row>
    <row r="525" spans="1:34" ht="12.75" customHeight="1">
      <c r="C525" s="225" t="s">
        <v>365</v>
      </c>
      <c r="D525" s="194"/>
      <c r="E525" s="194"/>
      <c r="F525" s="194"/>
      <c r="G525" s="194"/>
      <c r="AH525" s="77"/>
    </row>
    <row r="526" spans="1:34" ht="12.75" customHeight="1">
      <c r="AH526" s="77"/>
    </row>
    <row r="527" spans="1:34" ht="12.75" customHeight="1">
      <c r="AH527" s="77"/>
    </row>
    <row r="528" spans="1:34" ht="12.75" customHeight="1">
      <c r="C528" s="225" t="s">
        <v>366</v>
      </c>
      <c r="D528" s="194"/>
      <c r="E528" s="194"/>
      <c r="F528" s="194"/>
      <c r="G528" s="194"/>
      <c r="W528" s="3" t="s">
        <v>510</v>
      </c>
      <c r="AH528" s="77"/>
    </row>
    <row r="529" spans="34:34" ht="12.75" customHeight="1">
      <c r="AH529" s="77"/>
    </row>
    <row r="530" spans="34:34" ht="12.75" customHeight="1">
      <c r="AH530" s="77"/>
    </row>
    <row r="531" spans="34:34" ht="12.75" customHeight="1">
      <c r="AH531" s="77"/>
    </row>
    <row r="532" spans="34:34" ht="12.75" customHeight="1">
      <c r="AH532" s="77"/>
    </row>
    <row r="533" spans="34:34" ht="12.75" customHeight="1">
      <c r="AH533" s="77"/>
    </row>
    <row r="534" spans="34:34" ht="12.75" customHeight="1">
      <c r="AH534" s="77"/>
    </row>
    <row r="535" spans="34:34" ht="12.75" customHeight="1">
      <c r="AH535" s="77"/>
    </row>
    <row r="536" spans="34:34" ht="12.75" customHeight="1">
      <c r="AH536" s="77"/>
    </row>
    <row r="537" spans="34:34" ht="12.75" customHeight="1">
      <c r="AH537" s="77"/>
    </row>
    <row r="538" spans="34:34" ht="12.75" customHeight="1">
      <c r="AH538" s="77"/>
    </row>
    <row r="539" spans="34:34" ht="12.75" customHeight="1">
      <c r="AH539" s="77"/>
    </row>
    <row r="540" spans="34:34" ht="12.75" customHeight="1">
      <c r="AH540" s="77"/>
    </row>
    <row r="541" spans="34:34" ht="12.75" customHeight="1">
      <c r="AH541" s="77"/>
    </row>
    <row r="542" spans="34:34" ht="12.75" customHeight="1">
      <c r="AH542" s="77"/>
    </row>
    <row r="543" spans="34:34" ht="12.75" customHeight="1">
      <c r="AH543" s="77"/>
    </row>
    <row r="544" spans="34:34" ht="12.75" customHeight="1">
      <c r="AH544" s="77"/>
    </row>
    <row r="545" spans="34:34" ht="12.75" customHeight="1">
      <c r="AH545" s="77"/>
    </row>
    <row r="546" spans="34:34" ht="12.75" customHeight="1">
      <c r="AH546" s="77"/>
    </row>
    <row r="547" spans="34:34" ht="12.75" customHeight="1">
      <c r="AH547" s="77"/>
    </row>
    <row r="548" spans="34:34" ht="12.75" customHeight="1">
      <c r="AH548" s="77"/>
    </row>
    <row r="549" spans="34:34" ht="12.75" customHeight="1">
      <c r="AH549" s="77"/>
    </row>
    <row r="550" spans="34:34" ht="12.75" customHeight="1">
      <c r="AH550" s="77"/>
    </row>
    <row r="551" spans="34:34" ht="12.75" customHeight="1">
      <c r="AH551" s="77"/>
    </row>
    <row r="552" spans="34:34" ht="12.75" customHeight="1">
      <c r="AH552" s="77"/>
    </row>
    <row r="553" spans="34:34" ht="12.75" customHeight="1">
      <c r="AH553" s="77"/>
    </row>
    <row r="554" spans="34:34" ht="12.75" customHeight="1">
      <c r="AH554" s="77"/>
    </row>
    <row r="555" spans="34:34" ht="12.75" customHeight="1">
      <c r="AH555" s="77"/>
    </row>
    <row r="556" spans="34:34" ht="12.75" customHeight="1">
      <c r="AH556" s="77"/>
    </row>
    <row r="557" spans="34:34" ht="12.75" customHeight="1">
      <c r="AH557" s="77"/>
    </row>
    <row r="558" spans="34:34" ht="12.75" customHeight="1">
      <c r="AH558" s="77"/>
    </row>
    <row r="559" spans="34:34" ht="12.75" customHeight="1">
      <c r="AH559" s="77"/>
    </row>
    <row r="560" spans="34:34" ht="12.75" customHeight="1">
      <c r="AH560" s="77"/>
    </row>
    <row r="561" spans="34:34" ht="12.75" customHeight="1">
      <c r="AH561" s="77"/>
    </row>
    <row r="562" spans="34:34" ht="12.75" customHeight="1">
      <c r="AH562" s="77"/>
    </row>
    <row r="563" spans="34:34" ht="12.75" customHeight="1">
      <c r="AH563" s="77"/>
    </row>
    <row r="564" spans="34:34" ht="12.75" customHeight="1">
      <c r="AH564" s="77"/>
    </row>
    <row r="565" spans="34:34" ht="12.75" customHeight="1">
      <c r="AH565" s="77"/>
    </row>
    <row r="566" spans="34:34" ht="12.75" customHeight="1">
      <c r="AH566" s="77"/>
    </row>
    <row r="567" spans="34:34" ht="12.75" customHeight="1">
      <c r="AH567" s="77"/>
    </row>
    <row r="568" spans="34:34" ht="12.75" customHeight="1">
      <c r="AH568" s="77"/>
    </row>
    <row r="569" spans="34:34" ht="12.75" customHeight="1">
      <c r="AH569" s="77"/>
    </row>
    <row r="570" spans="34:34" ht="12.75" customHeight="1">
      <c r="AH570" s="77"/>
    </row>
    <row r="571" spans="34:34" ht="12.75" customHeight="1">
      <c r="AH571" s="77"/>
    </row>
    <row r="572" spans="34:34" ht="12.75" customHeight="1">
      <c r="AH572" s="77"/>
    </row>
    <row r="573" spans="34:34" ht="12.75" customHeight="1">
      <c r="AH573" s="77"/>
    </row>
    <row r="574" spans="34:34" ht="12.75" customHeight="1">
      <c r="AH574" s="77"/>
    </row>
    <row r="575" spans="34:34" ht="12.75" customHeight="1">
      <c r="AH575" s="77"/>
    </row>
    <row r="576" spans="34:34" ht="12.75" customHeight="1">
      <c r="AH576" s="77"/>
    </row>
    <row r="577" spans="34:34" ht="12.75" customHeight="1">
      <c r="AH577" s="77"/>
    </row>
    <row r="578" spans="34:34" ht="12.75" customHeight="1">
      <c r="AH578" s="77"/>
    </row>
    <row r="579" spans="34:34" ht="12.75" customHeight="1">
      <c r="AH579" s="77"/>
    </row>
    <row r="580" spans="34:34" ht="12.75" customHeight="1">
      <c r="AH580" s="77"/>
    </row>
    <row r="581" spans="34:34" ht="12.75" customHeight="1">
      <c r="AH581" s="77"/>
    </row>
    <row r="582" spans="34:34" ht="12.75" customHeight="1">
      <c r="AH582" s="77"/>
    </row>
    <row r="583" spans="34:34" ht="12.75" customHeight="1">
      <c r="AH583" s="77"/>
    </row>
    <row r="584" spans="34:34" ht="12.75" customHeight="1">
      <c r="AH584" s="77"/>
    </row>
    <row r="585" spans="34:34" ht="12.75" customHeight="1">
      <c r="AH585" s="77"/>
    </row>
    <row r="586" spans="34:34" ht="12.75" customHeight="1">
      <c r="AH586" s="77"/>
    </row>
    <row r="587" spans="34:34" ht="12.75" customHeight="1">
      <c r="AH587" s="77"/>
    </row>
    <row r="588" spans="34:34" ht="12.75" customHeight="1">
      <c r="AH588" s="77"/>
    </row>
    <row r="589" spans="34:34" ht="12.75" customHeight="1">
      <c r="AH589" s="77"/>
    </row>
    <row r="590" spans="34:34" ht="12.75" customHeight="1">
      <c r="AH590" s="77"/>
    </row>
    <row r="591" spans="34:34" ht="12.75" customHeight="1">
      <c r="AH591" s="77"/>
    </row>
    <row r="592" spans="34:34" ht="12.75" customHeight="1">
      <c r="AH592" s="77"/>
    </row>
    <row r="593" spans="2:34" ht="12.75" customHeight="1">
      <c r="AH593" s="77"/>
    </row>
    <row r="594" spans="2:34" ht="12.75" customHeight="1">
      <c r="AH594" s="77"/>
    </row>
    <row r="595" spans="2:34" ht="12.75" customHeight="1">
      <c r="AH595" s="77"/>
    </row>
    <row r="596" spans="2:34" ht="12.75" customHeight="1">
      <c r="AH596" s="77"/>
    </row>
    <row r="597" spans="2:34" ht="12.75" customHeight="1">
      <c r="AH597" s="77"/>
    </row>
    <row r="598" spans="2:34" ht="12.75" customHeight="1">
      <c r="Y598" s="235" t="s">
        <v>368</v>
      </c>
      <c r="Z598" s="236"/>
      <c r="AA598" s="236"/>
      <c r="AB598" s="236"/>
      <c r="AC598" s="237"/>
      <c r="AH598" s="77"/>
    </row>
    <row r="599" spans="2:34" ht="12.75" customHeight="1">
      <c r="AH599" s="77"/>
    </row>
    <row r="600" spans="2:34" ht="12.75" customHeight="1">
      <c r="B600" s="64" t="s">
        <v>369</v>
      </c>
      <c r="D600" s="11" t="s">
        <v>10</v>
      </c>
      <c r="F600" s="64" t="s">
        <v>370</v>
      </c>
      <c r="P600" s="64" t="s">
        <v>371</v>
      </c>
      <c r="R600" s="11" t="s">
        <v>10</v>
      </c>
      <c r="S600" s="64" t="s">
        <v>372</v>
      </c>
      <c r="V600" s="11" t="s">
        <v>10</v>
      </c>
      <c r="W600" s="64" t="s">
        <v>373</v>
      </c>
      <c r="AH600" s="77"/>
    </row>
    <row r="601" spans="2:34" ht="12.75" customHeight="1">
      <c r="B601" s="64" t="s">
        <v>331</v>
      </c>
      <c r="D601" s="11" t="s">
        <v>10</v>
      </c>
      <c r="F601" s="64" t="s">
        <v>374</v>
      </c>
      <c r="S601" s="64" t="s">
        <v>375</v>
      </c>
      <c r="V601" s="11" t="s">
        <v>10</v>
      </c>
      <c r="W601" s="64" t="s">
        <v>376</v>
      </c>
      <c r="AH601" s="77"/>
    </row>
    <row r="602" spans="2:34" ht="12.75" customHeight="1">
      <c r="B602" s="64" t="s">
        <v>377</v>
      </c>
      <c r="D602" s="11" t="s">
        <v>10</v>
      </c>
      <c r="F602" s="64" t="s">
        <v>378</v>
      </c>
      <c r="P602" s="62"/>
      <c r="S602" s="64" t="s">
        <v>379</v>
      </c>
      <c r="V602" s="11" t="s">
        <v>10</v>
      </c>
      <c r="W602" s="64" t="s">
        <v>380</v>
      </c>
      <c r="AH602" s="77"/>
    </row>
    <row r="603" spans="2:34" ht="12.75" customHeight="1">
      <c r="B603" s="64" t="s">
        <v>381</v>
      </c>
      <c r="D603" s="11" t="s">
        <v>10</v>
      </c>
      <c r="F603" s="78">
        <v>3</v>
      </c>
      <c r="G603" s="78">
        <v>3</v>
      </c>
      <c r="H603" s="78">
        <v>2</v>
      </c>
      <c r="I603" s="78">
        <v>7</v>
      </c>
      <c r="J603" s="78">
        <v>0</v>
      </c>
      <c r="K603" s="78">
        <v>4</v>
      </c>
      <c r="L603" s="78">
        <v>0</v>
      </c>
      <c r="M603" s="78">
        <v>2</v>
      </c>
      <c r="N603" s="78">
        <v>0</v>
      </c>
      <c r="O603" s="78">
        <v>2</v>
      </c>
      <c r="P603" s="11">
        <v>2</v>
      </c>
      <c r="Q603" s="79"/>
      <c r="S603" s="64" t="s">
        <v>382</v>
      </c>
      <c r="V603" s="11" t="s">
        <v>10</v>
      </c>
      <c r="W603" s="64" t="s">
        <v>383</v>
      </c>
      <c r="AH603" s="77"/>
    </row>
    <row r="604" spans="2:34" ht="12.75" customHeight="1">
      <c r="P604" s="59"/>
      <c r="AH604" s="77"/>
    </row>
    <row r="605" spans="2:34" ht="12.75" customHeight="1">
      <c r="B605" s="196" t="s">
        <v>334</v>
      </c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194"/>
      <c r="Z605" s="194"/>
      <c r="AA605" s="194"/>
      <c r="AB605" s="194"/>
      <c r="AC605" s="194"/>
      <c r="AD605" s="194"/>
      <c r="AH605" s="77"/>
    </row>
    <row r="606" spans="2:34" ht="12.75" customHeight="1">
      <c r="B606" s="225" t="s">
        <v>511</v>
      </c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194"/>
      <c r="Z606" s="194"/>
      <c r="AA606" s="194"/>
      <c r="AB606" s="194"/>
      <c r="AC606" s="194"/>
      <c r="AD606" s="194"/>
      <c r="AH606" s="77"/>
    </row>
    <row r="607" spans="2:34" ht="9" customHeight="1">
      <c r="AH607" s="77"/>
    </row>
    <row r="608" spans="2:34" ht="12.75" customHeight="1">
      <c r="B608" s="64" t="s">
        <v>385</v>
      </c>
      <c r="D608" s="11" t="s">
        <v>10</v>
      </c>
      <c r="F608" s="78" t="s">
        <v>476</v>
      </c>
      <c r="G608" s="78" t="s">
        <v>464</v>
      </c>
      <c r="H608" s="78" t="s">
        <v>468</v>
      </c>
      <c r="I608" s="78" t="s">
        <v>475</v>
      </c>
      <c r="J608" s="78" t="s">
        <v>469</v>
      </c>
      <c r="K608" s="78" t="s">
        <v>498</v>
      </c>
      <c r="L608" s="78" t="s">
        <v>469</v>
      </c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  <c r="AC608" s="91"/>
      <c r="AD608" s="91"/>
      <c r="AH608" s="77"/>
    </row>
    <row r="609" spans="1:34" ht="12.75" customHeight="1">
      <c r="B609" s="64" t="s">
        <v>387</v>
      </c>
      <c r="D609" s="11" t="s">
        <v>10</v>
      </c>
      <c r="F609" s="78">
        <v>3</v>
      </c>
      <c r="G609" s="78">
        <v>3</v>
      </c>
      <c r="H609" s="78">
        <v>2</v>
      </c>
      <c r="I609" s="78">
        <v>7</v>
      </c>
      <c r="J609" s="78">
        <v>0</v>
      </c>
      <c r="K609" s="78">
        <v>4</v>
      </c>
      <c r="L609" s="78">
        <v>0</v>
      </c>
      <c r="M609" s="78">
        <v>8</v>
      </c>
      <c r="N609" s="78">
        <v>0</v>
      </c>
      <c r="O609" s="78">
        <v>2</v>
      </c>
      <c r="P609" s="78">
        <v>1</v>
      </c>
      <c r="Q609" s="78">
        <v>2</v>
      </c>
      <c r="R609" s="78">
        <v>0</v>
      </c>
      <c r="S609" s="78">
        <v>0</v>
      </c>
      <c r="T609" s="78">
        <v>1</v>
      </c>
      <c r="U609" s="78">
        <v>4</v>
      </c>
      <c r="V609" s="91"/>
      <c r="W609" s="91"/>
      <c r="X609" s="91"/>
      <c r="Y609" s="91"/>
      <c r="AH609" s="77"/>
    </row>
    <row r="610" spans="1:34" ht="7.5" customHeight="1"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  <c r="AA610" s="114"/>
      <c r="AB610" s="114"/>
      <c r="AC610" s="114"/>
      <c r="AD610" s="114"/>
      <c r="AE610" s="114"/>
      <c r="AH610" s="77"/>
    </row>
    <row r="611" spans="1:34" ht="12.75" customHeight="1">
      <c r="A611" s="115"/>
      <c r="B611" s="38" t="s">
        <v>389</v>
      </c>
      <c r="AE611" s="116"/>
      <c r="AH611" s="77"/>
    </row>
    <row r="612" spans="1:34" ht="12.75" customHeight="1">
      <c r="A612" s="115"/>
      <c r="B612" s="11" t="s">
        <v>111</v>
      </c>
      <c r="C612" s="64" t="s">
        <v>340</v>
      </c>
      <c r="D612" s="11" t="s">
        <v>10</v>
      </c>
      <c r="F612" s="95">
        <v>3</v>
      </c>
      <c r="G612" s="95">
        <v>3</v>
      </c>
      <c r="H612" s="95">
        <v>2</v>
      </c>
      <c r="I612" s="95">
        <v>7</v>
      </c>
      <c r="J612" s="95">
        <v>0</v>
      </c>
      <c r="K612" s="95">
        <v>4</v>
      </c>
      <c r="L612" s="95">
        <v>1</v>
      </c>
      <c r="M612" s="95">
        <v>9</v>
      </c>
      <c r="N612" s="95">
        <v>1</v>
      </c>
      <c r="O612" s="95">
        <v>1</v>
      </c>
      <c r="P612" s="95">
        <v>9</v>
      </c>
      <c r="Q612" s="95">
        <v>7</v>
      </c>
      <c r="R612" s="95">
        <v>0</v>
      </c>
      <c r="S612" s="95">
        <v>0</v>
      </c>
      <c r="T612" s="95">
        <v>0</v>
      </c>
      <c r="U612" s="95">
        <v>2</v>
      </c>
      <c r="AE612" s="115"/>
      <c r="AH612" s="77"/>
    </row>
    <row r="613" spans="1:34" ht="12.75" customHeight="1">
      <c r="A613" s="115"/>
      <c r="B613" s="11" t="s">
        <v>115</v>
      </c>
      <c r="C613" s="64" t="s">
        <v>391</v>
      </c>
      <c r="D613" s="11" t="s">
        <v>10</v>
      </c>
      <c r="F613" s="78" t="s">
        <v>476</v>
      </c>
      <c r="G613" s="78" t="s">
        <v>468</v>
      </c>
      <c r="H613" s="78" t="s">
        <v>469</v>
      </c>
      <c r="I613" s="78" t="s">
        <v>486</v>
      </c>
      <c r="J613" s="78" t="s">
        <v>477</v>
      </c>
      <c r="K613" s="78" t="s">
        <v>485</v>
      </c>
      <c r="L613" s="91" t="s">
        <v>477</v>
      </c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  <c r="AC613" s="91"/>
      <c r="AD613" s="91"/>
      <c r="AE613" s="115"/>
      <c r="AH613" s="77"/>
    </row>
    <row r="614" spans="1:34" ht="12.75" customHeight="1">
      <c r="A614" s="115"/>
      <c r="B614" s="11" t="s">
        <v>118</v>
      </c>
      <c r="C614" s="64" t="s">
        <v>285</v>
      </c>
      <c r="D614" s="11" t="s">
        <v>10</v>
      </c>
      <c r="F614" s="78">
        <v>1</v>
      </c>
      <c r="G614" s="64" t="s">
        <v>393</v>
      </c>
      <c r="M614" s="55"/>
      <c r="N614" s="64" t="s">
        <v>394</v>
      </c>
      <c r="AE614" s="115"/>
      <c r="AH614" s="77"/>
    </row>
    <row r="615" spans="1:34" ht="12.75" customHeight="1">
      <c r="A615" s="115"/>
      <c r="B615" s="11" t="s">
        <v>121</v>
      </c>
      <c r="C615" s="64" t="s">
        <v>396</v>
      </c>
      <c r="D615" s="11" t="s">
        <v>10</v>
      </c>
      <c r="F615" s="225" t="s">
        <v>397</v>
      </c>
      <c r="G615" s="239"/>
      <c r="H615" s="95">
        <v>1</v>
      </c>
      <c r="I615" s="95">
        <v>9</v>
      </c>
      <c r="J615" s="240" t="s">
        <v>398</v>
      </c>
      <c r="K615" s="194"/>
      <c r="L615" s="239"/>
      <c r="M615" s="95">
        <v>1</v>
      </c>
      <c r="N615" s="95">
        <v>1</v>
      </c>
      <c r="O615" s="240" t="s">
        <v>399</v>
      </c>
      <c r="P615" s="194"/>
      <c r="Q615" s="239"/>
      <c r="R615" s="78">
        <v>1</v>
      </c>
      <c r="S615" s="78">
        <v>9</v>
      </c>
      <c r="T615" s="78">
        <v>9</v>
      </c>
      <c r="U615" s="78">
        <v>7</v>
      </c>
      <c r="V615" s="240" t="s">
        <v>359</v>
      </c>
      <c r="W615" s="194"/>
      <c r="X615" s="239"/>
      <c r="Y615" s="78">
        <v>2</v>
      </c>
      <c r="Z615" s="78">
        <v>6</v>
      </c>
      <c r="AA615" s="91"/>
      <c r="AE615" s="115"/>
      <c r="AH615" s="77"/>
    </row>
    <row r="616" spans="1:34" ht="12.75" customHeight="1">
      <c r="A616" s="115"/>
      <c r="B616" s="11" t="s">
        <v>124</v>
      </c>
      <c r="C616" s="64" t="s">
        <v>403</v>
      </c>
      <c r="D616" s="11" t="s">
        <v>10</v>
      </c>
      <c r="F616" s="78" t="s">
        <v>487</v>
      </c>
      <c r="G616" s="78" t="s">
        <v>488</v>
      </c>
      <c r="H616" s="78" t="s">
        <v>475</v>
      </c>
      <c r="I616" s="78" t="s">
        <v>464</v>
      </c>
      <c r="J616" s="78" t="s">
        <v>474</v>
      </c>
      <c r="K616" s="78" t="s">
        <v>464</v>
      </c>
      <c r="L616" s="78" t="s">
        <v>485</v>
      </c>
      <c r="M616" s="78" t="s">
        <v>489</v>
      </c>
      <c r="N616" s="78"/>
      <c r="O616" s="78"/>
      <c r="P616" s="78"/>
      <c r="Q616" s="78"/>
      <c r="R616" s="242" t="s">
        <v>404</v>
      </c>
      <c r="S616" s="243"/>
      <c r="T616" s="243"/>
      <c r="U616" s="244"/>
      <c r="V616" s="78">
        <v>3</v>
      </c>
      <c r="W616" s="78">
        <v>3</v>
      </c>
      <c r="X616" s="240" t="s">
        <v>405</v>
      </c>
      <c r="Y616" s="194"/>
      <c r="Z616" s="194"/>
      <c r="AA616" s="239"/>
      <c r="AB616" s="78">
        <v>2</v>
      </c>
      <c r="AC616" s="78">
        <v>7</v>
      </c>
      <c r="AE616" s="115"/>
      <c r="AH616" s="77"/>
    </row>
    <row r="617" spans="1:34" ht="12.75" customHeight="1">
      <c r="A617" s="115"/>
      <c r="B617" s="11" t="s">
        <v>127</v>
      </c>
      <c r="C617" s="64" t="s">
        <v>125</v>
      </c>
      <c r="D617" s="11" t="s">
        <v>10</v>
      </c>
      <c r="F617" s="55">
        <v>1</v>
      </c>
      <c r="G617" s="64" t="s">
        <v>406</v>
      </c>
      <c r="K617" s="64" t="s">
        <v>407</v>
      </c>
      <c r="O617" s="64" t="s">
        <v>408</v>
      </c>
      <c r="S617" s="64" t="s">
        <v>409</v>
      </c>
      <c r="W617" s="64" t="s">
        <v>410</v>
      </c>
      <c r="Z617" s="64" t="s">
        <v>411</v>
      </c>
      <c r="AE617" s="115"/>
      <c r="AH617" s="77"/>
    </row>
    <row r="618" spans="1:34" ht="12.75" customHeight="1">
      <c r="A618" s="115"/>
      <c r="B618" s="11" t="s">
        <v>130</v>
      </c>
      <c r="C618" s="64" t="s">
        <v>128</v>
      </c>
      <c r="D618" s="11" t="s">
        <v>10</v>
      </c>
      <c r="F618" s="95">
        <v>8</v>
      </c>
      <c r="G618" s="95">
        <v>8</v>
      </c>
      <c r="AE618" s="115"/>
      <c r="AH618" s="77"/>
    </row>
    <row r="619" spans="1:34" ht="12.75" customHeight="1">
      <c r="A619" s="115"/>
      <c r="B619" s="11" t="s">
        <v>134</v>
      </c>
      <c r="C619" s="64" t="s">
        <v>345</v>
      </c>
      <c r="D619" s="11" t="s">
        <v>10</v>
      </c>
      <c r="F619" s="246" t="s">
        <v>512</v>
      </c>
      <c r="G619" s="223"/>
      <c r="H619" s="223"/>
      <c r="I619" s="223"/>
      <c r="J619" s="223"/>
      <c r="K619" s="223"/>
      <c r="L619" s="223"/>
      <c r="M619" s="223"/>
      <c r="N619" s="223"/>
      <c r="O619" s="223"/>
      <c r="P619" s="223"/>
      <c r="Q619" s="223"/>
      <c r="R619" s="223"/>
      <c r="S619" s="223"/>
      <c r="T619" s="223"/>
      <c r="U619" s="223"/>
      <c r="V619" s="223"/>
      <c r="W619" s="223"/>
      <c r="X619" s="223"/>
      <c r="Y619" s="223"/>
      <c r="Z619" s="223"/>
      <c r="AA619" s="223"/>
      <c r="AB619" s="223"/>
      <c r="AC619" s="223"/>
      <c r="AD619" s="224"/>
      <c r="AE619" s="115"/>
      <c r="AH619" s="77"/>
    </row>
    <row r="620" spans="1:34" ht="12.75" customHeight="1">
      <c r="A620" s="115"/>
      <c r="B620" s="11"/>
      <c r="F620" s="64" t="s">
        <v>414</v>
      </c>
      <c r="L620" s="246" t="s">
        <v>102</v>
      </c>
      <c r="M620" s="223"/>
      <c r="N620" s="223"/>
      <c r="O620" s="223"/>
      <c r="P620" s="223"/>
      <c r="Q620" s="223"/>
      <c r="R620" s="223"/>
      <c r="S620" s="224"/>
      <c r="T620" s="64" t="s">
        <v>415</v>
      </c>
      <c r="X620" s="246" t="s">
        <v>106</v>
      </c>
      <c r="Y620" s="223"/>
      <c r="Z620" s="223"/>
      <c r="AA620" s="223"/>
      <c r="AB620" s="223"/>
      <c r="AC620" s="223"/>
      <c r="AD620" s="224"/>
      <c r="AE620" s="115"/>
      <c r="AH620" s="77"/>
    </row>
    <row r="621" spans="1:34" ht="12.75" customHeight="1">
      <c r="A621" s="115"/>
      <c r="B621" s="11"/>
      <c r="F621" s="64" t="s">
        <v>416</v>
      </c>
      <c r="L621" s="246" t="s">
        <v>104</v>
      </c>
      <c r="M621" s="223"/>
      <c r="N621" s="223"/>
      <c r="O621" s="223"/>
      <c r="P621" s="223"/>
      <c r="Q621" s="223"/>
      <c r="R621" s="223"/>
      <c r="S621" s="224"/>
      <c r="T621" s="64" t="s">
        <v>417</v>
      </c>
      <c r="X621" s="246" t="s">
        <v>418</v>
      </c>
      <c r="Y621" s="223"/>
      <c r="Z621" s="223"/>
      <c r="AA621" s="223"/>
      <c r="AB621" s="223"/>
      <c r="AC621" s="223"/>
      <c r="AD621" s="224"/>
      <c r="AE621" s="115"/>
      <c r="AH621" s="77"/>
    </row>
    <row r="622" spans="1:34" ht="12.75" customHeight="1">
      <c r="A622" s="115"/>
      <c r="B622" s="11" t="s">
        <v>137</v>
      </c>
      <c r="C622" s="64" t="s">
        <v>419</v>
      </c>
      <c r="D622" s="11" t="s">
        <v>10</v>
      </c>
      <c r="F622" s="91">
        <v>1</v>
      </c>
      <c r="G622" s="64" t="s">
        <v>111</v>
      </c>
      <c r="J622" s="64" t="s">
        <v>115</v>
      </c>
      <c r="M622" s="64" t="s">
        <v>118</v>
      </c>
      <c r="P622" s="64" t="s">
        <v>420</v>
      </c>
      <c r="AE622" s="115"/>
      <c r="AH622" s="77"/>
    </row>
    <row r="623" spans="1:34" ht="12.75" customHeight="1">
      <c r="A623" s="115"/>
      <c r="B623" s="11" t="s">
        <v>145</v>
      </c>
      <c r="C623" s="64" t="s">
        <v>421</v>
      </c>
      <c r="D623" s="11" t="s">
        <v>10</v>
      </c>
      <c r="F623" s="225" t="s">
        <v>397</v>
      </c>
      <c r="G623" s="194"/>
      <c r="H623" s="95">
        <v>2</v>
      </c>
      <c r="I623" s="95">
        <v>0</v>
      </c>
      <c r="J623" s="240" t="s">
        <v>422</v>
      </c>
      <c r="K623" s="194"/>
      <c r="L623" s="194"/>
      <c r="M623" s="78">
        <v>1</v>
      </c>
      <c r="N623" s="78">
        <v>1</v>
      </c>
      <c r="O623" s="240" t="s">
        <v>399</v>
      </c>
      <c r="P623" s="194"/>
      <c r="Q623" s="194"/>
      <c r="R623" s="78">
        <v>2</v>
      </c>
      <c r="S623" s="78">
        <v>0</v>
      </c>
      <c r="T623" s="78">
        <v>2</v>
      </c>
      <c r="U623" s="78">
        <v>3</v>
      </c>
      <c r="V623" s="11"/>
      <c r="AE623" s="115"/>
      <c r="AH623" s="77"/>
    </row>
    <row r="624" spans="1:34" ht="12.75" customHeight="1">
      <c r="A624" s="115"/>
      <c r="B624" s="11" t="s">
        <v>424</v>
      </c>
      <c r="C624" s="64" t="s">
        <v>425</v>
      </c>
      <c r="D624" s="11" t="s">
        <v>10</v>
      </c>
      <c r="F624" s="91">
        <v>0</v>
      </c>
      <c r="G624" s="91">
        <v>9</v>
      </c>
      <c r="H624" s="91">
        <v>3</v>
      </c>
      <c r="I624" s="91">
        <v>0</v>
      </c>
      <c r="AE624" s="115"/>
      <c r="AH624" s="77"/>
    </row>
    <row r="625" spans="1:34" ht="12.75" customHeight="1">
      <c r="A625" s="115"/>
      <c r="B625" s="11" t="s">
        <v>427</v>
      </c>
      <c r="C625" s="64" t="s">
        <v>428</v>
      </c>
      <c r="D625" s="11" t="s">
        <v>10</v>
      </c>
      <c r="F625" s="91">
        <v>1</v>
      </c>
      <c r="G625" s="64" t="s">
        <v>429</v>
      </c>
      <c r="P625" s="64" t="s">
        <v>430</v>
      </c>
      <c r="X625" s="64" t="s">
        <v>431</v>
      </c>
      <c r="AE625" s="115"/>
      <c r="AH625" s="77"/>
    </row>
    <row r="626" spans="1:34" ht="12.75" customHeight="1">
      <c r="A626" s="115"/>
      <c r="B626" s="11"/>
      <c r="D626" s="11"/>
      <c r="G626" s="64" t="s">
        <v>432</v>
      </c>
      <c r="P626" s="64" t="s">
        <v>433</v>
      </c>
      <c r="X626" s="64" t="s">
        <v>411</v>
      </c>
      <c r="AE626" s="115"/>
      <c r="AH626" s="77"/>
    </row>
    <row r="627" spans="1:34" ht="12.75" customHeight="1">
      <c r="A627" s="115"/>
      <c r="B627" s="11" t="s">
        <v>434</v>
      </c>
      <c r="C627" s="64" t="s">
        <v>435</v>
      </c>
      <c r="D627" s="11" t="s">
        <v>10</v>
      </c>
      <c r="F627" s="78" t="s">
        <v>468</v>
      </c>
      <c r="G627" s="78" t="s">
        <v>467</v>
      </c>
      <c r="H627" s="78" t="s">
        <v>475</v>
      </c>
      <c r="I627" s="78" t="s">
        <v>464</v>
      </c>
      <c r="J627" s="78" t="s">
        <v>466</v>
      </c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AE627" s="115"/>
      <c r="AH627" s="77"/>
    </row>
    <row r="628" spans="1:34" ht="12.75" customHeight="1">
      <c r="A628" s="115"/>
      <c r="B628" s="11" t="s">
        <v>436</v>
      </c>
      <c r="C628" s="64" t="s">
        <v>437</v>
      </c>
      <c r="D628" s="11" t="s">
        <v>10</v>
      </c>
      <c r="F628" s="78">
        <v>4</v>
      </c>
      <c r="G628" s="64" t="s">
        <v>438</v>
      </c>
      <c r="L628" s="64" t="s">
        <v>439</v>
      </c>
      <c r="T628" s="64" t="s">
        <v>440</v>
      </c>
      <c r="Y628" s="64" t="s">
        <v>441</v>
      </c>
      <c r="AE628" s="115"/>
      <c r="AH628" s="77"/>
    </row>
    <row r="629" spans="1:34" ht="7.5" customHeight="1">
      <c r="A629" s="115"/>
      <c r="B629" s="117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118"/>
      <c r="AH629" s="77"/>
    </row>
    <row r="630" spans="1:34" ht="12.75" customHeight="1">
      <c r="A630" s="115"/>
      <c r="B630" s="38" t="s">
        <v>442</v>
      </c>
      <c r="AE630" s="115"/>
      <c r="AH630" s="77"/>
    </row>
    <row r="631" spans="1:34" ht="12.75" customHeight="1">
      <c r="A631" s="115"/>
      <c r="B631" s="11" t="s">
        <v>111</v>
      </c>
      <c r="C631" s="64" t="s">
        <v>340</v>
      </c>
      <c r="F631" s="55">
        <v>3</v>
      </c>
      <c r="G631" s="55">
        <v>3</v>
      </c>
      <c r="H631" s="55">
        <v>2</v>
      </c>
      <c r="I631" s="55">
        <v>7</v>
      </c>
      <c r="J631" s="55">
        <v>0</v>
      </c>
      <c r="K631" s="55">
        <v>4</v>
      </c>
      <c r="L631" s="55">
        <v>0</v>
      </c>
      <c r="M631" s="55">
        <v>1</v>
      </c>
      <c r="N631" s="55">
        <v>0</v>
      </c>
      <c r="O631" s="55">
        <v>7</v>
      </c>
      <c r="P631" s="55">
        <v>6</v>
      </c>
      <c r="Q631" s="55">
        <v>6</v>
      </c>
      <c r="R631" s="55">
        <v>0</v>
      </c>
      <c r="S631" s="55">
        <v>2</v>
      </c>
      <c r="T631" s="55">
        <v>0</v>
      </c>
      <c r="U631" s="55">
        <v>6</v>
      </c>
      <c r="AE631" s="115"/>
      <c r="AH631" s="77"/>
    </row>
    <row r="632" spans="1:34" ht="12.75" customHeight="1">
      <c r="A632" s="115"/>
      <c r="B632" s="11" t="s">
        <v>115</v>
      </c>
      <c r="C632" s="64" t="s">
        <v>391</v>
      </c>
      <c r="F632" s="78" t="s">
        <v>476</v>
      </c>
      <c r="G632" s="78" t="s">
        <v>464</v>
      </c>
      <c r="H632" s="78" t="s">
        <v>468</v>
      </c>
      <c r="I632" s="78" t="s">
        <v>475</v>
      </c>
      <c r="J632" s="78" t="s">
        <v>469</v>
      </c>
      <c r="K632" s="78" t="s">
        <v>498</v>
      </c>
      <c r="L632" s="78" t="s">
        <v>469</v>
      </c>
      <c r="M632" s="78"/>
      <c r="N632" s="78"/>
      <c r="O632" s="78"/>
      <c r="P632" s="78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  <c r="AC632" s="91"/>
      <c r="AD632" s="91"/>
      <c r="AE632" s="115"/>
      <c r="AH632" s="77"/>
    </row>
    <row r="633" spans="1:34" ht="12.75" customHeight="1">
      <c r="A633" s="115"/>
      <c r="B633" s="11" t="s">
        <v>118</v>
      </c>
      <c r="C633" s="64" t="s">
        <v>396</v>
      </c>
      <c r="F633" s="225" t="s">
        <v>397</v>
      </c>
      <c r="G633" s="239"/>
      <c r="H633" s="55">
        <v>0</v>
      </c>
      <c r="I633" s="55">
        <v>1</v>
      </c>
      <c r="J633" s="240" t="s">
        <v>398</v>
      </c>
      <c r="K633" s="194"/>
      <c r="L633" s="239"/>
      <c r="M633" s="55">
        <v>0</v>
      </c>
      <c r="N633" s="55">
        <v>7</v>
      </c>
      <c r="O633" s="240" t="s">
        <v>399</v>
      </c>
      <c r="P633" s="194"/>
      <c r="Q633" s="239"/>
      <c r="R633" s="91">
        <v>1</v>
      </c>
      <c r="S633" s="91">
        <v>9</v>
      </c>
      <c r="T633" s="91">
        <v>6</v>
      </c>
      <c r="U633" s="91">
        <v>6</v>
      </c>
      <c r="V633" s="240" t="s">
        <v>359</v>
      </c>
      <c r="W633" s="194"/>
      <c r="X633" s="239"/>
      <c r="Y633" s="91">
        <v>5</v>
      </c>
      <c r="Z633" s="91">
        <v>7</v>
      </c>
      <c r="AA633" s="91"/>
      <c r="AE633" s="115"/>
      <c r="AH633" s="77"/>
    </row>
    <row r="634" spans="1:34" ht="12.75" customHeight="1">
      <c r="A634" s="115"/>
      <c r="B634" s="11" t="s">
        <v>121</v>
      </c>
      <c r="C634" s="64" t="s">
        <v>128</v>
      </c>
      <c r="F634" s="91">
        <v>0</v>
      </c>
      <c r="G634" s="91">
        <v>9</v>
      </c>
      <c r="AE634" s="115"/>
      <c r="AH634" s="77"/>
    </row>
    <row r="635" spans="1:34" ht="12.75" customHeight="1">
      <c r="A635" s="115"/>
      <c r="B635" s="11" t="s">
        <v>124</v>
      </c>
      <c r="C635" s="64" t="s">
        <v>345</v>
      </c>
      <c r="F635" s="246" t="s">
        <v>512</v>
      </c>
      <c r="G635" s="223"/>
      <c r="H635" s="223"/>
      <c r="I635" s="223"/>
      <c r="J635" s="223"/>
      <c r="K635" s="223"/>
      <c r="L635" s="223"/>
      <c r="M635" s="223"/>
      <c r="N635" s="223"/>
      <c r="O635" s="223"/>
      <c r="P635" s="223"/>
      <c r="Q635" s="223"/>
      <c r="R635" s="223"/>
      <c r="S635" s="223"/>
      <c r="T635" s="223"/>
      <c r="U635" s="223"/>
      <c r="V635" s="223"/>
      <c r="W635" s="223"/>
      <c r="X635" s="223"/>
      <c r="Y635" s="223"/>
      <c r="Z635" s="223"/>
      <c r="AA635" s="223"/>
      <c r="AB635" s="223"/>
      <c r="AC635" s="223"/>
      <c r="AD635" s="224"/>
      <c r="AE635" s="115"/>
      <c r="AH635" s="77"/>
    </row>
    <row r="636" spans="1:34" ht="12.75" customHeight="1">
      <c r="A636" s="115"/>
      <c r="F636" s="64" t="s">
        <v>414</v>
      </c>
      <c r="L636" s="246" t="s">
        <v>102</v>
      </c>
      <c r="M636" s="223"/>
      <c r="N636" s="223"/>
      <c r="O636" s="223"/>
      <c r="P636" s="223"/>
      <c r="Q636" s="223"/>
      <c r="R636" s="223"/>
      <c r="S636" s="224"/>
      <c r="T636" s="64" t="s">
        <v>415</v>
      </c>
      <c r="X636" s="246" t="s">
        <v>106</v>
      </c>
      <c r="Y636" s="223"/>
      <c r="Z636" s="223"/>
      <c r="AA636" s="223"/>
      <c r="AB636" s="223"/>
      <c r="AC636" s="223"/>
      <c r="AD636" s="224"/>
      <c r="AE636" s="115"/>
      <c r="AH636" s="77"/>
    </row>
    <row r="637" spans="1:34" ht="12.75" customHeight="1">
      <c r="A637" s="115"/>
      <c r="F637" s="64" t="s">
        <v>416</v>
      </c>
      <c r="L637" s="246" t="s">
        <v>104</v>
      </c>
      <c r="M637" s="223"/>
      <c r="N637" s="223"/>
      <c r="O637" s="223"/>
      <c r="P637" s="223"/>
      <c r="Q637" s="223"/>
      <c r="R637" s="223"/>
      <c r="S637" s="224"/>
      <c r="T637" s="64" t="s">
        <v>417</v>
      </c>
      <c r="X637" s="246" t="s">
        <v>418</v>
      </c>
      <c r="Y637" s="223"/>
      <c r="Z637" s="223"/>
      <c r="AA637" s="223"/>
      <c r="AB637" s="223"/>
      <c r="AC637" s="223"/>
      <c r="AD637" s="224"/>
      <c r="AE637" s="115"/>
      <c r="AH637" s="77"/>
    </row>
    <row r="638" spans="1:34" ht="6.75" customHeight="1">
      <c r="A638" s="115"/>
      <c r="B638" s="117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118"/>
      <c r="AH638" s="77"/>
    </row>
    <row r="639" spans="1:34" ht="12.75" customHeight="1">
      <c r="A639" s="115"/>
      <c r="B639" s="38" t="s">
        <v>448</v>
      </c>
      <c r="AE639" s="115"/>
      <c r="AH639" s="77"/>
    </row>
    <row r="640" spans="1:34" ht="12.75" customHeight="1">
      <c r="A640" s="115"/>
      <c r="B640" s="11" t="s">
        <v>111</v>
      </c>
      <c r="C640" s="64" t="s">
        <v>340</v>
      </c>
      <c r="F640" s="55">
        <v>3</v>
      </c>
      <c r="G640" s="55">
        <v>3</v>
      </c>
      <c r="H640" s="55">
        <v>2</v>
      </c>
      <c r="I640" s="55">
        <v>7</v>
      </c>
      <c r="J640" s="55">
        <v>0</v>
      </c>
      <c r="K640" s="55">
        <v>4</v>
      </c>
      <c r="L640" s="55">
        <v>4</v>
      </c>
      <c r="M640" s="55">
        <v>1</v>
      </c>
      <c r="N640" s="55">
        <v>0</v>
      </c>
      <c r="O640" s="55">
        <v>7</v>
      </c>
      <c r="P640" s="55">
        <v>7</v>
      </c>
      <c r="Q640" s="55">
        <v>0</v>
      </c>
      <c r="R640" s="55">
        <v>0</v>
      </c>
      <c r="S640" s="55">
        <v>2</v>
      </c>
      <c r="T640" s="55">
        <v>3</v>
      </c>
      <c r="U640" s="55">
        <v>4</v>
      </c>
      <c r="AE640" s="115"/>
      <c r="AH640" s="77"/>
    </row>
    <row r="641" spans="1:34" ht="12.75" customHeight="1">
      <c r="A641" s="115"/>
      <c r="B641" s="11" t="s">
        <v>115</v>
      </c>
      <c r="C641" s="64" t="s">
        <v>391</v>
      </c>
      <c r="F641" s="78" t="s">
        <v>484</v>
      </c>
      <c r="G641" s="78" t="s">
        <v>467</v>
      </c>
      <c r="H641" s="78" t="s">
        <v>485</v>
      </c>
      <c r="I641" s="78" t="s">
        <v>464</v>
      </c>
      <c r="J641" s="78" t="s">
        <v>468</v>
      </c>
      <c r="K641" s="78" t="s">
        <v>484</v>
      </c>
      <c r="L641" s="78" t="s">
        <v>469</v>
      </c>
      <c r="M641" s="78" t="s">
        <v>466</v>
      </c>
      <c r="N641" s="78"/>
      <c r="O641" s="78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  <c r="AC641" s="91"/>
      <c r="AD641" s="91"/>
      <c r="AE641" s="115"/>
      <c r="AH641" s="77"/>
    </row>
    <row r="642" spans="1:34" ht="12.75" customHeight="1">
      <c r="A642" s="115"/>
      <c r="B642" s="11" t="s">
        <v>118</v>
      </c>
      <c r="C642" s="64" t="s">
        <v>396</v>
      </c>
      <c r="F642" s="225" t="s">
        <v>397</v>
      </c>
      <c r="G642" s="239"/>
      <c r="H642" s="55">
        <v>0</v>
      </c>
      <c r="I642" s="55">
        <v>1</v>
      </c>
      <c r="J642" s="240" t="s">
        <v>398</v>
      </c>
      <c r="K642" s="194"/>
      <c r="L642" s="239"/>
      <c r="M642" s="55">
        <v>0</v>
      </c>
      <c r="N642" s="55">
        <v>7</v>
      </c>
      <c r="O642" s="240" t="s">
        <v>399</v>
      </c>
      <c r="P642" s="194"/>
      <c r="Q642" s="239"/>
      <c r="R642" s="91">
        <v>1</v>
      </c>
      <c r="S642" s="91">
        <v>9</v>
      </c>
      <c r="T642" s="91">
        <v>7</v>
      </c>
      <c r="U642" s="91">
        <v>0</v>
      </c>
      <c r="V642" s="240" t="s">
        <v>359</v>
      </c>
      <c r="W642" s="194"/>
      <c r="X642" s="239"/>
      <c r="Y642" s="91">
        <v>5</v>
      </c>
      <c r="Z642" s="91">
        <v>3</v>
      </c>
      <c r="AA642" s="91"/>
      <c r="AE642" s="115"/>
      <c r="AH642" s="77"/>
    </row>
    <row r="643" spans="1:34" ht="12.75" customHeight="1">
      <c r="A643" s="115"/>
      <c r="B643" s="11" t="s">
        <v>121</v>
      </c>
      <c r="C643" s="64" t="s">
        <v>128</v>
      </c>
      <c r="F643" s="91">
        <v>0</v>
      </c>
      <c r="G643" s="91">
        <v>2</v>
      </c>
      <c r="AE643" s="115"/>
      <c r="AH643" s="77"/>
    </row>
    <row r="644" spans="1:34" ht="12.75" customHeight="1">
      <c r="A644" s="115"/>
      <c r="B644" s="11" t="s">
        <v>124</v>
      </c>
      <c r="C644" s="64" t="s">
        <v>345</v>
      </c>
      <c r="F644" s="246" t="s">
        <v>512</v>
      </c>
      <c r="G644" s="223"/>
      <c r="H644" s="223"/>
      <c r="I644" s="223"/>
      <c r="J644" s="223"/>
      <c r="K644" s="223"/>
      <c r="L644" s="223"/>
      <c r="M644" s="223"/>
      <c r="N644" s="223"/>
      <c r="O644" s="223"/>
      <c r="P644" s="223"/>
      <c r="Q644" s="223"/>
      <c r="R644" s="223"/>
      <c r="S644" s="223"/>
      <c r="T644" s="223"/>
      <c r="U644" s="223"/>
      <c r="V644" s="223"/>
      <c r="W644" s="223"/>
      <c r="X644" s="223"/>
      <c r="Y644" s="223"/>
      <c r="Z644" s="223"/>
      <c r="AA644" s="223"/>
      <c r="AB644" s="223"/>
      <c r="AC644" s="223"/>
      <c r="AD644" s="224"/>
      <c r="AE644" s="115"/>
      <c r="AH644" s="77"/>
    </row>
    <row r="645" spans="1:34" ht="12.75" customHeight="1">
      <c r="A645" s="115"/>
      <c r="F645" s="64" t="s">
        <v>414</v>
      </c>
      <c r="L645" s="246" t="s">
        <v>102</v>
      </c>
      <c r="M645" s="223"/>
      <c r="N645" s="223"/>
      <c r="O645" s="223"/>
      <c r="P645" s="223"/>
      <c r="Q645" s="223"/>
      <c r="R645" s="223"/>
      <c r="S645" s="224"/>
      <c r="T645" s="64" t="s">
        <v>415</v>
      </c>
      <c r="X645" s="246" t="s">
        <v>106</v>
      </c>
      <c r="Y645" s="223"/>
      <c r="Z645" s="223"/>
      <c r="AA645" s="223"/>
      <c r="AB645" s="223"/>
      <c r="AC645" s="223"/>
      <c r="AD645" s="224"/>
      <c r="AE645" s="115"/>
      <c r="AH645" s="77"/>
    </row>
    <row r="646" spans="1:34" ht="12.75" customHeight="1">
      <c r="A646" s="115"/>
      <c r="F646" s="64" t="s">
        <v>416</v>
      </c>
      <c r="L646" s="246" t="s">
        <v>104</v>
      </c>
      <c r="M646" s="223"/>
      <c r="N646" s="223"/>
      <c r="O646" s="223"/>
      <c r="P646" s="223"/>
      <c r="Q646" s="223"/>
      <c r="R646" s="223"/>
      <c r="S646" s="224"/>
      <c r="T646" s="64" t="s">
        <v>417</v>
      </c>
      <c r="X646" s="246" t="s">
        <v>418</v>
      </c>
      <c r="Y646" s="223"/>
      <c r="Z646" s="223"/>
      <c r="AA646" s="223"/>
      <c r="AB646" s="223"/>
      <c r="AC646" s="223"/>
      <c r="AD646" s="224"/>
      <c r="AE646" s="115"/>
      <c r="AH646" s="77"/>
    </row>
    <row r="647" spans="1:34" ht="7.5" customHeight="1">
      <c r="A647" s="115"/>
      <c r="B647" s="117"/>
      <c r="C647" s="62"/>
      <c r="D647" s="62"/>
      <c r="E647" s="62"/>
      <c r="F647" s="62"/>
      <c r="G647" s="62"/>
      <c r="H647" s="62"/>
      <c r="I647" s="62"/>
      <c r="J647" s="62"/>
      <c r="K647" s="62"/>
      <c r="L647" s="107"/>
      <c r="M647" s="107"/>
      <c r="N647" s="107"/>
      <c r="O647" s="107"/>
      <c r="P647" s="107"/>
      <c r="Q647" s="107"/>
      <c r="R647" s="107"/>
      <c r="S647" s="107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118"/>
      <c r="AH647" s="77"/>
    </row>
    <row r="648" spans="1:34" ht="12.75" customHeight="1">
      <c r="A648" s="115"/>
      <c r="B648" s="38" t="s">
        <v>456</v>
      </c>
      <c r="AE648" s="115"/>
      <c r="AH648" s="77"/>
    </row>
    <row r="649" spans="1:34" ht="12.75" customHeight="1">
      <c r="A649" s="115"/>
      <c r="B649" s="11" t="s">
        <v>111</v>
      </c>
      <c r="C649" s="64" t="s">
        <v>340</v>
      </c>
      <c r="F649" s="55">
        <v>3</v>
      </c>
      <c r="G649" s="55">
        <v>3</v>
      </c>
      <c r="H649" s="55">
        <v>2</v>
      </c>
      <c r="I649" s="55">
        <v>7</v>
      </c>
      <c r="J649" s="55">
        <v>0</v>
      </c>
      <c r="K649" s="55">
        <v>4</v>
      </c>
      <c r="L649" s="55">
        <v>0</v>
      </c>
      <c r="M649" s="55">
        <v>1</v>
      </c>
      <c r="N649" s="55">
        <v>0</v>
      </c>
      <c r="O649" s="55">
        <v>7</v>
      </c>
      <c r="P649" s="55">
        <v>6</v>
      </c>
      <c r="Q649" s="55">
        <v>6</v>
      </c>
      <c r="R649" s="55">
        <v>0</v>
      </c>
      <c r="S649" s="55">
        <v>2</v>
      </c>
      <c r="T649" s="55">
        <v>0</v>
      </c>
      <c r="U649" s="55">
        <v>6</v>
      </c>
      <c r="V649" s="11"/>
      <c r="W649" s="11"/>
      <c r="X649" s="11"/>
      <c r="Y649" s="11"/>
      <c r="Z649" s="11"/>
      <c r="AA649" s="11"/>
      <c r="AB649" s="11"/>
      <c r="AC649" s="11"/>
      <c r="AD649" s="11"/>
      <c r="AE649" s="115"/>
      <c r="AH649" s="77"/>
    </row>
    <row r="650" spans="1:34" ht="12.75" customHeight="1">
      <c r="A650" s="115"/>
      <c r="B650" s="11" t="s">
        <v>115</v>
      </c>
      <c r="C650" s="64" t="s">
        <v>391</v>
      </c>
      <c r="F650" s="78" t="s">
        <v>476</v>
      </c>
      <c r="G650" s="78" t="s">
        <v>464</v>
      </c>
      <c r="H650" s="78" t="s">
        <v>468</v>
      </c>
      <c r="I650" s="78" t="s">
        <v>475</v>
      </c>
      <c r="J650" s="78" t="s">
        <v>469</v>
      </c>
      <c r="K650" s="78" t="s">
        <v>498</v>
      </c>
      <c r="L650" s="78" t="s">
        <v>469</v>
      </c>
      <c r="M650" s="78"/>
      <c r="N650" s="78"/>
      <c r="O650" s="78"/>
      <c r="P650" s="78"/>
      <c r="Q650" s="91"/>
      <c r="R650" s="91"/>
      <c r="S650" s="91"/>
      <c r="T650" s="91"/>
      <c r="U650" s="91"/>
      <c r="V650" s="78"/>
      <c r="W650" s="78"/>
      <c r="X650" s="78"/>
      <c r="Y650" s="78"/>
      <c r="Z650" s="78"/>
      <c r="AA650" s="78"/>
      <c r="AB650" s="78"/>
      <c r="AC650" s="78"/>
      <c r="AD650" s="78"/>
      <c r="AE650" s="115"/>
      <c r="AH650" s="77"/>
    </row>
    <row r="651" spans="1:34" ht="12.75" customHeight="1">
      <c r="A651" s="115"/>
      <c r="B651" s="11" t="s">
        <v>118</v>
      </c>
      <c r="C651" s="64" t="s">
        <v>396</v>
      </c>
      <c r="F651" s="225" t="s">
        <v>397</v>
      </c>
      <c r="G651" s="239"/>
      <c r="H651" s="78">
        <v>0</v>
      </c>
      <c r="I651" s="78">
        <v>1</v>
      </c>
      <c r="J651" s="240" t="s">
        <v>398</v>
      </c>
      <c r="K651" s="194"/>
      <c r="L651" s="239"/>
      <c r="M651" s="78">
        <v>0</v>
      </c>
      <c r="N651" s="78">
        <v>7</v>
      </c>
      <c r="O651" s="240" t="s">
        <v>399</v>
      </c>
      <c r="P651" s="194"/>
      <c r="Q651" s="239"/>
      <c r="R651" s="78">
        <v>1</v>
      </c>
      <c r="S651" s="78">
        <v>9</v>
      </c>
      <c r="T651" s="78">
        <v>6</v>
      </c>
      <c r="U651" s="78">
        <v>6</v>
      </c>
      <c r="V651" s="240" t="s">
        <v>359</v>
      </c>
      <c r="W651" s="194"/>
      <c r="X651" s="239"/>
      <c r="Y651" s="78">
        <v>5</v>
      </c>
      <c r="Z651" s="78">
        <v>7</v>
      </c>
      <c r="AA651" s="78"/>
      <c r="AB651" s="11"/>
      <c r="AC651" s="11"/>
      <c r="AD651" s="11"/>
      <c r="AE651" s="115"/>
      <c r="AH651" s="77"/>
    </row>
    <row r="652" spans="1:34" ht="12.75" customHeight="1">
      <c r="A652" s="115"/>
      <c r="B652" s="11" t="s">
        <v>121</v>
      </c>
      <c r="C652" s="64" t="s">
        <v>128</v>
      </c>
      <c r="F652" s="78">
        <v>0</v>
      </c>
      <c r="G652" s="78">
        <v>9</v>
      </c>
      <c r="AE652" s="115"/>
      <c r="AH652" s="77"/>
    </row>
    <row r="653" spans="1:34" ht="12.75" customHeight="1">
      <c r="A653" s="115"/>
      <c r="B653" s="11" t="s">
        <v>124</v>
      </c>
      <c r="C653" s="64" t="s">
        <v>345</v>
      </c>
      <c r="F653" s="246" t="s">
        <v>512</v>
      </c>
      <c r="G653" s="223"/>
      <c r="H653" s="223"/>
      <c r="I653" s="223"/>
      <c r="J653" s="223"/>
      <c r="K653" s="223"/>
      <c r="L653" s="223"/>
      <c r="M653" s="223"/>
      <c r="N653" s="223"/>
      <c r="O653" s="223"/>
      <c r="P653" s="223"/>
      <c r="Q653" s="223"/>
      <c r="R653" s="223"/>
      <c r="S653" s="223"/>
      <c r="T653" s="223"/>
      <c r="U653" s="223"/>
      <c r="V653" s="223"/>
      <c r="W653" s="223"/>
      <c r="X653" s="223"/>
      <c r="Y653" s="223"/>
      <c r="Z653" s="223"/>
      <c r="AA653" s="223"/>
      <c r="AB653" s="223"/>
      <c r="AC653" s="223"/>
      <c r="AD653" s="224"/>
      <c r="AE653" s="115"/>
      <c r="AH653" s="77"/>
    </row>
    <row r="654" spans="1:34" ht="12.75" customHeight="1">
      <c r="A654" s="115"/>
      <c r="F654" s="64" t="s">
        <v>414</v>
      </c>
      <c r="L654" s="246" t="s">
        <v>102</v>
      </c>
      <c r="M654" s="223"/>
      <c r="N654" s="223"/>
      <c r="O654" s="223"/>
      <c r="P654" s="223"/>
      <c r="Q654" s="223"/>
      <c r="R654" s="223"/>
      <c r="S654" s="224"/>
      <c r="T654" s="64" t="s">
        <v>415</v>
      </c>
      <c r="X654" s="246" t="s">
        <v>106</v>
      </c>
      <c r="Y654" s="223"/>
      <c r="Z654" s="223"/>
      <c r="AA654" s="223"/>
      <c r="AB654" s="223"/>
      <c r="AC654" s="223"/>
      <c r="AD654" s="224"/>
      <c r="AE654" s="115"/>
      <c r="AH654" s="77"/>
    </row>
    <row r="655" spans="1:34" ht="12.75" customHeight="1">
      <c r="A655" s="115"/>
      <c r="F655" s="64" t="s">
        <v>416</v>
      </c>
      <c r="L655" s="246" t="s">
        <v>104</v>
      </c>
      <c r="M655" s="223"/>
      <c r="N655" s="223"/>
      <c r="O655" s="223"/>
      <c r="P655" s="223"/>
      <c r="Q655" s="223"/>
      <c r="R655" s="223"/>
      <c r="S655" s="224"/>
      <c r="T655" s="64" t="s">
        <v>417</v>
      </c>
      <c r="X655" s="246" t="s">
        <v>418</v>
      </c>
      <c r="Y655" s="223"/>
      <c r="Z655" s="223"/>
      <c r="AA655" s="223"/>
      <c r="AB655" s="223"/>
      <c r="AC655" s="223"/>
      <c r="AD655" s="224"/>
      <c r="AE655" s="115"/>
      <c r="AH655" s="77"/>
    </row>
    <row r="656" spans="1:34" ht="5.25" customHeight="1">
      <c r="A656" s="115"/>
      <c r="B656" s="117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118"/>
      <c r="AH656" s="77"/>
    </row>
    <row r="657" spans="1:34" ht="12.75" customHeight="1">
      <c r="A657" s="115"/>
      <c r="B657" s="38" t="s">
        <v>457</v>
      </c>
      <c r="AE657" s="115"/>
      <c r="AH657" s="77"/>
    </row>
    <row r="658" spans="1:34" ht="12.75" customHeight="1">
      <c r="A658" s="115"/>
      <c r="B658" s="11" t="s">
        <v>111</v>
      </c>
      <c r="C658" s="64" t="s">
        <v>340</v>
      </c>
      <c r="F658" s="108">
        <v>3</v>
      </c>
      <c r="G658" s="108">
        <v>3</v>
      </c>
      <c r="H658" s="108">
        <v>2</v>
      </c>
      <c r="I658" s="108">
        <v>7</v>
      </c>
      <c r="J658" s="108">
        <v>0</v>
      </c>
      <c r="K658" s="108">
        <v>4</v>
      </c>
      <c r="L658" s="108">
        <v>1</v>
      </c>
      <c r="M658" s="108">
        <v>6</v>
      </c>
      <c r="N658" s="108">
        <v>0</v>
      </c>
      <c r="O658" s="108">
        <v>1</v>
      </c>
      <c r="P658" s="108">
        <v>7</v>
      </c>
      <c r="Q658" s="108">
        <v>5</v>
      </c>
      <c r="R658" s="108">
        <v>0</v>
      </c>
      <c r="S658" s="108">
        <v>0</v>
      </c>
      <c r="T658" s="108">
        <v>0</v>
      </c>
      <c r="U658" s="108">
        <v>5</v>
      </c>
      <c r="V658" s="11"/>
      <c r="W658" s="11"/>
      <c r="X658" s="11"/>
      <c r="Y658" s="11"/>
      <c r="Z658" s="11"/>
      <c r="AA658" s="11"/>
      <c r="AB658" s="11"/>
      <c r="AC658" s="11"/>
      <c r="AD658" s="11"/>
      <c r="AE658" s="115"/>
      <c r="AH658" s="77"/>
    </row>
    <row r="659" spans="1:34" ht="12.75" customHeight="1">
      <c r="A659" s="115"/>
      <c r="B659" s="11" t="s">
        <v>115</v>
      </c>
      <c r="C659" s="64" t="s">
        <v>391</v>
      </c>
      <c r="F659" s="78" t="s">
        <v>484</v>
      </c>
      <c r="G659" s="78" t="s">
        <v>464</v>
      </c>
      <c r="H659" s="78" t="s">
        <v>468</v>
      </c>
      <c r="I659" s="78" t="s">
        <v>486</v>
      </c>
      <c r="J659" s="78" t="s">
        <v>477</v>
      </c>
      <c r="K659" s="78" t="s">
        <v>485</v>
      </c>
      <c r="L659" s="78" t="s">
        <v>477</v>
      </c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115"/>
      <c r="AH659" s="77"/>
    </row>
    <row r="660" spans="1:34" ht="12.75" customHeight="1">
      <c r="A660" s="115"/>
      <c r="B660" s="11" t="s">
        <v>118</v>
      </c>
      <c r="C660" s="64" t="s">
        <v>396</v>
      </c>
      <c r="F660" s="253" t="s">
        <v>397</v>
      </c>
      <c r="G660" s="224"/>
      <c r="H660" s="78">
        <v>1</v>
      </c>
      <c r="I660" s="78">
        <v>6</v>
      </c>
      <c r="J660" s="242" t="s">
        <v>398</v>
      </c>
      <c r="K660" s="243"/>
      <c r="L660" s="244"/>
      <c r="M660" s="78">
        <v>0</v>
      </c>
      <c r="N660" s="78">
        <v>1</v>
      </c>
      <c r="O660" s="242" t="s">
        <v>399</v>
      </c>
      <c r="P660" s="243"/>
      <c r="Q660" s="244"/>
      <c r="R660" s="78">
        <v>1</v>
      </c>
      <c r="S660" s="78">
        <v>9</v>
      </c>
      <c r="T660" s="78">
        <v>7</v>
      </c>
      <c r="U660" s="78">
        <v>5</v>
      </c>
      <c r="V660" s="242" t="s">
        <v>359</v>
      </c>
      <c r="W660" s="243"/>
      <c r="X660" s="244"/>
      <c r="Y660" s="78">
        <v>4</v>
      </c>
      <c r="Z660" s="78">
        <v>7</v>
      </c>
      <c r="AA660" s="78"/>
      <c r="AB660" s="11"/>
      <c r="AC660" s="11"/>
      <c r="AD660" s="11"/>
      <c r="AE660" s="115"/>
      <c r="AH660" s="77"/>
    </row>
    <row r="661" spans="1:34" ht="12.75" customHeight="1">
      <c r="A661" s="115"/>
      <c r="B661" s="11" t="s">
        <v>121</v>
      </c>
      <c r="C661" s="64" t="s">
        <v>128</v>
      </c>
      <c r="F661" s="78">
        <v>8</v>
      </c>
      <c r="G661" s="78">
        <v>5</v>
      </c>
      <c r="AE661" s="115"/>
      <c r="AH661" s="77"/>
    </row>
    <row r="662" spans="1:34" ht="12.75" customHeight="1">
      <c r="A662" s="115"/>
      <c r="B662" s="11" t="s">
        <v>124</v>
      </c>
      <c r="C662" s="64" t="s">
        <v>345</v>
      </c>
      <c r="F662" s="246" t="s">
        <v>471</v>
      </c>
      <c r="G662" s="223"/>
      <c r="H662" s="223"/>
      <c r="I662" s="223"/>
      <c r="J662" s="223"/>
      <c r="K662" s="223"/>
      <c r="L662" s="223"/>
      <c r="M662" s="223"/>
      <c r="N662" s="223"/>
      <c r="O662" s="223"/>
      <c r="P662" s="223"/>
      <c r="Q662" s="223"/>
      <c r="R662" s="223"/>
      <c r="S662" s="223"/>
      <c r="T662" s="223"/>
      <c r="U662" s="223"/>
      <c r="V662" s="223"/>
      <c r="W662" s="223"/>
      <c r="X662" s="223"/>
      <c r="Y662" s="223"/>
      <c r="Z662" s="223"/>
      <c r="AA662" s="223"/>
      <c r="AB662" s="223"/>
      <c r="AC662" s="223"/>
      <c r="AD662" s="224"/>
      <c r="AE662" s="115"/>
      <c r="AH662" s="77"/>
    </row>
    <row r="663" spans="1:34" ht="12.75" customHeight="1">
      <c r="A663" s="115"/>
      <c r="F663" s="64" t="s">
        <v>414</v>
      </c>
      <c r="L663" s="246" t="s">
        <v>102</v>
      </c>
      <c r="M663" s="223"/>
      <c r="N663" s="223"/>
      <c r="O663" s="223"/>
      <c r="P663" s="223"/>
      <c r="Q663" s="223"/>
      <c r="R663" s="223"/>
      <c r="S663" s="224"/>
      <c r="T663" s="64" t="s">
        <v>415</v>
      </c>
      <c r="X663" s="246" t="s">
        <v>106</v>
      </c>
      <c r="Y663" s="223"/>
      <c r="Z663" s="223"/>
      <c r="AA663" s="223"/>
      <c r="AB663" s="223"/>
      <c r="AC663" s="223"/>
      <c r="AD663" s="224"/>
      <c r="AE663" s="115"/>
      <c r="AH663" s="77"/>
    </row>
    <row r="664" spans="1:34" ht="12.75" customHeight="1">
      <c r="A664" s="115"/>
      <c r="F664" s="64" t="s">
        <v>416</v>
      </c>
      <c r="L664" s="246" t="s">
        <v>104</v>
      </c>
      <c r="M664" s="223"/>
      <c r="N664" s="223"/>
      <c r="O664" s="223"/>
      <c r="P664" s="223"/>
      <c r="Q664" s="223"/>
      <c r="R664" s="223"/>
      <c r="S664" s="224"/>
      <c r="T664" s="64" t="s">
        <v>417</v>
      </c>
      <c r="X664" s="246" t="s">
        <v>418</v>
      </c>
      <c r="Y664" s="223"/>
      <c r="Z664" s="223"/>
      <c r="AA664" s="223"/>
      <c r="AB664" s="223"/>
      <c r="AC664" s="223"/>
      <c r="AD664" s="224"/>
      <c r="AE664" s="115"/>
      <c r="AH664" s="77"/>
    </row>
    <row r="665" spans="1:34" ht="7.5" customHeight="1">
      <c r="A665" s="115"/>
      <c r="B665" s="117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118"/>
      <c r="AH665" s="77"/>
    </row>
    <row r="666" spans="1:34" ht="12.75" customHeight="1">
      <c r="A666" s="115"/>
      <c r="B666" s="64" t="s">
        <v>472</v>
      </c>
      <c r="AE666" s="115"/>
      <c r="AH666" s="77"/>
    </row>
    <row r="667" spans="1:34" ht="12.75" customHeight="1">
      <c r="A667" s="115"/>
      <c r="B667" s="11" t="s">
        <v>111</v>
      </c>
      <c r="C667" s="64" t="s">
        <v>340</v>
      </c>
      <c r="F667" s="108">
        <v>3</v>
      </c>
      <c r="G667" s="108">
        <v>3</v>
      </c>
      <c r="H667" s="108">
        <v>2</v>
      </c>
      <c r="I667" s="108">
        <v>7</v>
      </c>
      <c r="J667" s="108">
        <v>0</v>
      </c>
      <c r="K667" s="108">
        <v>4</v>
      </c>
      <c r="L667" s="108">
        <v>1</v>
      </c>
      <c r="M667" s="108">
        <v>5</v>
      </c>
      <c r="N667" s="108" t="s">
        <v>477</v>
      </c>
      <c r="O667" s="108">
        <v>2</v>
      </c>
      <c r="P667" s="108">
        <v>7</v>
      </c>
      <c r="Q667" s="108">
        <v>9</v>
      </c>
      <c r="R667" s="108">
        <v>0</v>
      </c>
      <c r="S667" s="108">
        <v>0</v>
      </c>
      <c r="T667" s="108">
        <v>0</v>
      </c>
      <c r="U667" s="108">
        <v>4</v>
      </c>
      <c r="V667" s="11"/>
      <c r="W667" s="11"/>
      <c r="X667" s="11"/>
      <c r="Y667" s="11"/>
      <c r="Z667" s="11"/>
      <c r="AA667" s="11"/>
      <c r="AB667" s="11"/>
      <c r="AC667" s="11"/>
      <c r="AD667" s="11"/>
      <c r="AE667" s="115"/>
      <c r="AH667" s="77"/>
    </row>
    <row r="668" spans="1:34" ht="12.75" customHeight="1">
      <c r="A668" s="115"/>
      <c r="B668" s="11" t="s">
        <v>115</v>
      </c>
      <c r="C668" s="64" t="s">
        <v>391</v>
      </c>
      <c r="F668" s="108" t="s">
        <v>491</v>
      </c>
      <c r="G668" s="108" t="s">
        <v>467</v>
      </c>
      <c r="H668" s="108" t="s">
        <v>474</v>
      </c>
      <c r="I668" s="108" t="s">
        <v>469</v>
      </c>
      <c r="J668" s="108"/>
      <c r="K668" s="108" t="s">
        <v>484</v>
      </c>
      <c r="L668" s="108" t="s">
        <v>464</v>
      </c>
      <c r="M668" s="108" t="s">
        <v>485</v>
      </c>
      <c r="N668" s="108" t="s">
        <v>476</v>
      </c>
      <c r="O668" s="109" t="s">
        <v>477</v>
      </c>
      <c r="P668" s="109" t="s">
        <v>484</v>
      </c>
      <c r="Q668" s="109" t="s">
        <v>477</v>
      </c>
      <c r="R668" s="109"/>
      <c r="S668" s="109"/>
      <c r="T668" s="109"/>
      <c r="U668" s="109"/>
      <c r="V668" s="78"/>
      <c r="W668" s="78"/>
      <c r="X668" s="78"/>
      <c r="Y668" s="78"/>
      <c r="Z668" s="78"/>
      <c r="AA668" s="78"/>
      <c r="AB668" s="78"/>
      <c r="AC668" s="78"/>
      <c r="AD668" s="78"/>
      <c r="AE668" s="115"/>
      <c r="AH668" s="77"/>
    </row>
    <row r="669" spans="1:34" ht="12.75" customHeight="1">
      <c r="A669" s="115"/>
      <c r="B669" s="11" t="s">
        <v>118</v>
      </c>
      <c r="C669" s="64" t="s">
        <v>396</v>
      </c>
      <c r="F669" s="225" t="s">
        <v>397</v>
      </c>
      <c r="G669" s="239"/>
      <c r="H669" s="78">
        <v>1</v>
      </c>
      <c r="I669" s="78">
        <v>5</v>
      </c>
      <c r="J669" s="240" t="s">
        <v>398</v>
      </c>
      <c r="K669" s="194"/>
      <c r="L669" s="239"/>
      <c r="M669" s="78">
        <v>0</v>
      </c>
      <c r="N669" s="78">
        <v>2</v>
      </c>
      <c r="O669" s="240" t="s">
        <v>399</v>
      </c>
      <c r="P669" s="194"/>
      <c r="Q669" s="239"/>
      <c r="R669" s="78">
        <v>1</v>
      </c>
      <c r="S669" s="78">
        <v>9</v>
      </c>
      <c r="T669" s="78">
        <v>7</v>
      </c>
      <c r="U669" s="78">
        <v>9</v>
      </c>
      <c r="V669" s="240" t="s">
        <v>359</v>
      </c>
      <c r="W669" s="194"/>
      <c r="X669" s="239"/>
      <c r="Y669" s="78">
        <v>4</v>
      </c>
      <c r="Z669" s="78">
        <v>2</v>
      </c>
      <c r="AA669" s="78"/>
      <c r="AB669" s="11"/>
      <c r="AC669" s="11"/>
      <c r="AD669" s="11"/>
      <c r="AE669" s="115"/>
      <c r="AH669" s="77"/>
    </row>
    <row r="670" spans="1:34" ht="12.75" customHeight="1">
      <c r="A670" s="115"/>
      <c r="B670" s="11" t="s">
        <v>121</v>
      </c>
      <c r="C670" s="64" t="s">
        <v>128</v>
      </c>
      <c r="F670" s="78">
        <v>8</v>
      </c>
      <c r="G670" s="78">
        <v>5</v>
      </c>
      <c r="AE670" s="115"/>
      <c r="AH670" s="77"/>
    </row>
    <row r="671" spans="1:34" ht="12.75" customHeight="1">
      <c r="A671" s="115"/>
      <c r="B671" s="11" t="s">
        <v>124</v>
      </c>
      <c r="C671" s="64" t="s">
        <v>345</v>
      </c>
      <c r="F671" s="246" t="s">
        <v>492</v>
      </c>
      <c r="G671" s="223"/>
      <c r="H671" s="223"/>
      <c r="I671" s="223"/>
      <c r="J671" s="223"/>
      <c r="K671" s="223"/>
      <c r="L671" s="223"/>
      <c r="M671" s="223"/>
      <c r="N671" s="223"/>
      <c r="O671" s="223"/>
      <c r="P671" s="223"/>
      <c r="Q671" s="223"/>
      <c r="R671" s="223"/>
      <c r="S671" s="223"/>
      <c r="T671" s="223"/>
      <c r="U671" s="223"/>
      <c r="V671" s="223"/>
      <c r="W671" s="223"/>
      <c r="X671" s="223"/>
      <c r="Y671" s="223"/>
      <c r="Z671" s="223"/>
      <c r="AA671" s="223"/>
      <c r="AB671" s="223"/>
      <c r="AC671" s="223"/>
      <c r="AD671" s="224"/>
      <c r="AE671" s="115"/>
      <c r="AH671" s="77"/>
    </row>
    <row r="672" spans="1:34" ht="12.75" customHeight="1">
      <c r="A672" s="115"/>
      <c r="F672" s="64" t="s">
        <v>414</v>
      </c>
      <c r="L672" s="246" t="s">
        <v>102</v>
      </c>
      <c r="M672" s="223"/>
      <c r="N672" s="223"/>
      <c r="O672" s="223"/>
      <c r="P672" s="223"/>
      <c r="Q672" s="223"/>
      <c r="R672" s="223"/>
      <c r="S672" s="224"/>
      <c r="T672" s="64" t="s">
        <v>415</v>
      </c>
      <c r="X672" s="246" t="s">
        <v>106</v>
      </c>
      <c r="Y672" s="223"/>
      <c r="Z672" s="223"/>
      <c r="AA672" s="223"/>
      <c r="AB672" s="223"/>
      <c r="AC672" s="223"/>
      <c r="AD672" s="224"/>
      <c r="AE672" s="115"/>
      <c r="AH672" s="77"/>
    </row>
    <row r="673" spans="1:34" ht="12.75" customHeight="1">
      <c r="A673" s="115"/>
      <c r="F673" s="64" t="s">
        <v>416</v>
      </c>
      <c r="L673" s="246" t="s">
        <v>104</v>
      </c>
      <c r="M673" s="223"/>
      <c r="N673" s="223"/>
      <c r="O673" s="223"/>
      <c r="P673" s="223"/>
      <c r="Q673" s="223"/>
      <c r="R673" s="223"/>
      <c r="S673" s="224"/>
      <c r="T673" s="64" t="s">
        <v>417</v>
      </c>
      <c r="X673" s="246" t="s">
        <v>418</v>
      </c>
      <c r="Y673" s="223"/>
      <c r="Z673" s="223"/>
      <c r="AA673" s="223"/>
      <c r="AB673" s="223"/>
      <c r="AC673" s="223"/>
      <c r="AD673" s="224"/>
      <c r="AE673" s="115"/>
      <c r="AH673" s="77"/>
    </row>
    <row r="674" spans="1:34" ht="6.75" customHeight="1">
      <c r="A674" s="115"/>
      <c r="B674" s="119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  <c r="AA674" s="114"/>
      <c r="AB674" s="114"/>
      <c r="AC674" s="114"/>
      <c r="AD674" s="114"/>
      <c r="AE674" s="120"/>
      <c r="AH674" s="77"/>
    </row>
    <row r="675" spans="1:34" ht="12.75" customHeight="1">
      <c r="AH675" s="77"/>
    </row>
    <row r="676" spans="1:34" ht="12.75" customHeight="1">
      <c r="U676" s="3" t="s">
        <v>513</v>
      </c>
      <c r="AH676" s="77"/>
    </row>
    <row r="677" spans="1:34" ht="12.75" customHeight="1">
      <c r="C677" s="225" t="s">
        <v>480</v>
      </c>
      <c r="D677" s="194"/>
      <c r="E677" s="194"/>
      <c r="F677" s="194"/>
      <c r="G677" s="194"/>
      <c r="AH677" s="77"/>
    </row>
    <row r="678" spans="1:34" ht="12.75" customHeight="1">
      <c r="C678" s="225" t="s">
        <v>274</v>
      </c>
      <c r="D678" s="194"/>
      <c r="E678" s="194"/>
      <c r="F678" s="194"/>
      <c r="G678" s="194"/>
      <c r="W678" s="64" t="s">
        <v>481</v>
      </c>
      <c r="AH678" s="77"/>
    </row>
    <row r="679" spans="1:34" ht="12.75" customHeight="1">
      <c r="C679" s="225"/>
      <c r="D679" s="194"/>
      <c r="E679" s="194"/>
      <c r="F679" s="194"/>
      <c r="G679" s="194"/>
      <c r="AH679" s="77"/>
    </row>
    <row r="680" spans="1:34" ht="12.75" customHeight="1">
      <c r="AH680" s="77"/>
    </row>
    <row r="681" spans="1:34" ht="12.75" customHeight="1">
      <c r="AH681" s="77"/>
    </row>
    <row r="682" spans="1:34" ht="12.75" customHeight="1">
      <c r="C682" s="225" t="s">
        <v>275</v>
      </c>
      <c r="D682" s="194"/>
      <c r="E682" s="194"/>
      <c r="F682" s="194"/>
      <c r="G682" s="194"/>
      <c r="W682" s="3" t="s">
        <v>514</v>
      </c>
      <c r="AH682" s="77"/>
    </row>
    <row r="683" spans="1:34" ht="12.75" customHeight="1">
      <c r="AH683" s="77"/>
    </row>
    <row r="684" spans="1:34" ht="12.75" customHeight="1">
      <c r="AH684" s="77"/>
    </row>
    <row r="685" spans="1:34" ht="12.75" customHeight="1">
      <c r="AH685" s="77"/>
    </row>
    <row r="686" spans="1:34" ht="12.75" customHeight="1">
      <c r="AH686" s="77"/>
    </row>
    <row r="687" spans="1:34" ht="12.75" customHeight="1">
      <c r="AH687" s="77"/>
    </row>
    <row r="688" spans="1:34" ht="12.75" customHeight="1">
      <c r="AH688" s="77"/>
    </row>
    <row r="689" spans="1:34" ht="12.75" customHeight="1">
      <c r="Y689" s="235" t="s">
        <v>368</v>
      </c>
      <c r="Z689" s="236"/>
      <c r="AA689" s="236"/>
      <c r="AB689" s="236"/>
      <c r="AC689" s="237"/>
      <c r="AH689" s="77"/>
    </row>
    <row r="690" spans="1:34" ht="12.75" customHeight="1">
      <c r="AH690" s="77"/>
    </row>
    <row r="691" spans="1:34" ht="12.75" customHeight="1">
      <c r="B691" s="64" t="s">
        <v>369</v>
      </c>
      <c r="D691" s="11" t="s">
        <v>10</v>
      </c>
      <c r="F691" s="64" t="s">
        <v>370</v>
      </c>
      <c r="P691" s="64" t="s">
        <v>371</v>
      </c>
      <c r="R691" s="11" t="s">
        <v>10</v>
      </c>
      <c r="S691" s="64" t="s">
        <v>372</v>
      </c>
      <c r="V691" s="11" t="s">
        <v>10</v>
      </c>
      <c r="W691" s="64" t="s">
        <v>373</v>
      </c>
      <c r="AH691" s="77"/>
    </row>
    <row r="692" spans="1:34" ht="12.75" customHeight="1">
      <c r="B692" s="64" t="s">
        <v>331</v>
      </c>
      <c r="D692" s="11" t="s">
        <v>10</v>
      </c>
      <c r="F692" s="64" t="s">
        <v>374</v>
      </c>
      <c r="S692" s="64" t="s">
        <v>375</v>
      </c>
      <c r="V692" s="11" t="s">
        <v>10</v>
      </c>
      <c r="W692" s="64" t="s">
        <v>376</v>
      </c>
      <c r="AH692" s="77"/>
    </row>
    <row r="693" spans="1:34" ht="12.75" customHeight="1">
      <c r="B693" s="64" t="s">
        <v>377</v>
      </c>
      <c r="D693" s="11" t="s">
        <v>10</v>
      </c>
      <c r="F693" s="64" t="s">
        <v>378</v>
      </c>
      <c r="P693" s="62"/>
      <c r="S693" s="64" t="s">
        <v>379</v>
      </c>
      <c r="V693" s="11" t="s">
        <v>10</v>
      </c>
      <c r="W693" s="64" t="s">
        <v>380</v>
      </c>
      <c r="AH693" s="77"/>
    </row>
    <row r="694" spans="1:34" ht="12.75" customHeight="1">
      <c r="B694" s="64" t="s">
        <v>381</v>
      </c>
      <c r="D694" s="11" t="s">
        <v>10</v>
      </c>
      <c r="F694" s="78">
        <v>3</v>
      </c>
      <c r="G694" s="78">
        <v>3</v>
      </c>
      <c r="H694" s="78">
        <v>2</v>
      </c>
      <c r="I694" s="78">
        <v>7</v>
      </c>
      <c r="J694" s="78">
        <v>0</v>
      </c>
      <c r="K694" s="78">
        <v>4</v>
      </c>
      <c r="L694" s="78">
        <v>0</v>
      </c>
      <c r="M694" s="78">
        <v>2</v>
      </c>
      <c r="N694" s="78">
        <v>0</v>
      </c>
      <c r="O694" s="78">
        <v>2</v>
      </c>
      <c r="P694" s="11">
        <v>2</v>
      </c>
      <c r="Q694" s="79"/>
      <c r="S694" s="64" t="s">
        <v>382</v>
      </c>
      <c r="V694" s="11" t="s">
        <v>10</v>
      </c>
      <c r="W694" s="64" t="s">
        <v>383</v>
      </c>
      <c r="AH694" s="77"/>
    </row>
    <row r="695" spans="1:34" ht="12.75" customHeight="1">
      <c r="P695" s="59"/>
      <c r="AH695" s="77"/>
    </row>
    <row r="696" spans="1:34" ht="12.75" customHeight="1">
      <c r="B696" s="196" t="s">
        <v>334</v>
      </c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194"/>
      <c r="Z696" s="194"/>
      <c r="AA696" s="194"/>
      <c r="AB696" s="194"/>
      <c r="AC696" s="194"/>
      <c r="AD696" s="194"/>
      <c r="AH696" s="77"/>
    </row>
    <row r="697" spans="1:34" ht="12.75" customHeight="1">
      <c r="B697" s="225" t="s">
        <v>515</v>
      </c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  <c r="X697" s="194"/>
      <c r="Y697" s="194"/>
      <c r="Z697" s="194"/>
      <c r="AA697" s="194"/>
      <c r="AB697" s="194"/>
      <c r="AC697" s="194"/>
      <c r="AD697" s="194"/>
      <c r="AH697" s="77"/>
    </row>
    <row r="698" spans="1:34" ht="12.75" customHeight="1">
      <c r="AH698" s="77"/>
    </row>
    <row r="699" spans="1:34" ht="12.75" customHeight="1">
      <c r="B699" s="64" t="s">
        <v>385</v>
      </c>
      <c r="D699" s="11" t="s">
        <v>10</v>
      </c>
      <c r="F699" s="78" t="s">
        <v>468</v>
      </c>
      <c r="G699" s="78" t="s">
        <v>477</v>
      </c>
      <c r="H699" s="78" t="s">
        <v>466</v>
      </c>
      <c r="I699" s="78" t="s">
        <v>475</v>
      </c>
      <c r="J699" s="78" t="s">
        <v>464</v>
      </c>
      <c r="K699" s="78" t="s">
        <v>476</v>
      </c>
      <c r="L699" s="78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  <c r="AC699" s="91"/>
      <c r="AD699" s="91"/>
      <c r="AH699" s="77"/>
    </row>
    <row r="700" spans="1:34" ht="12.75" customHeight="1">
      <c r="B700" s="64" t="s">
        <v>387</v>
      </c>
      <c r="D700" s="11" t="s">
        <v>10</v>
      </c>
      <c r="F700" s="78">
        <v>3</v>
      </c>
      <c r="G700" s="78">
        <v>3</v>
      </c>
      <c r="H700" s="78">
        <v>2</v>
      </c>
      <c r="I700" s="78">
        <v>7</v>
      </c>
      <c r="J700" s="78">
        <v>0</v>
      </c>
      <c r="K700" s="78">
        <v>4</v>
      </c>
      <c r="L700" s="78">
        <v>2</v>
      </c>
      <c r="M700" s="78">
        <v>9</v>
      </c>
      <c r="N700" s="78">
        <v>0</v>
      </c>
      <c r="O700" s="78">
        <v>1</v>
      </c>
      <c r="P700" s="78">
        <v>2</v>
      </c>
      <c r="Q700" s="78">
        <v>0</v>
      </c>
      <c r="R700" s="78">
        <v>0</v>
      </c>
      <c r="S700" s="78">
        <v>0</v>
      </c>
      <c r="T700" s="78">
        <v>0</v>
      </c>
      <c r="U700" s="78">
        <v>5</v>
      </c>
      <c r="V700" s="91"/>
      <c r="W700" s="91"/>
      <c r="X700" s="91"/>
      <c r="Y700" s="91"/>
      <c r="AH700" s="77"/>
    </row>
    <row r="701" spans="1:34" ht="12.75" customHeight="1"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  <c r="AA701" s="114"/>
      <c r="AB701" s="114"/>
      <c r="AC701" s="114"/>
      <c r="AD701" s="114"/>
      <c r="AH701" s="77"/>
    </row>
    <row r="702" spans="1:34" ht="12.75" customHeight="1">
      <c r="A702" s="115"/>
      <c r="B702" s="38" t="s">
        <v>389</v>
      </c>
      <c r="AH702" s="77"/>
    </row>
    <row r="703" spans="1:34" ht="12.75" customHeight="1">
      <c r="A703" s="115"/>
      <c r="B703" s="11" t="s">
        <v>111</v>
      </c>
      <c r="C703" s="64" t="s">
        <v>340</v>
      </c>
      <c r="D703" s="11" t="s">
        <v>10</v>
      </c>
      <c r="F703" s="95">
        <v>3</v>
      </c>
      <c r="G703" s="95">
        <v>3</v>
      </c>
      <c r="H703" s="95">
        <v>2</v>
      </c>
      <c r="I703" s="95">
        <v>7</v>
      </c>
      <c r="J703" s="95">
        <v>0</v>
      </c>
      <c r="K703" s="95">
        <v>4</v>
      </c>
      <c r="L703" s="95">
        <v>4</v>
      </c>
      <c r="M703" s="95">
        <v>1</v>
      </c>
      <c r="N703" s="95">
        <v>0</v>
      </c>
      <c r="O703" s="95">
        <v>7</v>
      </c>
      <c r="P703" s="95">
        <v>4</v>
      </c>
      <c r="Q703" s="95">
        <v>7</v>
      </c>
      <c r="R703" s="95">
        <v>0</v>
      </c>
      <c r="S703" s="95">
        <v>0</v>
      </c>
      <c r="T703" s="95">
        <v>9</v>
      </c>
      <c r="U703" s="95">
        <v>2</v>
      </c>
      <c r="AH703" s="77"/>
    </row>
    <row r="704" spans="1:34" ht="12.75" customHeight="1">
      <c r="A704" s="115"/>
      <c r="B704" s="11" t="s">
        <v>115</v>
      </c>
      <c r="C704" s="64" t="s">
        <v>391</v>
      </c>
      <c r="D704" s="11" t="s">
        <v>10</v>
      </c>
      <c r="F704" s="78" t="s">
        <v>484</v>
      </c>
      <c r="G704" s="78" t="s">
        <v>467</v>
      </c>
      <c r="H704" s="78" t="s">
        <v>474</v>
      </c>
      <c r="I704" s="78" t="s">
        <v>469</v>
      </c>
      <c r="J704" s="78" t="s">
        <v>464</v>
      </c>
      <c r="K704" s="78" t="s">
        <v>466</v>
      </c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  <c r="AC704" s="91"/>
      <c r="AD704" s="91"/>
      <c r="AH704" s="77"/>
    </row>
    <row r="705" spans="1:34" ht="12.75" customHeight="1">
      <c r="A705" s="115"/>
      <c r="B705" s="11" t="s">
        <v>118</v>
      </c>
      <c r="C705" s="64" t="s">
        <v>285</v>
      </c>
      <c r="D705" s="11" t="s">
        <v>10</v>
      </c>
      <c r="F705" s="78">
        <v>2</v>
      </c>
      <c r="G705" s="64" t="s">
        <v>393</v>
      </c>
      <c r="M705" s="55"/>
      <c r="N705" s="64" t="s">
        <v>394</v>
      </c>
      <c r="AH705" s="77"/>
    </row>
    <row r="706" spans="1:34" ht="12.75" customHeight="1">
      <c r="A706" s="115"/>
      <c r="B706" s="11" t="s">
        <v>121</v>
      </c>
      <c r="C706" s="64" t="s">
        <v>396</v>
      </c>
      <c r="D706" s="11" t="s">
        <v>10</v>
      </c>
      <c r="F706" s="225" t="s">
        <v>397</v>
      </c>
      <c r="G706" s="239"/>
      <c r="H706" s="95">
        <v>0</v>
      </c>
      <c r="I706" s="95">
        <v>1</v>
      </c>
      <c r="J706" s="240" t="s">
        <v>398</v>
      </c>
      <c r="K706" s="194"/>
      <c r="L706" s="239"/>
      <c r="M706" s="95">
        <v>0</v>
      </c>
      <c r="N706" s="95">
        <v>7</v>
      </c>
      <c r="O706" s="240" t="s">
        <v>399</v>
      </c>
      <c r="P706" s="194"/>
      <c r="Q706" s="239"/>
      <c r="R706" s="78">
        <v>1</v>
      </c>
      <c r="S706" s="78">
        <v>9</v>
      </c>
      <c r="T706" s="78">
        <v>4</v>
      </c>
      <c r="U706" s="78">
        <v>7</v>
      </c>
      <c r="V706" s="240" t="s">
        <v>359</v>
      </c>
      <c r="W706" s="194"/>
      <c r="X706" s="239"/>
      <c r="Y706" s="78">
        <v>7</v>
      </c>
      <c r="Z706" s="78">
        <v>6</v>
      </c>
      <c r="AA706" s="91"/>
      <c r="AH706" s="77"/>
    </row>
    <row r="707" spans="1:34" ht="12.75" customHeight="1">
      <c r="A707" s="115"/>
      <c r="B707" s="11" t="s">
        <v>124</v>
      </c>
      <c r="C707" s="64" t="s">
        <v>403</v>
      </c>
      <c r="D707" s="11" t="s">
        <v>10</v>
      </c>
      <c r="F707" s="78" t="s">
        <v>487</v>
      </c>
      <c r="G707" s="78" t="s">
        <v>488</v>
      </c>
      <c r="H707" s="78" t="s">
        <v>475</v>
      </c>
      <c r="I707" s="78" t="s">
        <v>464</v>
      </c>
      <c r="J707" s="78" t="s">
        <v>474</v>
      </c>
      <c r="K707" s="78" t="s">
        <v>464</v>
      </c>
      <c r="L707" s="78" t="s">
        <v>485</v>
      </c>
      <c r="M707" s="78" t="s">
        <v>489</v>
      </c>
      <c r="N707" s="78"/>
      <c r="O707" s="78"/>
      <c r="P707" s="78"/>
      <c r="Q707" s="78"/>
      <c r="R707" s="242" t="s">
        <v>404</v>
      </c>
      <c r="S707" s="243"/>
      <c r="T707" s="243"/>
      <c r="U707" s="244"/>
      <c r="V707" s="78">
        <v>3</v>
      </c>
      <c r="W707" s="78">
        <v>3</v>
      </c>
      <c r="X707" s="240" t="s">
        <v>405</v>
      </c>
      <c r="Y707" s="194"/>
      <c r="Z707" s="194"/>
      <c r="AA707" s="239"/>
      <c r="AB707" s="78">
        <v>2</v>
      </c>
      <c r="AC707" s="78">
        <v>7</v>
      </c>
      <c r="AH707" s="77"/>
    </row>
    <row r="708" spans="1:34" ht="12.75" customHeight="1">
      <c r="A708" s="115"/>
      <c r="B708" s="11" t="s">
        <v>127</v>
      </c>
      <c r="C708" s="64" t="s">
        <v>125</v>
      </c>
      <c r="D708" s="11" t="s">
        <v>10</v>
      </c>
      <c r="F708" s="55">
        <v>1</v>
      </c>
      <c r="G708" s="64" t="s">
        <v>406</v>
      </c>
      <c r="K708" s="64" t="s">
        <v>407</v>
      </c>
      <c r="O708" s="64" t="s">
        <v>408</v>
      </c>
      <c r="S708" s="64" t="s">
        <v>409</v>
      </c>
      <c r="W708" s="64" t="s">
        <v>410</v>
      </c>
      <c r="Z708" s="64" t="s">
        <v>411</v>
      </c>
      <c r="AH708" s="77"/>
    </row>
    <row r="709" spans="1:34" ht="12.75" customHeight="1">
      <c r="A709" s="115"/>
      <c r="B709" s="11" t="s">
        <v>130</v>
      </c>
      <c r="C709" s="64" t="s">
        <v>128</v>
      </c>
      <c r="D709" s="11" t="s">
        <v>10</v>
      </c>
      <c r="F709" s="95">
        <v>0</v>
      </c>
      <c r="G709" s="95">
        <v>2</v>
      </c>
      <c r="AH709" s="77"/>
    </row>
    <row r="710" spans="1:34" ht="12.75" customHeight="1">
      <c r="A710" s="115"/>
      <c r="B710" s="11" t="s">
        <v>134</v>
      </c>
      <c r="C710" s="64" t="s">
        <v>345</v>
      </c>
      <c r="D710" s="11" t="s">
        <v>10</v>
      </c>
      <c r="F710" s="246" t="s">
        <v>492</v>
      </c>
      <c r="G710" s="223"/>
      <c r="H710" s="223"/>
      <c r="I710" s="223"/>
      <c r="J710" s="223"/>
      <c r="K710" s="223"/>
      <c r="L710" s="223"/>
      <c r="M710" s="223"/>
      <c r="N710" s="223"/>
      <c r="O710" s="223"/>
      <c r="P710" s="223"/>
      <c r="Q710" s="223"/>
      <c r="R710" s="223"/>
      <c r="S710" s="223"/>
      <c r="T710" s="223"/>
      <c r="U710" s="223"/>
      <c r="V710" s="223"/>
      <c r="W710" s="223"/>
      <c r="X710" s="223"/>
      <c r="Y710" s="223"/>
      <c r="Z710" s="223"/>
      <c r="AA710" s="223"/>
      <c r="AB710" s="223"/>
      <c r="AC710" s="223"/>
      <c r="AD710" s="224"/>
      <c r="AH710" s="77"/>
    </row>
    <row r="711" spans="1:34" ht="12.75" customHeight="1">
      <c r="A711" s="115"/>
      <c r="B711" s="11"/>
      <c r="F711" s="64" t="s">
        <v>414</v>
      </c>
      <c r="L711" s="246" t="s">
        <v>102</v>
      </c>
      <c r="M711" s="223"/>
      <c r="N711" s="223"/>
      <c r="O711" s="223"/>
      <c r="P711" s="223"/>
      <c r="Q711" s="223"/>
      <c r="R711" s="223"/>
      <c r="S711" s="224"/>
      <c r="T711" s="64" t="s">
        <v>415</v>
      </c>
      <c r="X711" s="246" t="s">
        <v>106</v>
      </c>
      <c r="Y711" s="223"/>
      <c r="Z711" s="223"/>
      <c r="AA711" s="223"/>
      <c r="AB711" s="223"/>
      <c r="AC711" s="223"/>
      <c r="AD711" s="224"/>
      <c r="AH711" s="77"/>
    </row>
    <row r="712" spans="1:34" ht="12.75" customHeight="1">
      <c r="A712" s="115"/>
      <c r="B712" s="11"/>
      <c r="F712" s="64" t="s">
        <v>416</v>
      </c>
      <c r="L712" s="246" t="s">
        <v>104</v>
      </c>
      <c r="M712" s="223"/>
      <c r="N712" s="223"/>
      <c r="O712" s="223"/>
      <c r="P712" s="223"/>
      <c r="Q712" s="223"/>
      <c r="R712" s="223"/>
      <c r="S712" s="224"/>
      <c r="T712" s="64" t="s">
        <v>417</v>
      </c>
      <c r="X712" s="246" t="s">
        <v>418</v>
      </c>
      <c r="Y712" s="223"/>
      <c r="Z712" s="223"/>
      <c r="AA712" s="223"/>
      <c r="AB712" s="223"/>
      <c r="AC712" s="223"/>
      <c r="AD712" s="224"/>
      <c r="AH712" s="77"/>
    </row>
    <row r="713" spans="1:34" ht="12.75" customHeight="1">
      <c r="A713" s="115"/>
      <c r="B713" s="11" t="s">
        <v>137</v>
      </c>
      <c r="C713" s="64" t="s">
        <v>419</v>
      </c>
      <c r="D713" s="11" t="s">
        <v>10</v>
      </c>
      <c r="F713" s="91">
        <v>4</v>
      </c>
      <c r="G713" s="64" t="s">
        <v>111</v>
      </c>
      <c r="J713" s="64" t="s">
        <v>115</v>
      </c>
      <c r="M713" s="64" t="s">
        <v>118</v>
      </c>
      <c r="P713" s="64" t="s">
        <v>420</v>
      </c>
      <c r="AH713" s="77"/>
    </row>
    <row r="714" spans="1:34" ht="12.75" customHeight="1">
      <c r="A714" s="115"/>
      <c r="B714" s="11" t="s">
        <v>145</v>
      </c>
      <c r="C714" s="64" t="s">
        <v>421</v>
      </c>
      <c r="D714" s="11" t="s">
        <v>10</v>
      </c>
      <c r="F714" s="225" t="s">
        <v>397</v>
      </c>
      <c r="G714" s="194"/>
      <c r="H714" s="95">
        <v>0</v>
      </c>
      <c r="I714" s="95">
        <v>8</v>
      </c>
      <c r="J714" s="240" t="s">
        <v>422</v>
      </c>
      <c r="K714" s="194"/>
      <c r="L714" s="194"/>
      <c r="M714" s="78">
        <v>1</v>
      </c>
      <c r="N714" s="78">
        <v>1</v>
      </c>
      <c r="O714" s="240" t="s">
        <v>399</v>
      </c>
      <c r="P714" s="194"/>
      <c r="Q714" s="194"/>
      <c r="R714" s="78">
        <v>2</v>
      </c>
      <c r="S714" s="78">
        <v>0</v>
      </c>
      <c r="T714" s="78">
        <v>2</v>
      </c>
      <c r="U714" s="78">
        <v>3</v>
      </c>
      <c r="V714" s="11"/>
      <c r="AH714" s="77"/>
    </row>
    <row r="715" spans="1:34" ht="12.75" customHeight="1">
      <c r="A715" s="115"/>
      <c r="B715" s="11" t="s">
        <v>424</v>
      </c>
      <c r="C715" s="64" t="s">
        <v>425</v>
      </c>
      <c r="D715" s="11" t="s">
        <v>10</v>
      </c>
      <c r="F715" s="91">
        <v>1</v>
      </c>
      <c r="G715" s="91">
        <v>2</v>
      </c>
      <c r="H715" s="91">
        <v>3</v>
      </c>
      <c r="I715" s="91">
        <v>0</v>
      </c>
      <c r="AH715" s="77"/>
    </row>
    <row r="716" spans="1:34" ht="12.75" customHeight="1">
      <c r="A716" s="115"/>
      <c r="B716" s="11" t="s">
        <v>427</v>
      </c>
      <c r="C716" s="64" t="s">
        <v>428</v>
      </c>
      <c r="D716" s="11" t="s">
        <v>10</v>
      </c>
      <c r="F716" s="91">
        <v>1</v>
      </c>
      <c r="G716" s="64" t="s">
        <v>429</v>
      </c>
      <c r="P716" s="64" t="s">
        <v>430</v>
      </c>
      <c r="X716" s="64" t="s">
        <v>431</v>
      </c>
      <c r="AH716" s="77"/>
    </row>
    <row r="717" spans="1:34" ht="12.75" customHeight="1">
      <c r="A717" s="115"/>
      <c r="B717" s="11"/>
      <c r="D717" s="11"/>
      <c r="G717" s="64" t="s">
        <v>432</v>
      </c>
      <c r="P717" s="64" t="s">
        <v>433</v>
      </c>
      <c r="X717" s="64" t="s">
        <v>411</v>
      </c>
      <c r="AH717" s="77"/>
    </row>
    <row r="718" spans="1:34" ht="12.75" customHeight="1">
      <c r="A718" s="115"/>
      <c r="B718" s="11" t="s">
        <v>434</v>
      </c>
      <c r="C718" s="64" t="s">
        <v>435</v>
      </c>
      <c r="D718" s="11" t="s">
        <v>10</v>
      </c>
      <c r="F718" s="78" t="s">
        <v>468</v>
      </c>
      <c r="G718" s="78" t="s">
        <v>467</v>
      </c>
      <c r="H718" s="78" t="s">
        <v>475</v>
      </c>
      <c r="I718" s="78" t="s">
        <v>464</v>
      </c>
      <c r="J718" s="78" t="s">
        <v>466</v>
      </c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AH718" s="77"/>
    </row>
    <row r="719" spans="1:34" ht="12.75" customHeight="1">
      <c r="A719" s="115"/>
      <c r="B719" s="11" t="s">
        <v>436</v>
      </c>
      <c r="C719" s="64" t="s">
        <v>437</v>
      </c>
      <c r="D719" s="11" t="s">
        <v>10</v>
      </c>
      <c r="F719" s="78">
        <v>4</v>
      </c>
      <c r="G719" s="64" t="s">
        <v>438</v>
      </c>
      <c r="L719" s="64" t="s">
        <v>439</v>
      </c>
      <c r="T719" s="64" t="s">
        <v>440</v>
      </c>
      <c r="Y719" s="64" t="s">
        <v>441</v>
      </c>
      <c r="AH719" s="77"/>
    </row>
    <row r="720" spans="1:34" ht="12.75" customHeight="1">
      <c r="A720" s="115"/>
      <c r="B720" s="117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H720" s="77"/>
    </row>
    <row r="721" spans="1:34" ht="12.75" customHeight="1">
      <c r="A721" s="115"/>
      <c r="B721" s="38" t="s">
        <v>442</v>
      </c>
      <c r="AH721" s="77"/>
    </row>
    <row r="722" spans="1:34" ht="12.75" customHeight="1">
      <c r="A722" s="115"/>
      <c r="B722" s="11" t="s">
        <v>111</v>
      </c>
      <c r="C722" s="64" t="s">
        <v>340</v>
      </c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AH722" s="77"/>
    </row>
    <row r="723" spans="1:34" ht="12.75" customHeight="1">
      <c r="A723" s="115"/>
      <c r="B723" s="11" t="s">
        <v>115</v>
      </c>
      <c r="C723" s="64" t="s">
        <v>391</v>
      </c>
      <c r="F723" s="78" t="s">
        <v>498</v>
      </c>
      <c r="G723" s="78" t="s">
        <v>464</v>
      </c>
      <c r="H723" s="78" t="s">
        <v>484</v>
      </c>
      <c r="I723" s="78" t="s">
        <v>469</v>
      </c>
      <c r="J723" s="78" t="s">
        <v>475</v>
      </c>
      <c r="K723" s="78"/>
      <c r="L723" s="78"/>
      <c r="M723" s="78"/>
      <c r="N723" s="78"/>
      <c r="O723" s="78"/>
      <c r="P723" s="78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  <c r="AC723" s="91"/>
      <c r="AD723" s="91"/>
      <c r="AH723" s="77"/>
    </row>
    <row r="724" spans="1:34" ht="12.75" customHeight="1">
      <c r="A724" s="115"/>
      <c r="B724" s="11" t="s">
        <v>118</v>
      </c>
      <c r="C724" s="64" t="s">
        <v>396</v>
      </c>
      <c r="F724" s="225" t="s">
        <v>397</v>
      </c>
      <c r="G724" s="239"/>
      <c r="H724" s="55"/>
      <c r="I724" s="55"/>
      <c r="J724" s="240" t="s">
        <v>398</v>
      </c>
      <c r="K724" s="194"/>
      <c r="L724" s="239"/>
      <c r="M724" s="55"/>
      <c r="N724" s="55"/>
      <c r="O724" s="240" t="s">
        <v>399</v>
      </c>
      <c r="P724" s="194"/>
      <c r="Q724" s="239"/>
      <c r="R724" s="91"/>
      <c r="S724" s="91"/>
      <c r="T724" s="91"/>
      <c r="U724" s="91"/>
      <c r="V724" s="240" t="s">
        <v>359</v>
      </c>
      <c r="W724" s="194"/>
      <c r="X724" s="239"/>
      <c r="Y724" s="91"/>
      <c r="Z724" s="91"/>
      <c r="AA724" s="91"/>
      <c r="AH724" s="77"/>
    </row>
    <row r="725" spans="1:34" ht="12.75" customHeight="1">
      <c r="A725" s="115"/>
      <c r="B725" s="11" t="s">
        <v>121</v>
      </c>
      <c r="C725" s="64" t="s">
        <v>128</v>
      </c>
      <c r="F725" s="91"/>
      <c r="G725" s="91"/>
      <c r="AH725" s="77"/>
    </row>
    <row r="726" spans="1:34" ht="12.75" customHeight="1">
      <c r="A726" s="115"/>
      <c r="B726" s="11" t="s">
        <v>124</v>
      </c>
      <c r="C726" s="64" t="s">
        <v>345</v>
      </c>
      <c r="F726" s="252"/>
      <c r="G726" s="223"/>
      <c r="H726" s="223"/>
      <c r="I726" s="223"/>
      <c r="J726" s="223"/>
      <c r="K726" s="223"/>
      <c r="L726" s="223"/>
      <c r="M726" s="223"/>
      <c r="N726" s="223"/>
      <c r="O726" s="223"/>
      <c r="P726" s="223"/>
      <c r="Q726" s="223"/>
      <c r="R726" s="223"/>
      <c r="S726" s="223"/>
      <c r="T726" s="223"/>
      <c r="U726" s="223"/>
      <c r="V726" s="223"/>
      <c r="W726" s="223"/>
      <c r="X726" s="223"/>
      <c r="Y726" s="223"/>
      <c r="Z726" s="223"/>
      <c r="AA726" s="223"/>
      <c r="AB726" s="223"/>
      <c r="AC726" s="223"/>
      <c r="AD726" s="224"/>
      <c r="AH726" s="77"/>
    </row>
    <row r="727" spans="1:34" ht="12.75" customHeight="1">
      <c r="A727" s="115"/>
      <c r="F727" s="64" t="s">
        <v>414</v>
      </c>
      <c r="L727" s="252"/>
      <c r="M727" s="223"/>
      <c r="N727" s="223"/>
      <c r="O727" s="223"/>
      <c r="P727" s="223"/>
      <c r="Q727" s="223"/>
      <c r="R727" s="223"/>
      <c r="S727" s="224"/>
      <c r="T727" s="64" t="s">
        <v>415</v>
      </c>
      <c r="X727" s="252"/>
      <c r="Y727" s="223"/>
      <c r="Z727" s="223"/>
      <c r="AA727" s="223"/>
      <c r="AB727" s="223"/>
      <c r="AC727" s="223"/>
      <c r="AD727" s="224"/>
      <c r="AH727" s="77"/>
    </row>
    <row r="728" spans="1:34" ht="12.75" customHeight="1">
      <c r="A728" s="115"/>
      <c r="F728" s="64" t="s">
        <v>416</v>
      </c>
      <c r="L728" s="252"/>
      <c r="M728" s="223"/>
      <c r="N728" s="223"/>
      <c r="O728" s="223"/>
      <c r="P728" s="223"/>
      <c r="Q728" s="223"/>
      <c r="R728" s="223"/>
      <c r="S728" s="224"/>
      <c r="T728" s="64" t="s">
        <v>417</v>
      </c>
      <c r="X728" s="252"/>
      <c r="Y728" s="223"/>
      <c r="Z728" s="223"/>
      <c r="AA728" s="223"/>
      <c r="AB728" s="223"/>
      <c r="AC728" s="223"/>
      <c r="AD728" s="224"/>
      <c r="AH728" s="77"/>
    </row>
    <row r="729" spans="1:34" ht="12.75" customHeight="1">
      <c r="A729" s="115"/>
      <c r="B729" s="117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H729" s="77"/>
    </row>
    <row r="730" spans="1:34" ht="12.75" customHeight="1">
      <c r="A730" s="115"/>
      <c r="B730" s="38" t="s">
        <v>448</v>
      </c>
      <c r="AH730" s="77"/>
    </row>
    <row r="731" spans="1:34" ht="12.75" customHeight="1">
      <c r="A731" s="115"/>
      <c r="B731" s="11" t="s">
        <v>111</v>
      </c>
      <c r="C731" s="64" t="s">
        <v>340</v>
      </c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AH731" s="77"/>
    </row>
    <row r="732" spans="1:34" ht="12.75" customHeight="1">
      <c r="A732" s="115"/>
      <c r="B732" s="11" t="s">
        <v>115</v>
      </c>
      <c r="C732" s="64" t="s">
        <v>391</v>
      </c>
      <c r="F732" s="78" t="s">
        <v>498</v>
      </c>
      <c r="G732" s="78" t="s">
        <v>464</v>
      </c>
      <c r="H732" s="78" t="s">
        <v>469</v>
      </c>
      <c r="I732" s="78" t="s">
        <v>484</v>
      </c>
      <c r="J732" s="78" t="s">
        <v>464</v>
      </c>
      <c r="K732" s="78" t="s">
        <v>466</v>
      </c>
      <c r="L732" s="78"/>
      <c r="M732" s="78"/>
      <c r="N732" s="78"/>
      <c r="O732" s="78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  <c r="AC732" s="91"/>
      <c r="AD732" s="91"/>
      <c r="AH732" s="77"/>
    </row>
    <row r="733" spans="1:34" ht="12.75" customHeight="1">
      <c r="A733" s="115"/>
      <c r="B733" s="11" t="s">
        <v>118</v>
      </c>
      <c r="C733" s="64" t="s">
        <v>396</v>
      </c>
      <c r="F733" s="225" t="s">
        <v>397</v>
      </c>
      <c r="G733" s="239"/>
      <c r="H733" s="55"/>
      <c r="I733" s="55"/>
      <c r="J733" s="240" t="s">
        <v>398</v>
      </c>
      <c r="K733" s="194"/>
      <c r="L733" s="239"/>
      <c r="M733" s="55"/>
      <c r="N733" s="55"/>
      <c r="O733" s="240" t="s">
        <v>399</v>
      </c>
      <c r="P733" s="194"/>
      <c r="Q733" s="239"/>
      <c r="R733" s="91"/>
      <c r="S733" s="91"/>
      <c r="T733" s="91"/>
      <c r="U733" s="91"/>
      <c r="V733" s="240" t="s">
        <v>359</v>
      </c>
      <c r="W733" s="194"/>
      <c r="X733" s="239"/>
      <c r="Y733" s="91"/>
      <c r="Z733" s="91"/>
      <c r="AA733" s="91"/>
      <c r="AH733" s="77"/>
    </row>
    <row r="734" spans="1:34" ht="12.75" customHeight="1">
      <c r="A734" s="115"/>
      <c r="B734" s="11" t="s">
        <v>121</v>
      </c>
      <c r="C734" s="64" t="s">
        <v>128</v>
      </c>
      <c r="F734" s="91"/>
      <c r="G734" s="91"/>
      <c r="AH734" s="77"/>
    </row>
    <row r="735" spans="1:34" ht="12.75" customHeight="1">
      <c r="A735" s="115"/>
      <c r="B735" s="11" t="s">
        <v>124</v>
      </c>
      <c r="C735" s="64" t="s">
        <v>345</v>
      </c>
      <c r="F735" s="252"/>
      <c r="G735" s="223"/>
      <c r="H735" s="223"/>
      <c r="I735" s="223"/>
      <c r="J735" s="223"/>
      <c r="K735" s="223"/>
      <c r="L735" s="223"/>
      <c r="M735" s="223"/>
      <c r="N735" s="223"/>
      <c r="O735" s="223"/>
      <c r="P735" s="223"/>
      <c r="Q735" s="223"/>
      <c r="R735" s="223"/>
      <c r="S735" s="223"/>
      <c r="T735" s="223"/>
      <c r="U735" s="223"/>
      <c r="V735" s="223"/>
      <c r="W735" s="223"/>
      <c r="X735" s="223"/>
      <c r="Y735" s="223"/>
      <c r="Z735" s="223"/>
      <c r="AA735" s="223"/>
      <c r="AB735" s="223"/>
      <c r="AC735" s="223"/>
      <c r="AD735" s="224"/>
      <c r="AH735" s="77"/>
    </row>
    <row r="736" spans="1:34" ht="12.75" customHeight="1">
      <c r="A736" s="115"/>
      <c r="F736" s="64" t="s">
        <v>414</v>
      </c>
      <c r="L736" s="252"/>
      <c r="M736" s="223"/>
      <c r="N736" s="223"/>
      <c r="O736" s="223"/>
      <c r="P736" s="223"/>
      <c r="Q736" s="223"/>
      <c r="R736" s="223"/>
      <c r="S736" s="224"/>
      <c r="T736" s="64" t="s">
        <v>415</v>
      </c>
      <c r="X736" s="252"/>
      <c r="Y736" s="223"/>
      <c r="Z736" s="223"/>
      <c r="AA736" s="223"/>
      <c r="AB736" s="223"/>
      <c r="AC736" s="223"/>
      <c r="AD736" s="224"/>
      <c r="AH736" s="77"/>
    </row>
    <row r="737" spans="1:34" ht="12.75" customHeight="1">
      <c r="A737" s="115"/>
      <c r="F737" s="64" t="s">
        <v>416</v>
      </c>
      <c r="L737" s="252"/>
      <c r="M737" s="223"/>
      <c r="N737" s="223"/>
      <c r="O737" s="223"/>
      <c r="P737" s="223"/>
      <c r="Q737" s="223"/>
      <c r="R737" s="223"/>
      <c r="S737" s="224"/>
      <c r="T737" s="64" t="s">
        <v>417</v>
      </c>
      <c r="X737" s="252"/>
      <c r="Y737" s="223"/>
      <c r="Z737" s="223"/>
      <c r="AA737" s="223"/>
      <c r="AB737" s="223"/>
      <c r="AC737" s="223"/>
      <c r="AD737" s="224"/>
      <c r="AH737" s="77"/>
    </row>
    <row r="738" spans="1:34" ht="12.75" customHeight="1">
      <c r="A738" s="115"/>
      <c r="B738" s="117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H738" s="77"/>
    </row>
    <row r="739" spans="1:34" ht="12.75" customHeight="1">
      <c r="A739" s="115"/>
      <c r="B739" s="38" t="s">
        <v>456</v>
      </c>
      <c r="AH739" s="77"/>
    </row>
    <row r="740" spans="1:34" ht="12.75" customHeight="1">
      <c r="A740" s="115"/>
      <c r="B740" s="11" t="s">
        <v>111</v>
      </c>
      <c r="C740" s="64" t="s">
        <v>340</v>
      </c>
      <c r="F740" s="95">
        <v>3</v>
      </c>
      <c r="G740" s="95">
        <v>3</v>
      </c>
      <c r="H740" s="95">
        <v>2</v>
      </c>
      <c r="I740" s="95">
        <v>7</v>
      </c>
      <c r="J740" s="95">
        <v>0</v>
      </c>
      <c r="K740" s="95">
        <v>4</v>
      </c>
      <c r="L740" s="95">
        <v>2</v>
      </c>
      <c r="M740" s="95">
        <v>9</v>
      </c>
      <c r="N740" s="95">
        <v>0</v>
      </c>
      <c r="O740" s="95">
        <v>4</v>
      </c>
      <c r="P740" s="95">
        <v>9</v>
      </c>
      <c r="Q740" s="95">
        <v>3</v>
      </c>
      <c r="R740" s="95">
        <v>0</v>
      </c>
      <c r="S740" s="95">
        <v>0</v>
      </c>
      <c r="T740" s="95">
        <v>0</v>
      </c>
      <c r="U740" s="95">
        <v>7</v>
      </c>
      <c r="V740" s="11"/>
      <c r="W740" s="11"/>
      <c r="X740" s="11"/>
      <c r="Y740" s="11"/>
      <c r="Z740" s="11"/>
      <c r="AA740" s="11"/>
      <c r="AB740" s="11"/>
      <c r="AC740" s="11"/>
      <c r="AD740" s="11"/>
      <c r="AH740" s="77"/>
    </row>
    <row r="741" spans="1:34" ht="12.75" customHeight="1">
      <c r="A741" s="115"/>
      <c r="B741" s="11" t="s">
        <v>115</v>
      </c>
      <c r="C741" s="64" t="s">
        <v>391</v>
      </c>
      <c r="F741" s="78" t="s">
        <v>476</v>
      </c>
      <c r="G741" s="78" t="s">
        <v>488</v>
      </c>
      <c r="H741" s="78" t="s">
        <v>489</v>
      </c>
      <c r="I741" s="78" t="s">
        <v>467</v>
      </c>
      <c r="J741" s="78" t="s">
        <v>466</v>
      </c>
      <c r="K741" s="78"/>
      <c r="L741" s="78" t="s">
        <v>488</v>
      </c>
      <c r="M741" s="78" t="s">
        <v>465</v>
      </c>
      <c r="N741" s="78" t="s">
        <v>477</v>
      </c>
      <c r="O741" s="78"/>
      <c r="P741" s="78" t="s">
        <v>487</v>
      </c>
      <c r="Q741" s="78" t="s">
        <v>464</v>
      </c>
      <c r="R741" s="78" t="s">
        <v>475</v>
      </c>
      <c r="S741" s="78" t="s">
        <v>467</v>
      </c>
      <c r="T741" s="78" t="s">
        <v>491</v>
      </c>
      <c r="U741" s="78" t="s">
        <v>469</v>
      </c>
      <c r="V741" s="78"/>
      <c r="W741" s="78"/>
      <c r="X741" s="78"/>
      <c r="Y741" s="78"/>
      <c r="Z741" s="78"/>
      <c r="AA741" s="78"/>
      <c r="AB741" s="78"/>
      <c r="AC741" s="78"/>
      <c r="AD741" s="78"/>
      <c r="AH741" s="77"/>
    </row>
    <row r="742" spans="1:34" ht="12.75" customHeight="1">
      <c r="A742" s="115"/>
      <c r="B742" s="11" t="s">
        <v>118</v>
      </c>
      <c r="C742" s="64" t="s">
        <v>396</v>
      </c>
      <c r="F742" s="225" t="s">
        <v>397</v>
      </c>
      <c r="G742" s="239"/>
      <c r="H742" s="78">
        <v>2</v>
      </c>
      <c r="I742" s="78">
        <v>9</v>
      </c>
      <c r="J742" s="240" t="s">
        <v>398</v>
      </c>
      <c r="K742" s="194"/>
      <c r="L742" s="239"/>
      <c r="M742" s="78">
        <v>0</v>
      </c>
      <c r="N742" s="78">
        <v>4</v>
      </c>
      <c r="O742" s="240" t="s">
        <v>399</v>
      </c>
      <c r="P742" s="194"/>
      <c r="Q742" s="239"/>
      <c r="R742" s="78">
        <v>1</v>
      </c>
      <c r="S742" s="78">
        <v>9</v>
      </c>
      <c r="T742" s="78">
        <v>9</v>
      </c>
      <c r="U742" s="78">
        <v>3</v>
      </c>
      <c r="V742" s="240" t="s">
        <v>359</v>
      </c>
      <c r="W742" s="194"/>
      <c r="X742" s="239"/>
      <c r="Y742" s="78">
        <v>3</v>
      </c>
      <c r="Z742" s="78">
        <v>0</v>
      </c>
      <c r="AA742" s="78"/>
      <c r="AB742" s="11"/>
      <c r="AC742" s="11"/>
      <c r="AD742" s="11"/>
      <c r="AH742" s="77"/>
    </row>
    <row r="743" spans="1:34" ht="12.75" customHeight="1">
      <c r="A743" s="115"/>
      <c r="B743" s="11" t="s">
        <v>121</v>
      </c>
      <c r="C743" s="64" t="s">
        <v>128</v>
      </c>
      <c r="F743" s="78">
        <v>8</v>
      </c>
      <c r="G743" s="78">
        <v>8</v>
      </c>
      <c r="AH743" s="77"/>
    </row>
    <row r="744" spans="1:34" ht="12.75" customHeight="1">
      <c r="A744" s="115"/>
      <c r="B744" s="11" t="s">
        <v>124</v>
      </c>
      <c r="C744" s="64" t="s">
        <v>345</v>
      </c>
      <c r="F744" s="246" t="s">
        <v>492</v>
      </c>
      <c r="G744" s="223"/>
      <c r="H744" s="223"/>
      <c r="I744" s="223"/>
      <c r="J744" s="223"/>
      <c r="K744" s="223"/>
      <c r="L744" s="223"/>
      <c r="M744" s="223"/>
      <c r="N744" s="223"/>
      <c r="O744" s="223"/>
      <c r="P744" s="223"/>
      <c r="Q744" s="223"/>
      <c r="R744" s="223"/>
      <c r="S744" s="223"/>
      <c r="T744" s="223"/>
      <c r="U744" s="223"/>
      <c r="V744" s="223"/>
      <c r="W744" s="223"/>
      <c r="X744" s="223"/>
      <c r="Y744" s="223"/>
      <c r="Z744" s="223"/>
      <c r="AA744" s="223"/>
      <c r="AB744" s="223"/>
      <c r="AC744" s="223"/>
      <c r="AD744" s="224"/>
      <c r="AH744" s="77"/>
    </row>
    <row r="745" spans="1:34" ht="12.75" customHeight="1">
      <c r="A745" s="115"/>
      <c r="F745" s="64" t="s">
        <v>414</v>
      </c>
      <c r="L745" s="246" t="s">
        <v>102</v>
      </c>
      <c r="M745" s="223"/>
      <c r="N745" s="223"/>
      <c r="O745" s="223"/>
      <c r="P745" s="223"/>
      <c r="Q745" s="223"/>
      <c r="R745" s="223"/>
      <c r="S745" s="224"/>
      <c r="T745" s="64" t="s">
        <v>415</v>
      </c>
      <c r="X745" s="246" t="s">
        <v>106</v>
      </c>
      <c r="Y745" s="223"/>
      <c r="Z745" s="223"/>
      <c r="AA745" s="223"/>
      <c r="AB745" s="223"/>
      <c r="AC745" s="223"/>
      <c r="AD745" s="224"/>
      <c r="AH745" s="77"/>
    </row>
    <row r="746" spans="1:34" ht="12.75" customHeight="1">
      <c r="A746" s="115"/>
      <c r="F746" s="64" t="s">
        <v>416</v>
      </c>
      <c r="L746" s="246" t="s">
        <v>104</v>
      </c>
      <c r="M746" s="223"/>
      <c r="N746" s="223"/>
      <c r="O746" s="223"/>
      <c r="P746" s="223"/>
      <c r="Q746" s="223"/>
      <c r="R746" s="223"/>
      <c r="S746" s="224"/>
      <c r="T746" s="64" t="s">
        <v>417</v>
      </c>
      <c r="X746" s="246" t="s">
        <v>418</v>
      </c>
      <c r="Y746" s="223"/>
      <c r="Z746" s="223"/>
      <c r="AA746" s="223"/>
      <c r="AB746" s="223"/>
      <c r="AC746" s="223"/>
      <c r="AD746" s="224"/>
      <c r="AH746" s="77"/>
    </row>
    <row r="747" spans="1:34" ht="12.75" customHeight="1">
      <c r="A747" s="115"/>
      <c r="B747" s="117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H747" s="77"/>
    </row>
    <row r="748" spans="1:34" ht="12.75" customHeight="1">
      <c r="A748" s="115"/>
      <c r="B748" s="38" t="s">
        <v>457</v>
      </c>
      <c r="AH748" s="77"/>
    </row>
    <row r="749" spans="1:34" ht="12.75" customHeight="1">
      <c r="A749" s="115"/>
      <c r="B749" s="11" t="s">
        <v>111</v>
      </c>
      <c r="C749" s="64" t="s">
        <v>340</v>
      </c>
      <c r="F749" s="108">
        <v>3</v>
      </c>
      <c r="G749" s="108">
        <v>3</v>
      </c>
      <c r="H749" s="108">
        <v>2</v>
      </c>
      <c r="I749" s="108">
        <v>7</v>
      </c>
      <c r="J749" s="108">
        <v>0</v>
      </c>
      <c r="K749" s="108">
        <v>4</v>
      </c>
      <c r="L749" s="108">
        <v>1</v>
      </c>
      <c r="M749" s="108">
        <v>6</v>
      </c>
      <c r="N749" s="108">
        <v>0</v>
      </c>
      <c r="O749" s="108">
        <v>1</v>
      </c>
      <c r="P749" s="108">
        <v>7</v>
      </c>
      <c r="Q749" s="108">
        <v>5</v>
      </c>
      <c r="R749" s="108">
        <v>0</v>
      </c>
      <c r="S749" s="108">
        <v>0</v>
      </c>
      <c r="T749" s="108">
        <v>0</v>
      </c>
      <c r="U749" s="108">
        <v>5</v>
      </c>
      <c r="V749" s="11"/>
      <c r="W749" s="11"/>
      <c r="X749" s="11"/>
      <c r="Y749" s="11"/>
      <c r="Z749" s="11"/>
      <c r="AA749" s="11"/>
      <c r="AB749" s="11"/>
      <c r="AC749" s="11"/>
      <c r="AD749" s="11"/>
      <c r="AH749" s="77"/>
    </row>
    <row r="750" spans="1:34" ht="12.75" customHeight="1">
      <c r="A750" s="115"/>
      <c r="B750" s="11" t="s">
        <v>115</v>
      </c>
      <c r="C750" s="64" t="s">
        <v>391</v>
      </c>
      <c r="F750" s="78" t="s">
        <v>484</v>
      </c>
      <c r="G750" s="78" t="s">
        <v>464</v>
      </c>
      <c r="H750" s="78" t="s">
        <v>468</v>
      </c>
      <c r="I750" s="78" t="s">
        <v>486</v>
      </c>
      <c r="J750" s="78" t="s">
        <v>477</v>
      </c>
      <c r="K750" s="78" t="s">
        <v>485</v>
      </c>
      <c r="L750" s="78" t="s">
        <v>477</v>
      </c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H750" s="77"/>
    </row>
    <row r="751" spans="1:34" ht="12.75" customHeight="1">
      <c r="A751" s="115"/>
      <c r="B751" s="11" t="s">
        <v>118</v>
      </c>
      <c r="C751" s="64" t="s">
        <v>396</v>
      </c>
      <c r="F751" s="253" t="s">
        <v>397</v>
      </c>
      <c r="G751" s="224"/>
      <c r="H751" s="78">
        <v>1</v>
      </c>
      <c r="I751" s="78">
        <v>6</v>
      </c>
      <c r="J751" s="242" t="s">
        <v>398</v>
      </c>
      <c r="K751" s="243"/>
      <c r="L751" s="244"/>
      <c r="M751" s="78">
        <v>0</v>
      </c>
      <c r="N751" s="78">
        <v>1</v>
      </c>
      <c r="O751" s="242" t="s">
        <v>399</v>
      </c>
      <c r="P751" s="243"/>
      <c r="Q751" s="244"/>
      <c r="R751" s="78">
        <v>1</v>
      </c>
      <c r="S751" s="78">
        <v>9</v>
      </c>
      <c r="T751" s="78">
        <v>7</v>
      </c>
      <c r="U751" s="78">
        <v>5</v>
      </c>
      <c r="V751" s="242" t="s">
        <v>359</v>
      </c>
      <c r="W751" s="243"/>
      <c r="X751" s="244"/>
      <c r="Y751" s="78">
        <v>4</v>
      </c>
      <c r="Z751" s="78">
        <v>7</v>
      </c>
      <c r="AA751" s="78"/>
      <c r="AB751" s="11"/>
      <c r="AC751" s="11"/>
      <c r="AD751" s="11"/>
      <c r="AH751" s="77"/>
    </row>
    <row r="752" spans="1:34" ht="12.75" customHeight="1">
      <c r="A752" s="115"/>
      <c r="B752" s="11" t="s">
        <v>121</v>
      </c>
      <c r="C752" s="64" t="s">
        <v>128</v>
      </c>
      <c r="F752" s="78">
        <v>8</v>
      </c>
      <c r="G752" s="78">
        <v>5</v>
      </c>
      <c r="AH752" s="77"/>
    </row>
    <row r="753" spans="1:34" ht="12.75" customHeight="1">
      <c r="A753" s="115"/>
      <c r="B753" s="11" t="s">
        <v>124</v>
      </c>
      <c r="C753" s="64" t="s">
        <v>345</v>
      </c>
      <c r="F753" s="246" t="s">
        <v>471</v>
      </c>
      <c r="G753" s="223"/>
      <c r="H753" s="223"/>
      <c r="I753" s="223"/>
      <c r="J753" s="223"/>
      <c r="K753" s="223"/>
      <c r="L753" s="223"/>
      <c r="M753" s="223"/>
      <c r="N753" s="223"/>
      <c r="O753" s="223"/>
      <c r="P753" s="223"/>
      <c r="Q753" s="223"/>
      <c r="R753" s="223"/>
      <c r="S753" s="223"/>
      <c r="T753" s="223"/>
      <c r="U753" s="223"/>
      <c r="V753" s="223"/>
      <c r="W753" s="223"/>
      <c r="X753" s="223"/>
      <c r="Y753" s="223"/>
      <c r="Z753" s="223"/>
      <c r="AA753" s="223"/>
      <c r="AB753" s="223"/>
      <c r="AC753" s="223"/>
      <c r="AD753" s="224"/>
      <c r="AH753" s="77"/>
    </row>
    <row r="754" spans="1:34" ht="12.75" customHeight="1">
      <c r="A754" s="115"/>
      <c r="F754" s="64" t="s">
        <v>414</v>
      </c>
      <c r="L754" s="246" t="s">
        <v>102</v>
      </c>
      <c r="M754" s="223"/>
      <c r="N754" s="223"/>
      <c r="O754" s="223"/>
      <c r="P754" s="223"/>
      <c r="Q754" s="223"/>
      <c r="R754" s="223"/>
      <c r="S754" s="224"/>
      <c r="T754" s="64" t="s">
        <v>415</v>
      </c>
      <c r="X754" s="246" t="s">
        <v>106</v>
      </c>
      <c r="Y754" s="223"/>
      <c r="Z754" s="223"/>
      <c r="AA754" s="223"/>
      <c r="AB754" s="223"/>
      <c r="AC754" s="223"/>
      <c r="AD754" s="224"/>
      <c r="AH754" s="77"/>
    </row>
    <row r="755" spans="1:34" ht="12.75" customHeight="1">
      <c r="A755" s="115"/>
      <c r="F755" s="64" t="s">
        <v>416</v>
      </c>
      <c r="L755" s="246" t="s">
        <v>104</v>
      </c>
      <c r="M755" s="223"/>
      <c r="N755" s="223"/>
      <c r="O755" s="223"/>
      <c r="P755" s="223"/>
      <c r="Q755" s="223"/>
      <c r="R755" s="223"/>
      <c r="S755" s="224"/>
      <c r="T755" s="64" t="s">
        <v>417</v>
      </c>
      <c r="X755" s="246" t="s">
        <v>418</v>
      </c>
      <c r="Y755" s="223"/>
      <c r="Z755" s="223"/>
      <c r="AA755" s="223"/>
      <c r="AB755" s="223"/>
      <c r="AC755" s="223"/>
      <c r="AD755" s="224"/>
      <c r="AH755" s="77"/>
    </row>
    <row r="756" spans="1:34" ht="12.75" customHeight="1">
      <c r="A756" s="115"/>
      <c r="B756" s="117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H756" s="77"/>
    </row>
    <row r="757" spans="1:34" ht="12.75" customHeight="1">
      <c r="A757" s="115"/>
      <c r="B757" s="64" t="s">
        <v>472</v>
      </c>
      <c r="AH757" s="77"/>
    </row>
    <row r="758" spans="1:34" ht="12.75" customHeight="1">
      <c r="A758" s="115"/>
      <c r="B758" s="11" t="s">
        <v>111</v>
      </c>
      <c r="C758" s="64" t="s">
        <v>340</v>
      </c>
      <c r="F758" s="108">
        <v>3</v>
      </c>
      <c r="G758" s="108">
        <v>3</v>
      </c>
      <c r="H758" s="108">
        <v>2</v>
      </c>
      <c r="I758" s="108">
        <v>7</v>
      </c>
      <c r="J758" s="108">
        <v>0</v>
      </c>
      <c r="K758" s="108">
        <v>4</v>
      </c>
      <c r="L758" s="108">
        <v>1</v>
      </c>
      <c r="M758" s="108">
        <v>5</v>
      </c>
      <c r="N758" s="108" t="s">
        <v>477</v>
      </c>
      <c r="O758" s="108">
        <v>2</v>
      </c>
      <c r="P758" s="108">
        <v>7</v>
      </c>
      <c r="Q758" s="108">
        <v>9</v>
      </c>
      <c r="R758" s="108">
        <v>0</v>
      </c>
      <c r="S758" s="108">
        <v>0</v>
      </c>
      <c r="T758" s="108">
        <v>0</v>
      </c>
      <c r="U758" s="108">
        <v>4</v>
      </c>
      <c r="V758" s="11"/>
      <c r="W758" s="11"/>
      <c r="X758" s="11"/>
      <c r="Y758" s="11"/>
      <c r="Z758" s="11"/>
      <c r="AA758" s="11"/>
      <c r="AB758" s="11"/>
      <c r="AC758" s="11"/>
      <c r="AD758" s="11"/>
      <c r="AH758" s="77"/>
    </row>
    <row r="759" spans="1:34" ht="12.75" customHeight="1">
      <c r="A759" s="115"/>
      <c r="B759" s="11" t="s">
        <v>115</v>
      </c>
      <c r="C759" s="64" t="s">
        <v>391</v>
      </c>
      <c r="F759" s="108" t="s">
        <v>491</v>
      </c>
      <c r="G759" s="108" t="s">
        <v>467</v>
      </c>
      <c r="H759" s="108" t="s">
        <v>474</v>
      </c>
      <c r="I759" s="108" t="s">
        <v>469</v>
      </c>
      <c r="J759" s="108"/>
      <c r="K759" s="108" t="s">
        <v>484</v>
      </c>
      <c r="L759" s="108" t="s">
        <v>464</v>
      </c>
      <c r="M759" s="108" t="s">
        <v>485</v>
      </c>
      <c r="N759" s="108" t="s">
        <v>476</v>
      </c>
      <c r="O759" s="109" t="s">
        <v>477</v>
      </c>
      <c r="P759" s="109" t="s">
        <v>484</v>
      </c>
      <c r="Q759" s="109" t="s">
        <v>477</v>
      </c>
      <c r="R759" s="109"/>
      <c r="S759" s="109"/>
      <c r="T759" s="109"/>
      <c r="U759" s="109"/>
      <c r="V759" s="78"/>
      <c r="W759" s="78"/>
      <c r="X759" s="78"/>
      <c r="Y759" s="78"/>
      <c r="Z759" s="78"/>
      <c r="AA759" s="78"/>
      <c r="AB759" s="78"/>
      <c r="AC759" s="78"/>
      <c r="AD759" s="78"/>
      <c r="AH759" s="77"/>
    </row>
    <row r="760" spans="1:34" ht="12.75" customHeight="1">
      <c r="A760" s="115"/>
      <c r="B760" s="11" t="s">
        <v>118</v>
      </c>
      <c r="C760" s="64" t="s">
        <v>396</v>
      </c>
      <c r="F760" s="225" t="s">
        <v>397</v>
      </c>
      <c r="G760" s="239"/>
      <c r="H760" s="78">
        <v>1</v>
      </c>
      <c r="I760" s="78">
        <v>5</v>
      </c>
      <c r="J760" s="240" t="s">
        <v>398</v>
      </c>
      <c r="K760" s="194"/>
      <c r="L760" s="239"/>
      <c r="M760" s="78">
        <v>0</v>
      </c>
      <c r="N760" s="78">
        <v>2</v>
      </c>
      <c r="O760" s="240" t="s">
        <v>399</v>
      </c>
      <c r="P760" s="194"/>
      <c r="Q760" s="239"/>
      <c r="R760" s="78">
        <v>1</v>
      </c>
      <c r="S760" s="78">
        <v>9</v>
      </c>
      <c r="T760" s="78">
        <v>7</v>
      </c>
      <c r="U760" s="78">
        <v>9</v>
      </c>
      <c r="V760" s="240" t="s">
        <v>359</v>
      </c>
      <c r="W760" s="194"/>
      <c r="X760" s="239"/>
      <c r="Y760" s="78">
        <v>4</v>
      </c>
      <c r="Z760" s="78">
        <v>2</v>
      </c>
      <c r="AA760" s="78"/>
      <c r="AB760" s="11"/>
      <c r="AC760" s="11"/>
      <c r="AD760" s="11"/>
      <c r="AH760" s="77"/>
    </row>
    <row r="761" spans="1:34" ht="12.75" customHeight="1">
      <c r="A761" s="115"/>
      <c r="B761" s="11" t="s">
        <v>121</v>
      </c>
      <c r="C761" s="64" t="s">
        <v>128</v>
      </c>
      <c r="F761" s="78">
        <v>8</v>
      </c>
      <c r="G761" s="78">
        <v>5</v>
      </c>
      <c r="AH761" s="77"/>
    </row>
    <row r="762" spans="1:34" ht="12.75" customHeight="1">
      <c r="A762" s="115"/>
      <c r="B762" s="11" t="s">
        <v>124</v>
      </c>
      <c r="C762" s="64" t="s">
        <v>345</v>
      </c>
      <c r="F762" s="246" t="s">
        <v>492</v>
      </c>
      <c r="G762" s="223"/>
      <c r="H762" s="223"/>
      <c r="I762" s="223"/>
      <c r="J762" s="223"/>
      <c r="K762" s="223"/>
      <c r="L762" s="223"/>
      <c r="M762" s="223"/>
      <c r="N762" s="223"/>
      <c r="O762" s="223"/>
      <c r="P762" s="223"/>
      <c r="Q762" s="223"/>
      <c r="R762" s="223"/>
      <c r="S762" s="223"/>
      <c r="T762" s="223"/>
      <c r="U762" s="223"/>
      <c r="V762" s="223"/>
      <c r="W762" s="223"/>
      <c r="X762" s="223"/>
      <c r="Y762" s="223"/>
      <c r="Z762" s="223"/>
      <c r="AA762" s="223"/>
      <c r="AB762" s="223"/>
      <c r="AC762" s="223"/>
      <c r="AD762" s="224"/>
      <c r="AH762" s="77"/>
    </row>
    <row r="763" spans="1:34" ht="12.75" customHeight="1">
      <c r="A763" s="115"/>
      <c r="F763" s="64" t="s">
        <v>414</v>
      </c>
      <c r="L763" s="246" t="s">
        <v>102</v>
      </c>
      <c r="M763" s="223"/>
      <c r="N763" s="223"/>
      <c r="O763" s="223"/>
      <c r="P763" s="223"/>
      <c r="Q763" s="223"/>
      <c r="R763" s="223"/>
      <c r="S763" s="224"/>
      <c r="T763" s="64" t="s">
        <v>415</v>
      </c>
      <c r="X763" s="246" t="s">
        <v>106</v>
      </c>
      <c r="Y763" s="223"/>
      <c r="Z763" s="223"/>
      <c r="AA763" s="223"/>
      <c r="AB763" s="223"/>
      <c r="AC763" s="223"/>
      <c r="AD763" s="224"/>
      <c r="AH763" s="77"/>
    </row>
    <row r="764" spans="1:34" ht="12.75" customHeight="1">
      <c r="A764" s="115"/>
      <c r="F764" s="64" t="s">
        <v>416</v>
      </c>
      <c r="L764" s="246" t="s">
        <v>104</v>
      </c>
      <c r="M764" s="223"/>
      <c r="N764" s="223"/>
      <c r="O764" s="223"/>
      <c r="P764" s="223"/>
      <c r="Q764" s="223"/>
      <c r="R764" s="223"/>
      <c r="S764" s="224"/>
      <c r="T764" s="64" t="s">
        <v>417</v>
      </c>
      <c r="X764" s="246" t="s">
        <v>418</v>
      </c>
      <c r="Y764" s="223"/>
      <c r="Z764" s="223"/>
      <c r="AA764" s="223"/>
      <c r="AB764" s="223"/>
      <c r="AC764" s="223"/>
      <c r="AD764" s="224"/>
      <c r="AH764" s="77"/>
    </row>
    <row r="765" spans="1:34" ht="12.75" customHeight="1">
      <c r="A765" s="115"/>
      <c r="B765" s="119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  <c r="AA765" s="114"/>
      <c r="AB765" s="114"/>
      <c r="AC765" s="114"/>
      <c r="AD765" s="114"/>
      <c r="AH765" s="77"/>
    </row>
    <row r="766" spans="1:34" ht="12.75" customHeight="1">
      <c r="AH766" s="77"/>
    </row>
    <row r="767" spans="1:34" ht="12.75" customHeight="1">
      <c r="U767" s="3" t="s">
        <v>516</v>
      </c>
      <c r="AH767" s="77"/>
    </row>
    <row r="768" spans="1:34" ht="12.75" customHeight="1">
      <c r="C768" s="225" t="s">
        <v>480</v>
      </c>
      <c r="D768" s="194"/>
      <c r="E768" s="194"/>
      <c r="F768" s="194"/>
      <c r="G768" s="194"/>
      <c r="AH768" s="77"/>
    </row>
    <row r="769" spans="2:34" ht="12.75" customHeight="1">
      <c r="C769" s="225" t="s">
        <v>494</v>
      </c>
      <c r="D769" s="194"/>
      <c r="E769" s="194"/>
      <c r="F769" s="194"/>
      <c r="G769" s="194"/>
      <c r="W769" s="64" t="s">
        <v>481</v>
      </c>
      <c r="AH769" s="77"/>
    </row>
    <row r="770" spans="2:34" ht="12.75" customHeight="1">
      <c r="C770" s="225" t="s">
        <v>365</v>
      </c>
      <c r="D770" s="194"/>
      <c r="E770" s="194"/>
      <c r="F770" s="194"/>
      <c r="G770" s="194"/>
      <c r="AH770" s="77"/>
    </row>
    <row r="771" spans="2:34" ht="12.75" customHeight="1">
      <c r="C771" s="11"/>
      <c r="D771" s="11"/>
      <c r="E771" s="11"/>
      <c r="F771" s="11"/>
      <c r="G771" s="11"/>
      <c r="AH771" s="77"/>
    </row>
    <row r="772" spans="2:34" ht="12.75" customHeight="1">
      <c r="AH772" s="77"/>
    </row>
    <row r="773" spans="2:34" ht="12.75" customHeight="1">
      <c r="AH773" s="77"/>
    </row>
    <row r="774" spans="2:34" ht="12.75" customHeight="1">
      <c r="C774" s="225" t="s">
        <v>366</v>
      </c>
      <c r="D774" s="194"/>
      <c r="E774" s="194"/>
      <c r="F774" s="194"/>
      <c r="G774" s="194"/>
      <c r="W774" s="3" t="s">
        <v>517</v>
      </c>
      <c r="AH774" s="77"/>
    </row>
    <row r="775" spans="2:34" ht="12.75" customHeight="1">
      <c r="AH775" s="77"/>
    </row>
    <row r="776" spans="2:34" ht="12.75" customHeight="1">
      <c r="Y776" s="114"/>
      <c r="Z776" s="114"/>
      <c r="AA776" s="114"/>
      <c r="AB776" s="114"/>
      <c r="AC776" s="114"/>
      <c r="AH776" s="77"/>
    </row>
    <row r="777" spans="2:34" ht="12.75" customHeight="1">
      <c r="Y777" s="235" t="s">
        <v>368</v>
      </c>
      <c r="Z777" s="236"/>
      <c r="AA777" s="236"/>
      <c r="AB777" s="236"/>
      <c r="AC777" s="237"/>
      <c r="AH777" s="77"/>
    </row>
    <row r="778" spans="2:34" ht="12.75" customHeight="1">
      <c r="AH778" s="77"/>
    </row>
    <row r="779" spans="2:34" ht="12.75" customHeight="1">
      <c r="B779" s="64" t="s">
        <v>369</v>
      </c>
      <c r="D779" s="11" t="s">
        <v>10</v>
      </c>
      <c r="F779" s="64" t="s">
        <v>370</v>
      </c>
      <c r="P779" s="64" t="s">
        <v>371</v>
      </c>
      <c r="R779" s="11" t="s">
        <v>10</v>
      </c>
      <c r="S779" s="64" t="s">
        <v>372</v>
      </c>
      <c r="V779" s="11" t="s">
        <v>10</v>
      </c>
      <c r="W779" s="64" t="s">
        <v>373</v>
      </c>
      <c r="AH779" s="77"/>
    </row>
    <row r="780" spans="2:34" ht="12.75" customHeight="1">
      <c r="B780" s="64" t="s">
        <v>331</v>
      </c>
      <c r="D780" s="11" t="s">
        <v>10</v>
      </c>
      <c r="F780" s="64" t="s">
        <v>374</v>
      </c>
      <c r="S780" s="64" t="s">
        <v>375</v>
      </c>
      <c r="V780" s="11" t="s">
        <v>10</v>
      </c>
      <c r="W780" s="64" t="s">
        <v>376</v>
      </c>
      <c r="AH780" s="77"/>
    </row>
    <row r="781" spans="2:34" ht="12.75" customHeight="1">
      <c r="B781" s="64" t="s">
        <v>377</v>
      </c>
      <c r="D781" s="11" t="s">
        <v>10</v>
      </c>
      <c r="F781" s="64" t="s">
        <v>378</v>
      </c>
      <c r="P781" s="62"/>
      <c r="S781" s="64" t="s">
        <v>379</v>
      </c>
      <c r="V781" s="11" t="s">
        <v>10</v>
      </c>
      <c r="W781" s="64" t="s">
        <v>380</v>
      </c>
      <c r="AH781" s="77"/>
    </row>
    <row r="782" spans="2:34" ht="12.75" customHeight="1">
      <c r="B782" s="64" t="s">
        <v>381</v>
      </c>
      <c r="D782" s="11" t="s">
        <v>10</v>
      </c>
      <c r="F782" s="78">
        <v>3</v>
      </c>
      <c r="G782" s="78">
        <v>3</v>
      </c>
      <c r="H782" s="78">
        <v>2</v>
      </c>
      <c r="I782" s="78">
        <v>7</v>
      </c>
      <c r="J782" s="78">
        <v>0</v>
      </c>
      <c r="K782" s="78">
        <v>4</v>
      </c>
      <c r="L782" s="78">
        <v>0</v>
      </c>
      <c r="M782" s="78">
        <v>2</v>
      </c>
      <c r="N782" s="78">
        <v>0</v>
      </c>
      <c r="O782" s="78">
        <v>2</v>
      </c>
      <c r="P782" s="11">
        <v>2</v>
      </c>
      <c r="Q782" s="79"/>
      <c r="S782" s="64" t="s">
        <v>382</v>
      </c>
      <c r="V782" s="11" t="s">
        <v>10</v>
      </c>
      <c r="W782" s="64" t="s">
        <v>383</v>
      </c>
      <c r="AH782" s="77"/>
    </row>
    <row r="783" spans="2:34" ht="12.75" customHeight="1">
      <c r="P783" s="59"/>
      <c r="AH783" s="77"/>
    </row>
    <row r="784" spans="2:34" ht="12.75" customHeight="1">
      <c r="B784" s="196" t="s">
        <v>334</v>
      </c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4"/>
      <c r="X784" s="194"/>
      <c r="Y784" s="194"/>
      <c r="Z784" s="194"/>
      <c r="AA784" s="194"/>
      <c r="AB784" s="194"/>
      <c r="AC784" s="194"/>
      <c r="AD784" s="194"/>
      <c r="AH784" s="77"/>
    </row>
    <row r="785" spans="1:34" ht="12.75" customHeight="1">
      <c r="B785" s="225" t="s">
        <v>515</v>
      </c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4"/>
      <c r="X785" s="194"/>
      <c r="Y785" s="194"/>
      <c r="Z785" s="194"/>
      <c r="AA785" s="194"/>
      <c r="AB785" s="194"/>
      <c r="AC785" s="194"/>
      <c r="AD785" s="194"/>
      <c r="AH785" s="77"/>
    </row>
    <row r="786" spans="1:34" ht="12.75" customHeight="1">
      <c r="AH786" s="77"/>
    </row>
    <row r="787" spans="1:34" ht="12.75" customHeight="1">
      <c r="B787" s="64" t="s">
        <v>385</v>
      </c>
      <c r="D787" s="11" t="s">
        <v>10</v>
      </c>
      <c r="F787" s="78" t="s">
        <v>476</v>
      </c>
      <c r="G787" s="78" t="s">
        <v>464</v>
      </c>
      <c r="H787" s="78" t="s">
        <v>475</v>
      </c>
      <c r="I787" s="78" t="s">
        <v>469</v>
      </c>
      <c r="J787" s="78" t="s">
        <v>464</v>
      </c>
      <c r="K787" s="78" t="s">
        <v>468</v>
      </c>
      <c r="L787" s="78" t="s">
        <v>464</v>
      </c>
      <c r="M787" s="91" t="s">
        <v>491</v>
      </c>
      <c r="N787" s="91" t="s">
        <v>464</v>
      </c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  <c r="AC787" s="91"/>
      <c r="AD787" s="91"/>
      <c r="AH787" s="77"/>
    </row>
    <row r="788" spans="1:34" ht="12.75" customHeight="1">
      <c r="B788" s="64" t="s">
        <v>387</v>
      </c>
      <c r="D788" s="11" t="s">
        <v>10</v>
      </c>
      <c r="F788" s="78">
        <v>3</v>
      </c>
      <c r="G788" s="78">
        <v>3</v>
      </c>
      <c r="H788" s="78">
        <v>2</v>
      </c>
      <c r="I788" s="78">
        <v>7</v>
      </c>
      <c r="J788" s="78">
        <v>0</v>
      </c>
      <c r="K788" s="78">
        <v>4</v>
      </c>
      <c r="L788" s="78">
        <v>2</v>
      </c>
      <c r="M788" s="78">
        <v>7</v>
      </c>
      <c r="N788" s="78">
        <v>0</v>
      </c>
      <c r="O788" s="78">
        <v>9</v>
      </c>
      <c r="P788" s="78">
        <v>0</v>
      </c>
      <c r="Q788" s="78">
        <v>5</v>
      </c>
      <c r="R788" s="78">
        <v>2</v>
      </c>
      <c r="S788" s="78">
        <v>0</v>
      </c>
      <c r="T788" s="78">
        <v>9</v>
      </c>
      <c r="U788" s="78">
        <v>4</v>
      </c>
      <c r="V788" s="91"/>
      <c r="W788" s="91"/>
      <c r="X788" s="91"/>
      <c r="Y788" s="91"/>
      <c r="AH788" s="77"/>
    </row>
    <row r="789" spans="1:34" ht="12.75" customHeight="1"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  <c r="AA789" s="114"/>
      <c r="AB789" s="114"/>
      <c r="AC789" s="114"/>
      <c r="AD789" s="114"/>
      <c r="AH789" s="77"/>
    </row>
    <row r="790" spans="1:34" ht="12.75" customHeight="1">
      <c r="A790" s="115"/>
      <c r="B790" s="38" t="s">
        <v>389</v>
      </c>
      <c r="AH790" s="77"/>
    </row>
    <row r="791" spans="1:34" ht="12.75" customHeight="1">
      <c r="A791" s="115"/>
      <c r="B791" s="11" t="s">
        <v>111</v>
      </c>
      <c r="C791" s="64" t="s">
        <v>340</v>
      </c>
      <c r="D791" s="11" t="s">
        <v>10</v>
      </c>
      <c r="F791" s="95">
        <v>3</v>
      </c>
      <c r="G791" s="95">
        <v>3</v>
      </c>
      <c r="H791" s="95">
        <v>2</v>
      </c>
      <c r="I791" s="95">
        <v>7</v>
      </c>
      <c r="J791" s="95">
        <v>0</v>
      </c>
      <c r="K791" s="95">
        <v>4</v>
      </c>
      <c r="L791" s="95">
        <v>4</v>
      </c>
      <c r="M791" s="95">
        <v>1</v>
      </c>
      <c r="N791" s="95">
        <v>0</v>
      </c>
      <c r="O791" s="95">
        <v>7</v>
      </c>
      <c r="P791" s="95">
        <v>6</v>
      </c>
      <c r="Q791" s="95">
        <v>1</v>
      </c>
      <c r="R791" s="95">
        <v>0</v>
      </c>
      <c r="S791" s="95">
        <v>1</v>
      </c>
      <c r="T791" s="95">
        <v>0</v>
      </c>
      <c r="U791" s="95">
        <v>5</v>
      </c>
      <c r="AH791" s="77"/>
    </row>
    <row r="792" spans="1:34" ht="12.75" customHeight="1">
      <c r="A792" s="115"/>
      <c r="B792" s="11" t="s">
        <v>115</v>
      </c>
      <c r="C792" s="64" t="s">
        <v>391</v>
      </c>
      <c r="D792" s="11" t="s">
        <v>10</v>
      </c>
      <c r="F792" s="78" t="s">
        <v>484</v>
      </c>
      <c r="G792" s="78" t="s">
        <v>464</v>
      </c>
      <c r="H792" s="78" t="s">
        <v>475</v>
      </c>
      <c r="I792" s="78" t="s">
        <v>488</v>
      </c>
      <c r="J792" s="78" t="s">
        <v>464</v>
      </c>
      <c r="K792" s="78" t="s">
        <v>466</v>
      </c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  <c r="AC792" s="91"/>
      <c r="AD792" s="91"/>
      <c r="AH792" s="77"/>
    </row>
    <row r="793" spans="1:34" ht="12.75" customHeight="1">
      <c r="A793" s="115"/>
      <c r="B793" s="11" t="s">
        <v>118</v>
      </c>
      <c r="C793" s="64" t="s">
        <v>285</v>
      </c>
      <c r="D793" s="11" t="s">
        <v>10</v>
      </c>
      <c r="F793" s="78">
        <v>2</v>
      </c>
      <c r="G793" s="64" t="s">
        <v>393</v>
      </c>
      <c r="M793" s="55"/>
      <c r="N793" s="64" t="s">
        <v>394</v>
      </c>
      <c r="AH793" s="77"/>
    </row>
    <row r="794" spans="1:34" ht="12.75" customHeight="1">
      <c r="A794" s="115"/>
      <c r="B794" s="11" t="s">
        <v>121</v>
      </c>
      <c r="C794" s="64" t="s">
        <v>396</v>
      </c>
      <c r="D794" s="11" t="s">
        <v>10</v>
      </c>
      <c r="F794" s="225" t="s">
        <v>397</v>
      </c>
      <c r="G794" s="239"/>
      <c r="H794" s="95">
        <v>0</v>
      </c>
      <c r="I794" s="95">
        <v>1</v>
      </c>
      <c r="J794" s="240" t="s">
        <v>398</v>
      </c>
      <c r="K794" s="194"/>
      <c r="L794" s="239"/>
      <c r="M794" s="95">
        <v>0</v>
      </c>
      <c r="N794" s="95">
        <v>7</v>
      </c>
      <c r="O794" s="240" t="s">
        <v>399</v>
      </c>
      <c r="P794" s="194"/>
      <c r="Q794" s="239"/>
      <c r="R794" s="78">
        <v>1</v>
      </c>
      <c r="S794" s="78">
        <v>9</v>
      </c>
      <c r="T794" s="78">
        <v>5</v>
      </c>
      <c r="U794" s="78">
        <v>7</v>
      </c>
      <c r="V794" s="240" t="s">
        <v>359</v>
      </c>
      <c r="W794" s="194"/>
      <c r="X794" s="239"/>
      <c r="Y794" s="78">
        <v>6</v>
      </c>
      <c r="Z794" s="78">
        <v>6</v>
      </c>
      <c r="AA794" s="91"/>
      <c r="AH794" s="77"/>
    </row>
    <row r="795" spans="1:34" ht="12.75" customHeight="1">
      <c r="A795" s="115"/>
      <c r="B795" s="11" t="s">
        <v>124</v>
      </c>
      <c r="C795" s="64" t="s">
        <v>403</v>
      </c>
      <c r="D795" s="11" t="s">
        <v>10</v>
      </c>
      <c r="F795" s="78" t="s">
        <v>487</v>
      </c>
      <c r="G795" s="78" t="s">
        <v>488</v>
      </c>
      <c r="H795" s="78" t="s">
        <v>475</v>
      </c>
      <c r="I795" s="78" t="s">
        <v>464</v>
      </c>
      <c r="J795" s="78" t="s">
        <v>474</v>
      </c>
      <c r="K795" s="78" t="s">
        <v>464</v>
      </c>
      <c r="L795" s="78" t="s">
        <v>485</v>
      </c>
      <c r="M795" s="78" t="s">
        <v>489</v>
      </c>
      <c r="N795" s="78"/>
      <c r="O795" s="78"/>
      <c r="P795" s="78"/>
      <c r="Q795" s="78"/>
      <c r="R795" s="242" t="s">
        <v>404</v>
      </c>
      <c r="S795" s="243"/>
      <c r="T795" s="243"/>
      <c r="U795" s="244"/>
      <c r="V795" s="78">
        <v>3</v>
      </c>
      <c r="W795" s="78">
        <v>3</v>
      </c>
      <c r="X795" s="240" t="s">
        <v>405</v>
      </c>
      <c r="Y795" s="194"/>
      <c r="Z795" s="194"/>
      <c r="AA795" s="239"/>
      <c r="AB795" s="78">
        <v>2</v>
      </c>
      <c r="AC795" s="78">
        <v>7</v>
      </c>
      <c r="AH795" s="77"/>
    </row>
    <row r="796" spans="1:34" ht="12.75" customHeight="1">
      <c r="A796" s="115"/>
      <c r="B796" s="11" t="s">
        <v>127</v>
      </c>
      <c r="C796" s="64" t="s">
        <v>125</v>
      </c>
      <c r="D796" s="11" t="s">
        <v>10</v>
      </c>
      <c r="F796" s="55">
        <v>1</v>
      </c>
      <c r="G796" s="64" t="s">
        <v>406</v>
      </c>
      <c r="K796" s="64" t="s">
        <v>407</v>
      </c>
      <c r="O796" s="64" t="s">
        <v>408</v>
      </c>
      <c r="S796" s="64" t="s">
        <v>409</v>
      </c>
      <c r="W796" s="64" t="s">
        <v>410</v>
      </c>
      <c r="Z796" s="64" t="s">
        <v>411</v>
      </c>
      <c r="AH796" s="77"/>
    </row>
    <row r="797" spans="1:34" ht="12.75" customHeight="1">
      <c r="A797" s="115"/>
      <c r="B797" s="11" t="s">
        <v>130</v>
      </c>
      <c r="C797" s="64" t="s">
        <v>128</v>
      </c>
      <c r="D797" s="11" t="s">
        <v>10</v>
      </c>
      <c r="F797" s="95">
        <v>0</v>
      </c>
      <c r="G797" s="95">
        <v>2</v>
      </c>
      <c r="AH797" s="77"/>
    </row>
    <row r="798" spans="1:34" ht="12.75" customHeight="1">
      <c r="A798" s="115"/>
      <c r="B798" s="11" t="s">
        <v>134</v>
      </c>
      <c r="C798" s="64" t="s">
        <v>345</v>
      </c>
      <c r="D798" s="11" t="s">
        <v>10</v>
      </c>
      <c r="F798" s="246" t="s">
        <v>492</v>
      </c>
      <c r="G798" s="223"/>
      <c r="H798" s="223"/>
      <c r="I798" s="223"/>
      <c r="J798" s="223"/>
      <c r="K798" s="223"/>
      <c r="L798" s="223"/>
      <c r="M798" s="223"/>
      <c r="N798" s="223"/>
      <c r="O798" s="223"/>
      <c r="P798" s="223"/>
      <c r="Q798" s="223"/>
      <c r="R798" s="223"/>
      <c r="S798" s="223"/>
      <c r="T798" s="223"/>
      <c r="U798" s="223"/>
      <c r="V798" s="223"/>
      <c r="W798" s="223"/>
      <c r="X798" s="223"/>
      <c r="Y798" s="223"/>
      <c r="Z798" s="223"/>
      <c r="AA798" s="223"/>
      <c r="AB798" s="223"/>
      <c r="AC798" s="223"/>
      <c r="AD798" s="224"/>
      <c r="AH798" s="77"/>
    </row>
    <row r="799" spans="1:34" ht="12.75" customHeight="1">
      <c r="A799" s="115"/>
      <c r="B799" s="11"/>
      <c r="F799" s="64" t="s">
        <v>414</v>
      </c>
      <c r="L799" s="246" t="s">
        <v>102</v>
      </c>
      <c r="M799" s="223"/>
      <c r="N799" s="223"/>
      <c r="O799" s="223"/>
      <c r="P799" s="223"/>
      <c r="Q799" s="223"/>
      <c r="R799" s="223"/>
      <c r="S799" s="224"/>
      <c r="T799" s="64" t="s">
        <v>415</v>
      </c>
      <c r="X799" s="246" t="s">
        <v>106</v>
      </c>
      <c r="Y799" s="223"/>
      <c r="Z799" s="223"/>
      <c r="AA799" s="223"/>
      <c r="AB799" s="223"/>
      <c r="AC799" s="223"/>
      <c r="AD799" s="224"/>
      <c r="AH799" s="77"/>
    </row>
    <row r="800" spans="1:34" ht="12.75" customHeight="1">
      <c r="A800" s="115"/>
      <c r="B800" s="11"/>
      <c r="F800" s="64" t="s">
        <v>416</v>
      </c>
      <c r="L800" s="246" t="s">
        <v>104</v>
      </c>
      <c r="M800" s="223"/>
      <c r="N800" s="223"/>
      <c r="O800" s="223"/>
      <c r="P800" s="223"/>
      <c r="Q800" s="223"/>
      <c r="R800" s="223"/>
      <c r="S800" s="224"/>
      <c r="T800" s="64" t="s">
        <v>417</v>
      </c>
      <c r="X800" s="246" t="s">
        <v>418</v>
      </c>
      <c r="Y800" s="223"/>
      <c r="Z800" s="223"/>
      <c r="AA800" s="223"/>
      <c r="AB800" s="223"/>
      <c r="AC800" s="223"/>
      <c r="AD800" s="224"/>
      <c r="AH800" s="77"/>
    </row>
    <row r="801" spans="1:34" ht="12.75" customHeight="1">
      <c r="A801" s="115"/>
      <c r="B801" s="11" t="s">
        <v>137</v>
      </c>
      <c r="C801" s="64" t="s">
        <v>419</v>
      </c>
      <c r="D801" s="11" t="s">
        <v>10</v>
      </c>
      <c r="F801" s="91">
        <v>2</v>
      </c>
      <c r="G801" s="64" t="s">
        <v>111</v>
      </c>
      <c r="J801" s="64" t="s">
        <v>115</v>
      </c>
      <c r="M801" s="64" t="s">
        <v>118</v>
      </c>
      <c r="P801" s="64" t="s">
        <v>420</v>
      </c>
      <c r="AH801" s="77"/>
    </row>
    <row r="802" spans="1:34" ht="12.75" customHeight="1">
      <c r="A802" s="115"/>
      <c r="B802" s="11" t="s">
        <v>145</v>
      </c>
      <c r="C802" s="64" t="s">
        <v>421</v>
      </c>
      <c r="D802" s="11" t="s">
        <v>10</v>
      </c>
      <c r="F802" s="225" t="s">
        <v>397</v>
      </c>
      <c r="G802" s="194"/>
      <c r="H802" s="95">
        <v>1</v>
      </c>
      <c r="I802" s="95">
        <v>6</v>
      </c>
      <c r="J802" s="240" t="s">
        <v>422</v>
      </c>
      <c r="K802" s="194"/>
      <c r="L802" s="194"/>
      <c r="M802" s="78">
        <v>0</v>
      </c>
      <c r="N802" s="78">
        <v>8</v>
      </c>
      <c r="O802" s="240" t="s">
        <v>399</v>
      </c>
      <c r="P802" s="194"/>
      <c r="Q802" s="194"/>
      <c r="R802" s="78">
        <v>2</v>
      </c>
      <c r="S802" s="78">
        <v>0</v>
      </c>
      <c r="T802" s="78">
        <v>2</v>
      </c>
      <c r="U802" s="78">
        <v>3</v>
      </c>
      <c r="V802" s="11"/>
      <c r="AH802" s="77"/>
    </row>
    <row r="803" spans="1:34" ht="12.75" customHeight="1">
      <c r="A803" s="115"/>
      <c r="B803" s="11" t="s">
        <v>424</v>
      </c>
      <c r="C803" s="64" t="s">
        <v>425</v>
      </c>
      <c r="D803" s="11" t="s">
        <v>10</v>
      </c>
      <c r="F803" s="91">
        <v>0</v>
      </c>
      <c r="G803" s="91">
        <v>3</v>
      </c>
      <c r="H803" s="91">
        <v>3</v>
      </c>
      <c r="I803" s="91">
        <v>0</v>
      </c>
      <c r="AH803" s="77"/>
    </row>
    <row r="804" spans="1:34" ht="12.75" customHeight="1">
      <c r="A804" s="115"/>
      <c r="B804" s="11" t="s">
        <v>427</v>
      </c>
      <c r="C804" s="64" t="s">
        <v>428</v>
      </c>
      <c r="D804" s="11" t="s">
        <v>10</v>
      </c>
      <c r="F804" s="91">
        <v>1</v>
      </c>
      <c r="G804" s="64" t="s">
        <v>429</v>
      </c>
      <c r="P804" s="64" t="s">
        <v>430</v>
      </c>
      <c r="X804" s="64" t="s">
        <v>431</v>
      </c>
      <c r="AH804" s="77"/>
    </row>
    <row r="805" spans="1:34" ht="12.75" customHeight="1">
      <c r="A805" s="115"/>
      <c r="B805" s="11"/>
      <c r="D805" s="11"/>
      <c r="G805" s="64" t="s">
        <v>432</v>
      </c>
      <c r="P805" s="64" t="s">
        <v>433</v>
      </c>
      <c r="X805" s="64" t="s">
        <v>411</v>
      </c>
      <c r="AH805" s="77"/>
    </row>
    <row r="806" spans="1:34" ht="12.75" customHeight="1">
      <c r="A806" s="115"/>
      <c r="B806" s="11" t="s">
        <v>434</v>
      </c>
      <c r="C806" s="64" t="s">
        <v>435</v>
      </c>
      <c r="D806" s="11" t="s">
        <v>10</v>
      </c>
      <c r="F806" s="78" t="s">
        <v>468</v>
      </c>
      <c r="G806" s="78" t="s">
        <v>467</v>
      </c>
      <c r="H806" s="78" t="s">
        <v>475</v>
      </c>
      <c r="I806" s="78" t="s">
        <v>464</v>
      </c>
      <c r="J806" s="78" t="s">
        <v>466</v>
      </c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AH806" s="77"/>
    </row>
    <row r="807" spans="1:34" ht="12.75" customHeight="1">
      <c r="A807" s="115"/>
      <c r="B807" s="11" t="s">
        <v>436</v>
      </c>
      <c r="C807" s="64" t="s">
        <v>437</v>
      </c>
      <c r="D807" s="11" t="s">
        <v>10</v>
      </c>
      <c r="F807" s="78">
        <v>4</v>
      </c>
      <c r="G807" s="64" t="s">
        <v>438</v>
      </c>
      <c r="L807" s="64" t="s">
        <v>439</v>
      </c>
      <c r="T807" s="64" t="s">
        <v>440</v>
      </c>
      <c r="Y807" s="64" t="s">
        <v>441</v>
      </c>
      <c r="AH807" s="77"/>
    </row>
    <row r="808" spans="1:34" ht="12.75" customHeight="1">
      <c r="A808" s="115"/>
      <c r="B808" s="117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H808" s="77"/>
    </row>
    <row r="809" spans="1:34" ht="12.75" customHeight="1">
      <c r="A809" s="115"/>
      <c r="B809" s="38" t="s">
        <v>442</v>
      </c>
      <c r="AH809" s="77"/>
    </row>
    <row r="810" spans="1:34" ht="12.75" customHeight="1">
      <c r="A810" s="115"/>
      <c r="B810" s="11" t="s">
        <v>111</v>
      </c>
      <c r="C810" s="64" t="s">
        <v>340</v>
      </c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AH810" s="77"/>
    </row>
    <row r="811" spans="1:34" ht="12.75" customHeight="1">
      <c r="A811" s="115"/>
      <c r="B811" s="11" t="s">
        <v>115</v>
      </c>
      <c r="C811" s="64" t="s">
        <v>391</v>
      </c>
      <c r="F811" s="78" t="s">
        <v>484</v>
      </c>
      <c r="G811" s="78" t="s">
        <v>464</v>
      </c>
      <c r="H811" s="78" t="s">
        <v>484</v>
      </c>
      <c r="I811" s="78" t="s">
        <v>476</v>
      </c>
      <c r="J811" s="78" t="s">
        <v>468</v>
      </c>
      <c r="K811" s="78" t="s">
        <v>477</v>
      </c>
      <c r="L811" s="78" t="s">
        <v>498</v>
      </c>
      <c r="M811" s="78" t="s">
        <v>469</v>
      </c>
      <c r="N811" s="78" t="s">
        <v>475</v>
      </c>
      <c r="O811" s="78" t="s">
        <v>488</v>
      </c>
      <c r="P811" s="78" t="s">
        <v>491</v>
      </c>
      <c r="Q811" s="91" t="s">
        <v>477</v>
      </c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  <c r="AC811" s="91"/>
      <c r="AD811" s="91"/>
      <c r="AH811" s="77"/>
    </row>
    <row r="812" spans="1:34" ht="12.75" customHeight="1">
      <c r="A812" s="115"/>
      <c r="B812" s="11" t="s">
        <v>118</v>
      </c>
      <c r="C812" s="64" t="s">
        <v>396</v>
      </c>
      <c r="F812" s="225" t="s">
        <v>397</v>
      </c>
      <c r="G812" s="239"/>
      <c r="H812" s="55"/>
      <c r="I812" s="55"/>
      <c r="J812" s="240" t="s">
        <v>398</v>
      </c>
      <c r="K812" s="194"/>
      <c r="L812" s="239"/>
      <c r="M812" s="55"/>
      <c r="N812" s="55"/>
      <c r="O812" s="240" t="s">
        <v>399</v>
      </c>
      <c r="P812" s="194"/>
      <c r="Q812" s="239"/>
      <c r="R812" s="91"/>
      <c r="S812" s="91"/>
      <c r="T812" s="91"/>
      <c r="U812" s="91"/>
      <c r="V812" s="240" t="s">
        <v>359</v>
      </c>
      <c r="W812" s="194"/>
      <c r="X812" s="239"/>
      <c r="Y812" s="91"/>
      <c r="Z812" s="91"/>
      <c r="AA812" s="91"/>
      <c r="AH812" s="77"/>
    </row>
    <row r="813" spans="1:34" ht="12.75" customHeight="1">
      <c r="A813" s="115"/>
      <c r="B813" s="11" t="s">
        <v>121</v>
      </c>
      <c r="C813" s="64" t="s">
        <v>128</v>
      </c>
      <c r="F813" s="91"/>
      <c r="G813" s="91"/>
      <c r="AH813" s="77"/>
    </row>
    <row r="814" spans="1:34" ht="12.75" customHeight="1">
      <c r="A814" s="115"/>
      <c r="B814" s="11" t="s">
        <v>124</v>
      </c>
      <c r="C814" s="64" t="s">
        <v>345</v>
      </c>
      <c r="F814" s="252"/>
      <c r="G814" s="223"/>
      <c r="H814" s="223"/>
      <c r="I814" s="223"/>
      <c r="J814" s="223"/>
      <c r="K814" s="223"/>
      <c r="L814" s="223"/>
      <c r="M814" s="223"/>
      <c r="N814" s="223"/>
      <c r="O814" s="223"/>
      <c r="P814" s="223"/>
      <c r="Q814" s="223"/>
      <c r="R814" s="223"/>
      <c r="S814" s="223"/>
      <c r="T814" s="223"/>
      <c r="U814" s="223"/>
      <c r="V814" s="223"/>
      <c r="W814" s="223"/>
      <c r="X814" s="223"/>
      <c r="Y814" s="223"/>
      <c r="Z814" s="223"/>
      <c r="AA814" s="223"/>
      <c r="AB814" s="223"/>
      <c r="AC814" s="223"/>
      <c r="AD814" s="224"/>
      <c r="AH814" s="77"/>
    </row>
    <row r="815" spans="1:34" ht="12.75" customHeight="1">
      <c r="A815" s="115"/>
      <c r="F815" s="64" t="s">
        <v>414</v>
      </c>
      <c r="L815" s="252"/>
      <c r="M815" s="223"/>
      <c r="N815" s="223"/>
      <c r="O815" s="223"/>
      <c r="P815" s="223"/>
      <c r="Q815" s="223"/>
      <c r="R815" s="223"/>
      <c r="S815" s="224"/>
      <c r="T815" s="64" t="s">
        <v>415</v>
      </c>
      <c r="X815" s="252"/>
      <c r="Y815" s="223"/>
      <c r="Z815" s="223"/>
      <c r="AA815" s="223"/>
      <c r="AB815" s="223"/>
      <c r="AC815" s="223"/>
      <c r="AD815" s="224"/>
      <c r="AH815" s="77"/>
    </row>
    <row r="816" spans="1:34" ht="12.75" customHeight="1">
      <c r="A816" s="115"/>
      <c r="F816" s="64" t="s">
        <v>416</v>
      </c>
      <c r="L816" s="252"/>
      <c r="M816" s="223"/>
      <c r="N816" s="223"/>
      <c r="O816" s="223"/>
      <c r="P816" s="223"/>
      <c r="Q816" s="223"/>
      <c r="R816" s="223"/>
      <c r="S816" s="224"/>
      <c r="T816" s="64" t="s">
        <v>417</v>
      </c>
      <c r="X816" s="252"/>
      <c r="Y816" s="223"/>
      <c r="Z816" s="223"/>
      <c r="AA816" s="223"/>
      <c r="AB816" s="223"/>
      <c r="AC816" s="223"/>
      <c r="AD816" s="224"/>
      <c r="AH816" s="77"/>
    </row>
    <row r="817" spans="1:34" ht="12.75" customHeight="1">
      <c r="A817" s="115"/>
      <c r="B817" s="117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H817" s="77"/>
    </row>
    <row r="818" spans="1:34" ht="12.75" customHeight="1">
      <c r="A818" s="115"/>
      <c r="B818" s="38" t="s">
        <v>448</v>
      </c>
      <c r="AH818" s="77"/>
    </row>
    <row r="819" spans="1:34" ht="12.75" customHeight="1">
      <c r="A819" s="115"/>
      <c r="B819" s="11" t="s">
        <v>111</v>
      </c>
      <c r="C819" s="64" t="s">
        <v>340</v>
      </c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AH819" s="77"/>
    </row>
    <row r="820" spans="1:34" ht="12.75" customHeight="1">
      <c r="A820" s="115"/>
      <c r="B820" s="11" t="s">
        <v>115</v>
      </c>
      <c r="C820" s="64" t="s">
        <v>391</v>
      </c>
      <c r="F820" s="78" t="s">
        <v>476</v>
      </c>
      <c r="G820" s="78" t="s">
        <v>464</v>
      </c>
      <c r="H820" s="78" t="s">
        <v>469</v>
      </c>
      <c r="I820" s="78" t="s">
        <v>484</v>
      </c>
      <c r="J820" s="78" t="s">
        <v>464</v>
      </c>
      <c r="K820" s="78" t="s">
        <v>466</v>
      </c>
      <c r="L820" s="78"/>
      <c r="M820" s="78"/>
      <c r="N820" s="78"/>
      <c r="O820" s="78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  <c r="AC820" s="91"/>
      <c r="AD820" s="91"/>
      <c r="AH820" s="77"/>
    </row>
    <row r="821" spans="1:34" ht="12.75" customHeight="1">
      <c r="A821" s="115"/>
      <c r="B821" s="11" t="s">
        <v>118</v>
      </c>
      <c r="C821" s="64" t="s">
        <v>396</v>
      </c>
      <c r="F821" s="225" t="s">
        <v>397</v>
      </c>
      <c r="G821" s="239"/>
      <c r="H821" s="55"/>
      <c r="I821" s="55"/>
      <c r="J821" s="240" t="s">
        <v>398</v>
      </c>
      <c r="K821" s="194"/>
      <c r="L821" s="239"/>
      <c r="M821" s="55"/>
      <c r="N821" s="55"/>
      <c r="O821" s="240" t="s">
        <v>399</v>
      </c>
      <c r="P821" s="194"/>
      <c r="Q821" s="239"/>
      <c r="R821" s="91"/>
      <c r="S821" s="91"/>
      <c r="T821" s="91"/>
      <c r="U821" s="91"/>
      <c r="V821" s="240" t="s">
        <v>359</v>
      </c>
      <c r="W821" s="194"/>
      <c r="X821" s="239"/>
      <c r="Y821" s="91"/>
      <c r="Z821" s="91"/>
      <c r="AA821" s="91"/>
      <c r="AH821" s="77"/>
    </row>
    <row r="822" spans="1:34" ht="12.75" customHeight="1">
      <c r="A822" s="115"/>
      <c r="B822" s="11" t="s">
        <v>121</v>
      </c>
      <c r="C822" s="64" t="s">
        <v>128</v>
      </c>
      <c r="F822" s="91"/>
      <c r="G822" s="91"/>
      <c r="AH822" s="77"/>
    </row>
    <row r="823" spans="1:34" ht="12.75" customHeight="1">
      <c r="A823" s="115"/>
      <c r="B823" s="11" t="s">
        <v>124</v>
      </c>
      <c r="C823" s="64" t="s">
        <v>345</v>
      </c>
      <c r="F823" s="252"/>
      <c r="G823" s="223"/>
      <c r="H823" s="223"/>
      <c r="I823" s="223"/>
      <c r="J823" s="223"/>
      <c r="K823" s="223"/>
      <c r="L823" s="223"/>
      <c r="M823" s="223"/>
      <c r="N823" s="223"/>
      <c r="O823" s="223"/>
      <c r="P823" s="223"/>
      <c r="Q823" s="223"/>
      <c r="R823" s="223"/>
      <c r="S823" s="223"/>
      <c r="T823" s="223"/>
      <c r="U823" s="223"/>
      <c r="V823" s="223"/>
      <c r="W823" s="223"/>
      <c r="X823" s="223"/>
      <c r="Y823" s="223"/>
      <c r="Z823" s="223"/>
      <c r="AA823" s="223"/>
      <c r="AB823" s="223"/>
      <c r="AC823" s="223"/>
      <c r="AD823" s="224"/>
      <c r="AH823" s="77"/>
    </row>
    <row r="824" spans="1:34" ht="12.75" customHeight="1">
      <c r="A824" s="115"/>
      <c r="F824" s="64" t="s">
        <v>414</v>
      </c>
      <c r="L824" s="252"/>
      <c r="M824" s="223"/>
      <c r="N824" s="223"/>
      <c r="O824" s="223"/>
      <c r="P824" s="223"/>
      <c r="Q824" s="223"/>
      <c r="R824" s="223"/>
      <c r="S824" s="224"/>
      <c r="T824" s="64" t="s">
        <v>415</v>
      </c>
      <c r="X824" s="252"/>
      <c r="Y824" s="223"/>
      <c r="Z824" s="223"/>
      <c r="AA824" s="223"/>
      <c r="AB824" s="223"/>
      <c r="AC824" s="223"/>
      <c r="AD824" s="224"/>
      <c r="AH824" s="77"/>
    </row>
    <row r="825" spans="1:34" ht="12.75" customHeight="1">
      <c r="A825" s="115"/>
      <c r="F825" s="64" t="s">
        <v>416</v>
      </c>
      <c r="L825" s="252"/>
      <c r="M825" s="223"/>
      <c r="N825" s="223"/>
      <c r="O825" s="223"/>
      <c r="P825" s="223"/>
      <c r="Q825" s="223"/>
      <c r="R825" s="223"/>
      <c r="S825" s="224"/>
      <c r="T825" s="64" t="s">
        <v>417</v>
      </c>
      <c r="X825" s="252"/>
      <c r="Y825" s="223"/>
      <c r="Z825" s="223"/>
      <c r="AA825" s="223"/>
      <c r="AB825" s="223"/>
      <c r="AC825" s="223"/>
      <c r="AD825" s="224"/>
      <c r="AH825" s="77"/>
    </row>
    <row r="826" spans="1:34" ht="12.75" customHeight="1">
      <c r="A826" s="115"/>
      <c r="B826" s="117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H826" s="77"/>
    </row>
    <row r="827" spans="1:34" ht="12.75" customHeight="1">
      <c r="A827" s="115"/>
      <c r="B827" s="38" t="s">
        <v>456</v>
      </c>
      <c r="AH827" s="77"/>
    </row>
    <row r="828" spans="1:34" ht="12.75" customHeight="1">
      <c r="A828" s="115"/>
      <c r="B828" s="11" t="s">
        <v>111</v>
      </c>
      <c r="C828" s="64" t="s">
        <v>340</v>
      </c>
      <c r="F828" s="95">
        <v>3</v>
      </c>
      <c r="G828" s="95">
        <v>3</v>
      </c>
      <c r="H828" s="95">
        <v>2</v>
      </c>
      <c r="I828" s="95">
        <v>7</v>
      </c>
      <c r="J828" s="95">
        <v>0</v>
      </c>
      <c r="K828" s="95">
        <v>4</v>
      </c>
      <c r="L828" s="95">
        <v>2</v>
      </c>
      <c r="M828" s="95">
        <v>9</v>
      </c>
      <c r="N828" s="95">
        <v>0</v>
      </c>
      <c r="O828" s="95">
        <v>4</v>
      </c>
      <c r="P828" s="95">
        <v>9</v>
      </c>
      <c r="Q828" s="95">
        <v>3</v>
      </c>
      <c r="R828" s="95">
        <v>0</v>
      </c>
      <c r="S828" s="95">
        <v>0</v>
      </c>
      <c r="T828" s="95">
        <v>0</v>
      </c>
      <c r="U828" s="95">
        <v>7</v>
      </c>
      <c r="V828" s="11"/>
      <c r="W828" s="11"/>
      <c r="X828" s="11"/>
      <c r="Y828" s="11"/>
      <c r="Z828" s="11"/>
      <c r="AA828" s="11"/>
      <c r="AB828" s="11"/>
      <c r="AC828" s="11"/>
      <c r="AD828" s="11"/>
      <c r="AH828" s="77"/>
    </row>
    <row r="829" spans="1:34" ht="12.75" customHeight="1">
      <c r="A829" s="115"/>
      <c r="B829" s="11" t="s">
        <v>115</v>
      </c>
      <c r="C829" s="64" t="s">
        <v>391</v>
      </c>
      <c r="F829" s="78" t="s">
        <v>476</v>
      </c>
      <c r="G829" s="78" t="s">
        <v>488</v>
      </c>
      <c r="H829" s="78" t="s">
        <v>489</v>
      </c>
      <c r="I829" s="78" t="s">
        <v>467</v>
      </c>
      <c r="J829" s="78" t="s">
        <v>466</v>
      </c>
      <c r="K829" s="78"/>
      <c r="L829" s="78" t="s">
        <v>488</v>
      </c>
      <c r="M829" s="78" t="s">
        <v>465</v>
      </c>
      <c r="N829" s="78" t="s">
        <v>477</v>
      </c>
      <c r="O829" s="78"/>
      <c r="P829" s="78" t="s">
        <v>487</v>
      </c>
      <c r="Q829" s="78" t="s">
        <v>464</v>
      </c>
      <c r="R829" s="78" t="s">
        <v>475</v>
      </c>
      <c r="S829" s="78" t="s">
        <v>467</v>
      </c>
      <c r="T829" s="78" t="s">
        <v>491</v>
      </c>
      <c r="U829" s="78" t="s">
        <v>469</v>
      </c>
      <c r="V829" s="78"/>
      <c r="W829" s="78"/>
      <c r="X829" s="78"/>
      <c r="Y829" s="78"/>
      <c r="Z829" s="78"/>
      <c r="AA829" s="78"/>
      <c r="AB829" s="78"/>
      <c r="AC829" s="78"/>
      <c r="AD829" s="78"/>
      <c r="AH829" s="77"/>
    </row>
    <row r="830" spans="1:34" ht="12.75" customHeight="1">
      <c r="A830" s="115"/>
      <c r="B830" s="11" t="s">
        <v>118</v>
      </c>
      <c r="C830" s="64" t="s">
        <v>396</v>
      </c>
      <c r="F830" s="225" t="s">
        <v>397</v>
      </c>
      <c r="G830" s="239"/>
      <c r="H830" s="78">
        <v>2</v>
      </c>
      <c r="I830" s="78">
        <v>9</v>
      </c>
      <c r="J830" s="240" t="s">
        <v>398</v>
      </c>
      <c r="K830" s="194"/>
      <c r="L830" s="239"/>
      <c r="M830" s="78">
        <v>0</v>
      </c>
      <c r="N830" s="78">
        <v>4</v>
      </c>
      <c r="O830" s="240" t="s">
        <v>399</v>
      </c>
      <c r="P830" s="194"/>
      <c r="Q830" s="239"/>
      <c r="R830" s="78">
        <v>1</v>
      </c>
      <c r="S830" s="78">
        <v>9</v>
      </c>
      <c r="T830" s="78">
        <v>9</v>
      </c>
      <c r="U830" s="78">
        <v>3</v>
      </c>
      <c r="V830" s="240" t="s">
        <v>359</v>
      </c>
      <c r="W830" s="194"/>
      <c r="X830" s="239"/>
      <c r="Y830" s="78">
        <v>3</v>
      </c>
      <c r="Z830" s="78">
        <v>0</v>
      </c>
      <c r="AA830" s="78"/>
      <c r="AB830" s="11"/>
      <c r="AC830" s="11"/>
      <c r="AD830" s="11"/>
      <c r="AH830" s="77"/>
    </row>
    <row r="831" spans="1:34" ht="12.75" customHeight="1">
      <c r="A831" s="115"/>
      <c r="B831" s="11" t="s">
        <v>121</v>
      </c>
      <c r="C831" s="64" t="s">
        <v>128</v>
      </c>
      <c r="F831" s="78">
        <v>8</v>
      </c>
      <c r="G831" s="78">
        <v>8</v>
      </c>
      <c r="AH831" s="77"/>
    </row>
    <row r="832" spans="1:34" ht="12.75" customHeight="1">
      <c r="A832" s="115"/>
      <c r="B832" s="11" t="s">
        <v>124</v>
      </c>
      <c r="C832" s="64" t="s">
        <v>345</v>
      </c>
      <c r="F832" s="246" t="s">
        <v>492</v>
      </c>
      <c r="G832" s="223"/>
      <c r="H832" s="223"/>
      <c r="I832" s="223"/>
      <c r="J832" s="223"/>
      <c r="K832" s="223"/>
      <c r="L832" s="223"/>
      <c r="M832" s="223"/>
      <c r="N832" s="223"/>
      <c r="O832" s="223"/>
      <c r="P832" s="223"/>
      <c r="Q832" s="223"/>
      <c r="R832" s="223"/>
      <c r="S832" s="223"/>
      <c r="T832" s="223"/>
      <c r="U832" s="223"/>
      <c r="V832" s="223"/>
      <c r="W832" s="223"/>
      <c r="X832" s="223"/>
      <c r="Y832" s="223"/>
      <c r="Z832" s="223"/>
      <c r="AA832" s="223"/>
      <c r="AB832" s="223"/>
      <c r="AC832" s="223"/>
      <c r="AD832" s="224"/>
      <c r="AH832" s="77"/>
    </row>
    <row r="833" spans="1:34" ht="12.75" customHeight="1">
      <c r="A833" s="115"/>
      <c r="F833" s="64" t="s">
        <v>414</v>
      </c>
      <c r="L833" s="246" t="s">
        <v>102</v>
      </c>
      <c r="M833" s="223"/>
      <c r="N833" s="223"/>
      <c r="O833" s="223"/>
      <c r="P833" s="223"/>
      <c r="Q833" s="223"/>
      <c r="R833" s="223"/>
      <c r="S833" s="224"/>
      <c r="T833" s="64" t="s">
        <v>415</v>
      </c>
      <c r="X833" s="246" t="s">
        <v>106</v>
      </c>
      <c r="Y833" s="223"/>
      <c r="Z833" s="223"/>
      <c r="AA833" s="223"/>
      <c r="AB833" s="223"/>
      <c r="AC833" s="223"/>
      <c r="AD833" s="224"/>
      <c r="AH833" s="77"/>
    </row>
    <row r="834" spans="1:34" ht="12.75" customHeight="1">
      <c r="A834" s="115"/>
      <c r="F834" s="64" t="s">
        <v>416</v>
      </c>
      <c r="L834" s="246" t="s">
        <v>104</v>
      </c>
      <c r="M834" s="223"/>
      <c r="N834" s="223"/>
      <c r="O834" s="223"/>
      <c r="P834" s="223"/>
      <c r="Q834" s="223"/>
      <c r="R834" s="223"/>
      <c r="S834" s="224"/>
      <c r="T834" s="64" t="s">
        <v>417</v>
      </c>
      <c r="X834" s="246" t="s">
        <v>418</v>
      </c>
      <c r="Y834" s="223"/>
      <c r="Z834" s="223"/>
      <c r="AA834" s="223"/>
      <c r="AB834" s="223"/>
      <c r="AC834" s="223"/>
      <c r="AD834" s="224"/>
      <c r="AH834" s="77"/>
    </row>
    <row r="835" spans="1:34" ht="12.75" customHeight="1">
      <c r="A835" s="115"/>
      <c r="B835" s="117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H835" s="77"/>
    </row>
    <row r="836" spans="1:34" ht="12.75" customHeight="1">
      <c r="A836" s="115"/>
      <c r="B836" s="38" t="s">
        <v>457</v>
      </c>
      <c r="AH836" s="77"/>
    </row>
    <row r="837" spans="1:34" ht="12.75" customHeight="1">
      <c r="A837" s="115"/>
      <c r="B837" s="11" t="s">
        <v>111</v>
      </c>
      <c r="C837" s="64" t="s">
        <v>340</v>
      </c>
      <c r="F837" s="108">
        <v>3</v>
      </c>
      <c r="G837" s="108">
        <v>3</v>
      </c>
      <c r="H837" s="108">
        <v>2</v>
      </c>
      <c r="I837" s="108">
        <v>7</v>
      </c>
      <c r="J837" s="108">
        <v>0</v>
      </c>
      <c r="K837" s="108">
        <v>4</v>
      </c>
      <c r="L837" s="108">
        <v>1</v>
      </c>
      <c r="M837" s="108">
        <v>6</v>
      </c>
      <c r="N837" s="108">
        <v>0</v>
      </c>
      <c r="O837" s="108">
        <v>1</v>
      </c>
      <c r="P837" s="108">
        <v>7</v>
      </c>
      <c r="Q837" s="108">
        <v>5</v>
      </c>
      <c r="R837" s="108">
        <v>0</v>
      </c>
      <c r="S837" s="108">
        <v>0</v>
      </c>
      <c r="T837" s="108">
        <v>0</v>
      </c>
      <c r="U837" s="108">
        <v>5</v>
      </c>
      <c r="V837" s="11"/>
      <c r="W837" s="11"/>
      <c r="X837" s="11"/>
      <c r="Y837" s="11"/>
      <c r="Z837" s="11"/>
      <c r="AA837" s="11"/>
      <c r="AB837" s="11"/>
      <c r="AC837" s="11"/>
      <c r="AD837" s="11"/>
      <c r="AH837" s="77"/>
    </row>
    <row r="838" spans="1:34" ht="12.75" customHeight="1">
      <c r="A838" s="115"/>
      <c r="B838" s="11" t="s">
        <v>115</v>
      </c>
      <c r="C838" s="64" t="s">
        <v>391</v>
      </c>
      <c r="F838" s="78" t="s">
        <v>484</v>
      </c>
      <c r="G838" s="78" t="s">
        <v>464</v>
      </c>
      <c r="H838" s="78" t="s">
        <v>468</v>
      </c>
      <c r="I838" s="78" t="s">
        <v>486</v>
      </c>
      <c r="J838" s="78" t="s">
        <v>477</v>
      </c>
      <c r="K838" s="78" t="s">
        <v>485</v>
      </c>
      <c r="L838" s="78" t="s">
        <v>477</v>
      </c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H838" s="77"/>
    </row>
    <row r="839" spans="1:34" ht="12.75" customHeight="1">
      <c r="A839" s="115"/>
      <c r="B839" s="11" t="s">
        <v>118</v>
      </c>
      <c r="C839" s="64" t="s">
        <v>396</v>
      </c>
      <c r="F839" s="253" t="s">
        <v>397</v>
      </c>
      <c r="G839" s="224"/>
      <c r="H839" s="78">
        <v>1</v>
      </c>
      <c r="I839" s="78">
        <v>6</v>
      </c>
      <c r="J839" s="242" t="s">
        <v>398</v>
      </c>
      <c r="K839" s="243"/>
      <c r="L839" s="244"/>
      <c r="M839" s="78">
        <v>0</v>
      </c>
      <c r="N839" s="78">
        <v>1</v>
      </c>
      <c r="O839" s="242" t="s">
        <v>399</v>
      </c>
      <c r="P839" s="243"/>
      <c r="Q839" s="244"/>
      <c r="R839" s="78">
        <v>1</v>
      </c>
      <c r="S839" s="78">
        <v>9</v>
      </c>
      <c r="T839" s="78">
        <v>7</v>
      </c>
      <c r="U839" s="78">
        <v>5</v>
      </c>
      <c r="V839" s="242" t="s">
        <v>359</v>
      </c>
      <c r="W839" s="243"/>
      <c r="X839" s="244"/>
      <c r="Y839" s="78">
        <v>4</v>
      </c>
      <c r="Z839" s="78">
        <v>7</v>
      </c>
      <c r="AA839" s="78"/>
      <c r="AB839" s="11"/>
      <c r="AC839" s="11"/>
      <c r="AD839" s="11"/>
      <c r="AH839" s="77"/>
    </row>
    <row r="840" spans="1:34" ht="12.75" customHeight="1">
      <c r="A840" s="115"/>
      <c r="B840" s="11" t="s">
        <v>121</v>
      </c>
      <c r="C840" s="64" t="s">
        <v>128</v>
      </c>
      <c r="F840" s="78">
        <v>8</v>
      </c>
      <c r="G840" s="78">
        <v>5</v>
      </c>
      <c r="AH840" s="77"/>
    </row>
    <row r="841" spans="1:34" ht="12.75" customHeight="1">
      <c r="A841" s="115"/>
      <c r="B841" s="11" t="s">
        <v>124</v>
      </c>
      <c r="C841" s="64" t="s">
        <v>345</v>
      </c>
      <c r="F841" s="246" t="s">
        <v>471</v>
      </c>
      <c r="G841" s="223"/>
      <c r="H841" s="223"/>
      <c r="I841" s="223"/>
      <c r="J841" s="223"/>
      <c r="K841" s="223"/>
      <c r="L841" s="223"/>
      <c r="M841" s="223"/>
      <c r="N841" s="223"/>
      <c r="O841" s="223"/>
      <c r="P841" s="223"/>
      <c r="Q841" s="223"/>
      <c r="R841" s="223"/>
      <c r="S841" s="223"/>
      <c r="T841" s="223"/>
      <c r="U841" s="223"/>
      <c r="V841" s="223"/>
      <c r="W841" s="223"/>
      <c r="X841" s="223"/>
      <c r="Y841" s="223"/>
      <c r="Z841" s="223"/>
      <c r="AA841" s="223"/>
      <c r="AB841" s="223"/>
      <c r="AC841" s="223"/>
      <c r="AD841" s="224"/>
      <c r="AH841" s="77"/>
    </row>
    <row r="842" spans="1:34" ht="12.75" customHeight="1">
      <c r="A842" s="115"/>
      <c r="F842" s="64" t="s">
        <v>414</v>
      </c>
      <c r="L842" s="246" t="s">
        <v>102</v>
      </c>
      <c r="M842" s="223"/>
      <c r="N842" s="223"/>
      <c r="O842" s="223"/>
      <c r="P842" s="223"/>
      <c r="Q842" s="223"/>
      <c r="R842" s="223"/>
      <c r="S842" s="224"/>
      <c r="T842" s="64" t="s">
        <v>415</v>
      </c>
      <c r="X842" s="246" t="s">
        <v>106</v>
      </c>
      <c r="Y842" s="223"/>
      <c r="Z842" s="223"/>
      <c r="AA842" s="223"/>
      <c r="AB842" s="223"/>
      <c r="AC842" s="223"/>
      <c r="AD842" s="224"/>
      <c r="AH842" s="77"/>
    </row>
    <row r="843" spans="1:34" ht="12.75" customHeight="1">
      <c r="A843" s="115"/>
      <c r="F843" s="64" t="s">
        <v>416</v>
      </c>
      <c r="L843" s="246" t="s">
        <v>104</v>
      </c>
      <c r="M843" s="223"/>
      <c r="N843" s="223"/>
      <c r="O843" s="223"/>
      <c r="P843" s="223"/>
      <c r="Q843" s="223"/>
      <c r="R843" s="223"/>
      <c r="S843" s="224"/>
      <c r="T843" s="64" t="s">
        <v>417</v>
      </c>
      <c r="X843" s="246" t="s">
        <v>418</v>
      </c>
      <c r="Y843" s="223"/>
      <c r="Z843" s="223"/>
      <c r="AA843" s="223"/>
      <c r="AB843" s="223"/>
      <c r="AC843" s="223"/>
      <c r="AD843" s="224"/>
      <c r="AH843" s="77"/>
    </row>
    <row r="844" spans="1:34" ht="12.75" customHeight="1">
      <c r="A844" s="115"/>
      <c r="B844" s="117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H844" s="77"/>
    </row>
    <row r="845" spans="1:34" ht="12.75" customHeight="1">
      <c r="A845" s="115"/>
      <c r="B845" s="64" t="s">
        <v>472</v>
      </c>
      <c r="AH845" s="77"/>
    </row>
    <row r="846" spans="1:34" ht="12.75" customHeight="1">
      <c r="A846" s="115"/>
      <c r="B846" s="11" t="s">
        <v>111</v>
      </c>
      <c r="C846" s="64" t="s">
        <v>340</v>
      </c>
      <c r="F846" s="108">
        <v>3</v>
      </c>
      <c r="G846" s="108">
        <v>3</v>
      </c>
      <c r="H846" s="108">
        <v>2</v>
      </c>
      <c r="I846" s="108">
        <v>7</v>
      </c>
      <c r="J846" s="108">
        <v>0</v>
      </c>
      <c r="K846" s="108">
        <v>4</v>
      </c>
      <c r="L846" s="108">
        <v>1</v>
      </c>
      <c r="M846" s="108">
        <v>5</v>
      </c>
      <c r="N846" s="108" t="s">
        <v>477</v>
      </c>
      <c r="O846" s="108">
        <v>2</v>
      </c>
      <c r="P846" s="108">
        <v>7</v>
      </c>
      <c r="Q846" s="108">
        <v>9</v>
      </c>
      <c r="R846" s="108">
        <v>0</v>
      </c>
      <c r="S846" s="108">
        <v>0</v>
      </c>
      <c r="T846" s="108">
        <v>0</v>
      </c>
      <c r="U846" s="108">
        <v>4</v>
      </c>
      <c r="V846" s="11"/>
      <c r="W846" s="11"/>
      <c r="X846" s="11"/>
      <c r="Y846" s="11"/>
      <c r="Z846" s="11"/>
      <c r="AA846" s="11"/>
      <c r="AB846" s="11"/>
      <c r="AC846" s="11"/>
      <c r="AD846" s="11"/>
      <c r="AH846" s="77"/>
    </row>
    <row r="847" spans="1:34" ht="12.75" customHeight="1">
      <c r="A847" s="115"/>
      <c r="B847" s="11" t="s">
        <v>115</v>
      </c>
      <c r="C847" s="64" t="s">
        <v>391</v>
      </c>
      <c r="F847" s="108" t="s">
        <v>491</v>
      </c>
      <c r="G847" s="108" t="s">
        <v>467</v>
      </c>
      <c r="H847" s="108" t="s">
        <v>474</v>
      </c>
      <c r="I847" s="108" t="s">
        <v>469</v>
      </c>
      <c r="J847" s="108"/>
      <c r="K847" s="108" t="s">
        <v>484</v>
      </c>
      <c r="L847" s="108" t="s">
        <v>464</v>
      </c>
      <c r="M847" s="108" t="s">
        <v>485</v>
      </c>
      <c r="N847" s="108" t="s">
        <v>476</v>
      </c>
      <c r="O847" s="109" t="s">
        <v>477</v>
      </c>
      <c r="P847" s="109" t="s">
        <v>484</v>
      </c>
      <c r="Q847" s="109" t="s">
        <v>477</v>
      </c>
      <c r="R847" s="109"/>
      <c r="S847" s="109"/>
      <c r="T847" s="109"/>
      <c r="U847" s="109"/>
      <c r="V847" s="78"/>
      <c r="W847" s="78"/>
      <c r="X847" s="78"/>
      <c r="Y847" s="78"/>
      <c r="Z847" s="78"/>
      <c r="AA847" s="78"/>
      <c r="AB847" s="78"/>
      <c r="AC847" s="78"/>
      <c r="AD847" s="78"/>
      <c r="AH847" s="77"/>
    </row>
    <row r="848" spans="1:34" ht="12.75" customHeight="1">
      <c r="A848" s="115"/>
      <c r="B848" s="11" t="s">
        <v>118</v>
      </c>
      <c r="C848" s="64" t="s">
        <v>396</v>
      </c>
      <c r="F848" s="225" t="s">
        <v>397</v>
      </c>
      <c r="G848" s="239"/>
      <c r="H848" s="78">
        <v>1</v>
      </c>
      <c r="I848" s="78">
        <v>5</v>
      </c>
      <c r="J848" s="240" t="s">
        <v>398</v>
      </c>
      <c r="K848" s="194"/>
      <c r="L848" s="239"/>
      <c r="M848" s="78">
        <v>0</v>
      </c>
      <c r="N848" s="78">
        <v>2</v>
      </c>
      <c r="O848" s="240" t="s">
        <v>399</v>
      </c>
      <c r="P848" s="194"/>
      <c r="Q848" s="239"/>
      <c r="R848" s="78">
        <v>1</v>
      </c>
      <c r="S848" s="78">
        <v>9</v>
      </c>
      <c r="T848" s="78">
        <v>7</v>
      </c>
      <c r="U848" s="78">
        <v>9</v>
      </c>
      <c r="V848" s="240" t="s">
        <v>359</v>
      </c>
      <c r="W848" s="194"/>
      <c r="X848" s="239"/>
      <c r="Y848" s="78">
        <v>4</v>
      </c>
      <c r="Z848" s="78">
        <v>2</v>
      </c>
      <c r="AA848" s="78"/>
      <c r="AB848" s="11"/>
      <c r="AC848" s="11"/>
      <c r="AD848" s="11"/>
      <c r="AH848" s="77"/>
    </row>
    <row r="849" spans="1:34" ht="12.75" customHeight="1">
      <c r="A849" s="115"/>
      <c r="B849" s="11" t="s">
        <v>121</v>
      </c>
      <c r="C849" s="64" t="s">
        <v>128</v>
      </c>
      <c r="F849" s="78">
        <v>8</v>
      </c>
      <c r="G849" s="78">
        <v>5</v>
      </c>
      <c r="AH849" s="77"/>
    </row>
    <row r="850" spans="1:34" ht="12.75" customHeight="1">
      <c r="A850" s="115"/>
      <c r="B850" s="11" t="s">
        <v>124</v>
      </c>
      <c r="C850" s="64" t="s">
        <v>345</v>
      </c>
      <c r="F850" s="246" t="s">
        <v>492</v>
      </c>
      <c r="G850" s="223"/>
      <c r="H850" s="223"/>
      <c r="I850" s="223"/>
      <c r="J850" s="223"/>
      <c r="K850" s="223"/>
      <c r="L850" s="223"/>
      <c r="M850" s="223"/>
      <c r="N850" s="223"/>
      <c r="O850" s="223"/>
      <c r="P850" s="223"/>
      <c r="Q850" s="223"/>
      <c r="R850" s="223"/>
      <c r="S850" s="223"/>
      <c r="T850" s="223"/>
      <c r="U850" s="223"/>
      <c r="V850" s="223"/>
      <c r="W850" s="223"/>
      <c r="X850" s="223"/>
      <c r="Y850" s="223"/>
      <c r="Z850" s="223"/>
      <c r="AA850" s="223"/>
      <c r="AB850" s="223"/>
      <c r="AC850" s="223"/>
      <c r="AD850" s="224"/>
      <c r="AH850" s="77"/>
    </row>
    <row r="851" spans="1:34" ht="12.75" customHeight="1">
      <c r="A851" s="115"/>
      <c r="F851" s="64" t="s">
        <v>414</v>
      </c>
      <c r="L851" s="246" t="s">
        <v>102</v>
      </c>
      <c r="M851" s="223"/>
      <c r="N851" s="223"/>
      <c r="O851" s="223"/>
      <c r="P851" s="223"/>
      <c r="Q851" s="223"/>
      <c r="R851" s="223"/>
      <c r="S851" s="224"/>
      <c r="T851" s="64" t="s">
        <v>415</v>
      </c>
      <c r="X851" s="246" t="s">
        <v>106</v>
      </c>
      <c r="Y851" s="223"/>
      <c r="Z851" s="223"/>
      <c r="AA851" s="223"/>
      <c r="AB851" s="223"/>
      <c r="AC851" s="223"/>
      <c r="AD851" s="224"/>
      <c r="AH851" s="77"/>
    </row>
    <row r="852" spans="1:34" ht="12.75" customHeight="1">
      <c r="A852" s="115"/>
      <c r="F852" s="64" t="s">
        <v>416</v>
      </c>
      <c r="L852" s="246" t="s">
        <v>104</v>
      </c>
      <c r="M852" s="223"/>
      <c r="N852" s="223"/>
      <c r="O852" s="223"/>
      <c r="P852" s="223"/>
      <c r="Q852" s="223"/>
      <c r="R852" s="223"/>
      <c r="S852" s="224"/>
      <c r="T852" s="64" t="s">
        <v>417</v>
      </c>
      <c r="X852" s="246" t="s">
        <v>418</v>
      </c>
      <c r="Y852" s="223"/>
      <c r="Z852" s="223"/>
      <c r="AA852" s="223"/>
      <c r="AB852" s="223"/>
      <c r="AC852" s="223"/>
      <c r="AD852" s="224"/>
      <c r="AH852" s="77"/>
    </row>
    <row r="853" spans="1:34" ht="12.75" customHeight="1">
      <c r="A853" s="115"/>
      <c r="B853" s="119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  <c r="AA853" s="114"/>
      <c r="AB853" s="114"/>
      <c r="AC853" s="114"/>
      <c r="AD853" s="114"/>
      <c r="AH853" s="77"/>
    </row>
    <row r="854" spans="1:34" ht="12.75" customHeight="1">
      <c r="AH854" s="77"/>
    </row>
    <row r="855" spans="1:34" ht="12.75" customHeight="1">
      <c r="U855" s="3" t="s">
        <v>516</v>
      </c>
      <c r="AH855" s="77"/>
    </row>
    <row r="856" spans="1:34" ht="12.75" customHeight="1">
      <c r="C856" s="225" t="s">
        <v>480</v>
      </c>
      <c r="D856" s="194"/>
      <c r="E856" s="194"/>
      <c r="F856" s="194"/>
      <c r="G856" s="194"/>
      <c r="AH856" s="77"/>
    </row>
    <row r="857" spans="1:34" ht="12.75" customHeight="1">
      <c r="C857" s="225" t="s">
        <v>494</v>
      </c>
      <c r="D857" s="194"/>
      <c r="E857" s="194"/>
      <c r="F857" s="194"/>
      <c r="G857" s="194"/>
      <c r="W857" s="64" t="s">
        <v>481</v>
      </c>
      <c r="AH857" s="77"/>
    </row>
    <row r="858" spans="1:34" ht="12.75" customHeight="1">
      <c r="C858" s="225" t="s">
        <v>365</v>
      </c>
      <c r="D858" s="194"/>
      <c r="E858" s="194"/>
      <c r="F858" s="194"/>
      <c r="G858" s="194"/>
      <c r="AH858" s="77"/>
    </row>
    <row r="859" spans="1:34" ht="12.75" customHeight="1">
      <c r="C859" s="11"/>
      <c r="D859" s="11"/>
      <c r="E859" s="11"/>
      <c r="F859" s="11"/>
      <c r="G859" s="11"/>
      <c r="AH859" s="77"/>
    </row>
    <row r="860" spans="1:34" ht="12.75" customHeight="1">
      <c r="AH860" s="77"/>
    </row>
    <row r="861" spans="1:34" ht="12.75" customHeight="1">
      <c r="AH861" s="77"/>
    </row>
    <row r="862" spans="1:34" ht="12.75" customHeight="1">
      <c r="C862" s="225" t="s">
        <v>366</v>
      </c>
      <c r="D862" s="194"/>
      <c r="E862" s="194"/>
      <c r="F862" s="194"/>
      <c r="G862" s="194"/>
      <c r="W862" s="3" t="s">
        <v>517</v>
      </c>
      <c r="AH862" s="77"/>
    </row>
    <row r="863" spans="1:34" ht="12.75" customHeight="1">
      <c r="AH863" s="77"/>
    </row>
    <row r="864" spans="1:34" ht="12.75" customHeight="1">
      <c r="Y864" s="114"/>
      <c r="Z864" s="114"/>
      <c r="AA864" s="114"/>
      <c r="AB864" s="114"/>
      <c r="AC864" s="114"/>
      <c r="AH864" s="77"/>
    </row>
    <row r="865" spans="1:34" ht="12.75" customHeight="1">
      <c r="Y865" s="235" t="s">
        <v>368</v>
      </c>
      <c r="Z865" s="236"/>
      <c r="AA865" s="236"/>
      <c r="AB865" s="236"/>
      <c r="AC865" s="237"/>
      <c r="AH865" s="77"/>
    </row>
    <row r="866" spans="1:34" ht="12.75" customHeight="1">
      <c r="AH866" s="77"/>
    </row>
    <row r="867" spans="1:34" ht="12.75" customHeight="1">
      <c r="B867" s="64" t="s">
        <v>369</v>
      </c>
      <c r="D867" s="11" t="s">
        <v>10</v>
      </c>
      <c r="F867" s="64" t="s">
        <v>370</v>
      </c>
      <c r="P867" s="64" t="s">
        <v>371</v>
      </c>
      <c r="R867" s="11" t="s">
        <v>10</v>
      </c>
      <c r="S867" s="64" t="s">
        <v>372</v>
      </c>
      <c r="V867" s="11" t="s">
        <v>10</v>
      </c>
      <c r="W867" s="64" t="s">
        <v>373</v>
      </c>
      <c r="AH867" s="77"/>
    </row>
    <row r="868" spans="1:34" ht="12.75" customHeight="1">
      <c r="B868" s="64" t="s">
        <v>331</v>
      </c>
      <c r="D868" s="11" t="s">
        <v>10</v>
      </c>
      <c r="F868" s="64" t="s">
        <v>374</v>
      </c>
      <c r="S868" s="64" t="s">
        <v>375</v>
      </c>
      <c r="V868" s="11" t="s">
        <v>10</v>
      </c>
      <c r="W868" s="64" t="s">
        <v>376</v>
      </c>
      <c r="AH868" s="77"/>
    </row>
    <row r="869" spans="1:34" ht="12.75" customHeight="1">
      <c r="B869" s="64" t="s">
        <v>377</v>
      </c>
      <c r="D869" s="11" t="s">
        <v>10</v>
      </c>
      <c r="F869" s="64" t="s">
        <v>378</v>
      </c>
      <c r="P869" s="62"/>
      <c r="S869" s="64" t="s">
        <v>379</v>
      </c>
      <c r="V869" s="11" t="s">
        <v>10</v>
      </c>
      <c r="W869" s="64" t="s">
        <v>380</v>
      </c>
      <c r="AH869" s="77"/>
    </row>
    <row r="870" spans="1:34" ht="12.75" customHeight="1">
      <c r="B870" s="64" t="s">
        <v>381</v>
      </c>
      <c r="D870" s="11" t="s">
        <v>10</v>
      </c>
      <c r="F870" s="78">
        <v>3</v>
      </c>
      <c r="G870" s="78">
        <v>3</v>
      </c>
      <c r="H870" s="78">
        <v>2</v>
      </c>
      <c r="I870" s="78">
        <v>7</v>
      </c>
      <c r="J870" s="78">
        <v>0</v>
      </c>
      <c r="K870" s="78">
        <v>4</v>
      </c>
      <c r="L870" s="78">
        <v>0</v>
      </c>
      <c r="M870" s="78">
        <v>2</v>
      </c>
      <c r="N870" s="78">
        <v>0</v>
      </c>
      <c r="O870" s="78">
        <v>2</v>
      </c>
      <c r="P870" s="11">
        <v>2</v>
      </c>
      <c r="Q870" s="79"/>
      <c r="S870" s="64" t="s">
        <v>382</v>
      </c>
      <c r="V870" s="11" t="s">
        <v>10</v>
      </c>
      <c r="W870" s="64" t="s">
        <v>383</v>
      </c>
      <c r="AH870" s="77"/>
    </row>
    <row r="871" spans="1:34" ht="12.75" customHeight="1">
      <c r="P871" s="59"/>
      <c r="AH871" s="77"/>
    </row>
    <row r="872" spans="1:34" ht="12.75" customHeight="1">
      <c r="B872" s="196" t="s">
        <v>334</v>
      </c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4"/>
      <c r="X872" s="194"/>
      <c r="Y872" s="194"/>
      <c r="Z872" s="194"/>
      <c r="AA872" s="194"/>
      <c r="AB872" s="194"/>
      <c r="AC872" s="194"/>
      <c r="AD872" s="194"/>
      <c r="AH872" s="77"/>
    </row>
    <row r="873" spans="1:34" ht="12.75" customHeight="1">
      <c r="B873" s="225" t="s">
        <v>518</v>
      </c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4"/>
      <c r="X873" s="194"/>
      <c r="Y873" s="194"/>
      <c r="Z873" s="194"/>
      <c r="AA873" s="194"/>
      <c r="AB873" s="194"/>
      <c r="AC873" s="194"/>
      <c r="AD873" s="194"/>
      <c r="AH873" s="77"/>
    </row>
    <row r="874" spans="1:34" ht="12.75" customHeight="1">
      <c r="AH874" s="77"/>
    </row>
    <row r="875" spans="1:34" ht="12.75" customHeight="1">
      <c r="B875" s="64" t="s">
        <v>385</v>
      </c>
      <c r="D875" s="11" t="s">
        <v>10</v>
      </c>
      <c r="F875" s="78" t="s">
        <v>484</v>
      </c>
      <c r="G875" s="78" t="s">
        <v>477</v>
      </c>
      <c r="H875" s="78" t="s">
        <v>487</v>
      </c>
      <c r="I875" s="78" t="s">
        <v>464</v>
      </c>
      <c r="J875" s="78" t="s">
        <v>468</v>
      </c>
      <c r="K875" s="78" t="s">
        <v>469</v>
      </c>
      <c r="L875" s="78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  <c r="AC875" s="91"/>
      <c r="AD875" s="91"/>
      <c r="AH875" s="77"/>
    </row>
    <row r="876" spans="1:34" ht="12.75" customHeight="1">
      <c r="B876" s="64" t="s">
        <v>387</v>
      </c>
      <c r="D876" s="11" t="s">
        <v>10</v>
      </c>
      <c r="F876" s="78">
        <v>3</v>
      </c>
      <c r="G876" s="78">
        <v>3</v>
      </c>
      <c r="H876" s="78">
        <v>2</v>
      </c>
      <c r="I876" s="78">
        <v>7</v>
      </c>
      <c r="J876" s="78">
        <v>0</v>
      </c>
      <c r="K876" s="78">
        <v>4</v>
      </c>
      <c r="L876" s="78">
        <v>2</v>
      </c>
      <c r="M876" s="78">
        <v>1</v>
      </c>
      <c r="N876" s="78">
        <v>0</v>
      </c>
      <c r="O876" s="78">
        <v>8</v>
      </c>
      <c r="P876" s="78">
        <v>1</v>
      </c>
      <c r="Q876" s="78">
        <v>8</v>
      </c>
      <c r="R876" s="78">
        <v>0</v>
      </c>
      <c r="S876" s="78">
        <v>0</v>
      </c>
      <c r="T876" s="78">
        <v>1</v>
      </c>
      <c r="U876" s="78">
        <v>0</v>
      </c>
      <c r="V876" s="91"/>
      <c r="W876" s="91"/>
      <c r="X876" s="91"/>
      <c r="Y876" s="91"/>
      <c r="AH876" s="77"/>
    </row>
    <row r="877" spans="1:34" ht="12.75" customHeight="1"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  <c r="AA877" s="114"/>
      <c r="AB877" s="114"/>
      <c r="AC877" s="114"/>
      <c r="AD877" s="114"/>
      <c r="AE877" s="114"/>
      <c r="AH877" s="77"/>
    </row>
    <row r="878" spans="1:34" ht="12.75" customHeight="1">
      <c r="A878" s="115"/>
      <c r="B878" s="38" t="s">
        <v>389</v>
      </c>
      <c r="AE878" s="116"/>
      <c r="AH878" s="77"/>
    </row>
    <row r="879" spans="1:34" ht="12.75" customHeight="1">
      <c r="A879" s="115"/>
      <c r="B879" s="11" t="s">
        <v>111</v>
      </c>
      <c r="C879" s="64" t="s">
        <v>340</v>
      </c>
      <c r="D879" s="11" t="s">
        <v>10</v>
      </c>
      <c r="F879" s="95">
        <v>3</v>
      </c>
      <c r="G879" s="95">
        <v>3</v>
      </c>
      <c r="H879" s="95">
        <v>2</v>
      </c>
      <c r="I879" s="95">
        <v>7</v>
      </c>
      <c r="J879" s="95">
        <v>0</v>
      </c>
      <c r="K879" s="95">
        <v>4</v>
      </c>
      <c r="L879" s="95">
        <v>4</v>
      </c>
      <c r="M879" s="95">
        <v>1</v>
      </c>
      <c r="N879" s="95">
        <v>0</v>
      </c>
      <c r="O879" s="95">
        <v>7</v>
      </c>
      <c r="P879" s="95">
        <v>7</v>
      </c>
      <c r="Q879" s="95">
        <v>5</v>
      </c>
      <c r="R879" s="95">
        <v>0</v>
      </c>
      <c r="S879" s="95">
        <v>2</v>
      </c>
      <c r="T879" s="95">
        <v>1</v>
      </c>
      <c r="U879" s="95">
        <v>6</v>
      </c>
      <c r="AE879" s="115"/>
      <c r="AH879" s="77"/>
    </row>
    <row r="880" spans="1:34" ht="12.75" customHeight="1">
      <c r="A880" s="115"/>
      <c r="B880" s="11" t="s">
        <v>115</v>
      </c>
      <c r="C880" s="64" t="s">
        <v>391</v>
      </c>
      <c r="D880" s="11" t="s">
        <v>10</v>
      </c>
      <c r="F880" s="78" t="s">
        <v>498</v>
      </c>
      <c r="G880" s="78" t="s">
        <v>464</v>
      </c>
      <c r="H880" s="78" t="s">
        <v>484</v>
      </c>
      <c r="I880" s="78" t="s">
        <v>468</v>
      </c>
      <c r="J880" s="78" t="s">
        <v>469</v>
      </c>
      <c r="K880" s="78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  <c r="AC880" s="91"/>
      <c r="AD880" s="91"/>
      <c r="AE880" s="115"/>
      <c r="AH880" s="77"/>
    </row>
    <row r="881" spans="1:34" ht="12.75" customHeight="1">
      <c r="A881" s="115"/>
      <c r="B881" s="11" t="s">
        <v>118</v>
      </c>
      <c r="C881" s="64" t="s">
        <v>285</v>
      </c>
      <c r="D881" s="11" t="s">
        <v>10</v>
      </c>
      <c r="F881" s="78">
        <v>2</v>
      </c>
      <c r="G881" s="64" t="s">
        <v>393</v>
      </c>
      <c r="M881" s="55"/>
      <c r="N881" s="64" t="s">
        <v>394</v>
      </c>
      <c r="AE881" s="115"/>
      <c r="AH881" s="77"/>
    </row>
    <row r="882" spans="1:34" ht="12.75" customHeight="1">
      <c r="A882" s="115"/>
      <c r="B882" s="11" t="s">
        <v>121</v>
      </c>
      <c r="C882" s="64" t="s">
        <v>396</v>
      </c>
      <c r="D882" s="11" t="s">
        <v>10</v>
      </c>
      <c r="F882" s="225" t="s">
        <v>397</v>
      </c>
      <c r="G882" s="239"/>
      <c r="H882" s="95">
        <v>0</v>
      </c>
      <c r="I882" s="95">
        <v>1</v>
      </c>
      <c r="J882" s="240" t="s">
        <v>398</v>
      </c>
      <c r="K882" s="194"/>
      <c r="L882" s="239"/>
      <c r="M882" s="95">
        <v>0</v>
      </c>
      <c r="N882" s="95">
        <v>7</v>
      </c>
      <c r="O882" s="240" t="s">
        <v>399</v>
      </c>
      <c r="P882" s="194"/>
      <c r="Q882" s="239"/>
      <c r="R882" s="78">
        <v>1</v>
      </c>
      <c r="S882" s="78">
        <v>9</v>
      </c>
      <c r="T882" s="78">
        <v>7</v>
      </c>
      <c r="U882" s="78">
        <v>5</v>
      </c>
      <c r="V882" s="240" t="s">
        <v>359</v>
      </c>
      <c r="W882" s="194"/>
      <c r="X882" s="239"/>
      <c r="Y882" s="78">
        <v>4</v>
      </c>
      <c r="Z882" s="78">
        <v>7</v>
      </c>
      <c r="AA882" s="91"/>
      <c r="AE882" s="115"/>
      <c r="AH882" s="77"/>
    </row>
    <row r="883" spans="1:34" ht="12.75" customHeight="1">
      <c r="A883" s="115"/>
      <c r="B883" s="11" t="s">
        <v>124</v>
      </c>
      <c r="C883" s="64" t="s">
        <v>403</v>
      </c>
      <c r="D883" s="11" t="s">
        <v>10</v>
      </c>
      <c r="F883" s="78" t="s">
        <v>487</v>
      </c>
      <c r="G883" s="78" t="s">
        <v>488</v>
      </c>
      <c r="H883" s="78" t="s">
        <v>475</v>
      </c>
      <c r="I883" s="78" t="s">
        <v>464</v>
      </c>
      <c r="J883" s="78" t="s">
        <v>474</v>
      </c>
      <c r="K883" s="78" t="s">
        <v>464</v>
      </c>
      <c r="L883" s="78" t="s">
        <v>485</v>
      </c>
      <c r="M883" s="78" t="s">
        <v>489</v>
      </c>
      <c r="N883" s="78"/>
      <c r="O883" s="78"/>
      <c r="P883" s="78"/>
      <c r="Q883" s="78"/>
      <c r="R883" s="242" t="s">
        <v>404</v>
      </c>
      <c r="S883" s="243"/>
      <c r="T883" s="243"/>
      <c r="U883" s="244"/>
      <c r="V883" s="78">
        <v>3</v>
      </c>
      <c r="W883" s="78">
        <v>3</v>
      </c>
      <c r="X883" s="240" t="s">
        <v>405</v>
      </c>
      <c r="Y883" s="194"/>
      <c r="Z883" s="194"/>
      <c r="AA883" s="239"/>
      <c r="AB883" s="78">
        <v>2</v>
      </c>
      <c r="AC883" s="78">
        <v>7</v>
      </c>
      <c r="AE883" s="115"/>
      <c r="AH883" s="77"/>
    </row>
    <row r="884" spans="1:34" ht="12.75" customHeight="1">
      <c r="A884" s="115"/>
      <c r="B884" s="11" t="s">
        <v>127</v>
      </c>
      <c r="C884" s="64" t="s">
        <v>125</v>
      </c>
      <c r="D884" s="11" t="s">
        <v>10</v>
      </c>
      <c r="F884" s="55">
        <v>1</v>
      </c>
      <c r="G884" s="64" t="s">
        <v>406</v>
      </c>
      <c r="K884" s="64" t="s">
        <v>407</v>
      </c>
      <c r="O884" s="64" t="s">
        <v>408</v>
      </c>
      <c r="S884" s="64" t="s">
        <v>409</v>
      </c>
      <c r="W884" s="64" t="s">
        <v>410</v>
      </c>
      <c r="Z884" s="64" t="s">
        <v>411</v>
      </c>
      <c r="AE884" s="115"/>
      <c r="AH884" s="77"/>
    </row>
    <row r="885" spans="1:34" ht="12.75" customHeight="1">
      <c r="A885" s="115"/>
      <c r="B885" s="11" t="s">
        <v>130</v>
      </c>
      <c r="C885" s="64" t="s">
        <v>128</v>
      </c>
      <c r="D885" s="11" t="s">
        <v>10</v>
      </c>
      <c r="F885" s="95">
        <v>0</v>
      </c>
      <c r="G885" s="95">
        <v>2</v>
      </c>
      <c r="AE885" s="115"/>
      <c r="AH885" s="77"/>
    </row>
    <row r="886" spans="1:34" ht="12.75" customHeight="1">
      <c r="A886" s="115"/>
      <c r="B886" s="11" t="s">
        <v>134</v>
      </c>
      <c r="C886" s="64" t="s">
        <v>345</v>
      </c>
      <c r="D886" s="11" t="s">
        <v>10</v>
      </c>
      <c r="F886" s="246" t="s">
        <v>519</v>
      </c>
      <c r="G886" s="223"/>
      <c r="H886" s="223"/>
      <c r="I886" s="223"/>
      <c r="J886" s="223"/>
      <c r="K886" s="223"/>
      <c r="L886" s="223"/>
      <c r="M886" s="223"/>
      <c r="N886" s="223"/>
      <c r="O886" s="223"/>
      <c r="P886" s="223"/>
      <c r="Q886" s="223"/>
      <c r="R886" s="223"/>
      <c r="S886" s="223"/>
      <c r="T886" s="223"/>
      <c r="U886" s="223"/>
      <c r="V886" s="223"/>
      <c r="W886" s="223"/>
      <c r="X886" s="223"/>
      <c r="Y886" s="223"/>
      <c r="Z886" s="223"/>
      <c r="AA886" s="223"/>
      <c r="AB886" s="223"/>
      <c r="AC886" s="223"/>
      <c r="AD886" s="224"/>
      <c r="AE886" s="115"/>
      <c r="AH886" s="77"/>
    </row>
    <row r="887" spans="1:34" ht="12.75" customHeight="1">
      <c r="A887" s="115"/>
      <c r="B887" s="11"/>
      <c r="F887" s="64" t="s">
        <v>414</v>
      </c>
      <c r="L887" s="246" t="s">
        <v>102</v>
      </c>
      <c r="M887" s="223"/>
      <c r="N887" s="223"/>
      <c r="O887" s="223"/>
      <c r="P887" s="223"/>
      <c r="Q887" s="223"/>
      <c r="R887" s="223"/>
      <c r="S887" s="224"/>
      <c r="T887" s="64" t="s">
        <v>415</v>
      </c>
      <c r="X887" s="246" t="s">
        <v>106</v>
      </c>
      <c r="Y887" s="223"/>
      <c r="Z887" s="223"/>
      <c r="AA887" s="223"/>
      <c r="AB887" s="223"/>
      <c r="AC887" s="223"/>
      <c r="AD887" s="224"/>
      <c r="AE887" s="115"/>
      <c r="AH887" s="77"/>
    </row>
    <row r="888" spans="1:34" ht="12.75" customHeight="1">
      <c r="A888" s="115"/>
      <c r="B888" s="11"/>
      <c r="F888" s="64" t="s">
        <v>416</v>
      </c>
      <c r="L888" s="246" t="s">
        <v>104</v>
      </c>
      <c r="M888" s="223"/>
      <c r="N888" s="223"/>
      <c r="O888" s="223"/>
      <c r="P888" s="223"/>
      <c r="Q888" s="223"/>
      <c r="R888" s="223"/>
      <c r="S888" s="224"/>
      <c r="T888" s="64" t="s">
        <v>417</v>
      </c>
      <c r="X888" s="246" t="s">
        <v>418</v>
      </c>
      <c r="Y888" s="223"/>
      <c r="Z888" s="223"/>
      <c r="AA888" s="223"/>
      <c r="AB888" s="223"/>
      <c r="AC888" s="223"/>
      <c r="AD888" s="224"/>
      <c r="AE888" s="115"/>
      <c r="AH888" s="77"/>
    </row>
    <row r="889" spans="1:34" ht="12.75" customHeight="1">
      <c r="A889" s="115"/>
      <c r="B889" s="11" t="s">
        <v>137</v>
      </c>
      <c r="C889" s="64" t="s">
        <v>419</v>
      </c>
      <c r="D889" s="11" t="s">
        <v>10</v>
      </c>
      <c r="F889" s="91">
        <v>3</v>
      </c>
      <c r="G889" s="64" t="s">
        <v>111</v>
      </c>
      <c r="J889" s="64" t="s">
        <v>115</v>
      </c>
      <c r="M889" s="64" t="s">
        <v>118</v>
      </c>
      <c r="P889" s="64" t="s">
        <v>420</v>
      </c>
      <c r="AE889" s="115"/>
      <c r="AH889" s="77"/>
    </row>
    <row r="890" spans="1:34" ht="12.75" customHeight="1">
      <c r="A890" s="115"/>
      <c r="B890" s="11" t="s">
        <v>145</v>
      </c>
      <c r="C890" s="64" t="s">
        <v>421</v>
      </c>
      <c r="D890" s="11" t="s">
        <v>10</v>
      </c>
      <c r="F890" s="225" t="s">
        <v>397</v>
      </c>
      <c r="G890" s="194"/>
      <c r="H890" s="95">
        <v>2</v>
      </c>
      <c r="I890" s="95">
        <v>1</v>
      </c>
      <c r="J890" s="240" t="s">
        <v>422</v>
      </c>
      <c r="K890" s="194"/>
      <c r="L890" s="194"/>
      <c r="M890" s="78">
        <v>0</v>
      </c>
      <c r="N890" s="78">
        <v>2</v>
      </c>
      <c r="O890" s="240" t="s">
        <v>399</v>
      </c>
      <c r="P890" s="194"/>
      <c r="Q890" s="194"/>
      <c r="R890" s="78">
        <v>2</v>
      </c>
      <c r="S890" s="78">
        <v>0</v>
      </c>
      <c r="T890" s="78">
        <v>2</v>
      </c>
      <c r="U890" s="78">
        <v>1</v>
      </c>
      <c r="V890" s="11"/>
      <c r="AE890" s="115"/>
      <c r="AH890" s="77"/>
    </row>
    <row r="891" spans="1:34" ht="12.75" customHeight="1">
      <c r="A891" s="115"/>
      <c r="B891" s="11" t="s">
        <v>424</v>
      </c>
      <c r="C891" s="64" t="s">
        <v>425</v>
      </c>
      <c r="D891" s="11" t="s">
        <v>10</v>
      </c>
      <c r="F891" s="91">
        <v>2</v>
      </c>
      <c r="G891" s="91">
        <v>0</v>
      </c>
      <c r="H891" s="91">
        <v>0</v>
      </c>
      <c r="I891" s="91">
        <v>0</v>
      </c>
      <c r="AE891" s="115"/>
      <c r="AH891" s="77"/>
    </row>
    <row r="892" spans="1:34" ht="12.75" customHeight="1">
      <c r="A892" s="115"/>
      <c r="B892" s="11" t="s">
        <v>427</v>
      </c>
      <c r="C892" s="64" t="s">
        <v>428</v>
      </c>
      <c r="D892" s="11" t="s">
        <v>10</v>
      </c>
      <c r="F892" s="91">
        <v>1</v>
      </c>
      <c r="G892" s="64" t="s">
        <v>429</v>
      </c>
      <c r="P892" s="64" t="s">
        <v>430</v>
      </c>
      <c r="X892" s="64" t="s">
        <v>431</v>
      </c>
      <c r="AE892" s="115"/>
      <c r="AH892" s="77"/>
    </row>
    <row r="893" spans="1:34" ht="12.75" customHeight="1">
      <c r="A893" s="115"/>
      <c r="B893" s="11"/>
      <c r="D893" s="11"/>
      <c r="G893" s="64" t="s">
        <v>432</v>
      </c>
      <c r="P893" s="64" t="s">
        <v>433</v>
      </c>
      <c r="X893" s="64" t="s">
        <v>411</v>
      </c>
      <c r="AE893" s="115"/>
      <c r="AH893" s="77"/>
    </row>
    <row r="894" spans="1:34" ht="12.75" customHeight="1">
      <c r="A894" s="115"/>
      <c r="B894" s="11" t="s">
        <v>434</v>
      </c>
      <c r="C894" s="64" t="s">
        <v>435</v>
      </c>
      <c r="D894" s="11" t="s">
        <v>10</v>
      </c>
      <c r="F894" s="78" t="s">
        <v>468</v>
      </c>
      <c r="G894" s="78" t="s">
        <v>467</v>
      </c>
      <c r="H894" s="78" t="s">
        <v>475</v>
      </c>
      <c r="I894" s="78" t="s">
        <v>464</v>
      </c>
      <c r="J894" s="78" t="s">
        <v>466</v>
      </c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AE894" s="115"/>
      <c r="AH894" s="77"/>
    </row>
    <row r="895" spans="1:34" ht="12.75" customHeight="1">
      <c r="A895" s="115"/>
      <c r="B895" s="11" t="s">
        <v>436</v>
      </c>
      <c r="C895" s="64" t="s">
        <v>437</v>
      </c>
      <c r="D895" s="11" t="s">
        <v>10</v>
      </c>
      <c r="F895" s="78">
        <v>4</v>
      </c>
      <c r="G895" s="64" t="s">
        <v>438</v>
      </c>
      <c r="L895" s="64" t="s">
        <v>439</v>
      </c>
      <c r="T895" s="64" t="s">
        <v>440</v>
      </c>
      <c r="Y895" s="64" t="s">
        <v>441</v>
      </c>
      <c r="AE895" s="115"/>
      <c r="AH895" s="77"/>
    </row>
    <row r="896" spans="1:34" ht="12.75" customHeight="1">
      <c r="A896" s="115"/>
      <c r="B896" s="117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118"/>
      <c r="AH896" s="77"/>
    </row>
    <row r="897" spans="1:34" ht="12.75" customHeight="1">
      <c r="A897" s="115"/>
      <c r="B897" s="38" t="s">
        <v>442</v>
      </c>
      <c r="AE897" s="115"/>
      <c r="AH897" s="77"/>
    </row>
    <row r="898" spans="1:34" ht="12.75" customHeight="1">
      <c r="A898" s="115"/>
      <c r="B898" s="11" t="s">
        <v>111</v>
      </c>
      <c r="C898" s="64" t="s">
        <v>340</v>
      </c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AE898" s="115"/>
      <c r="AH898" s="77"/>
    </row>
    <row r="899" spans="1:34" ht="12.75" customHeight="1">
      <c r="A899" s="115"/>
      <c r="B899" s="11" t="s">
        <v>115</v>
      </c>
      <c r="C899" s="64" t="s">
        <v>391</v>
      </c>
      <c r="F899" s="78" t="s">
        <v>465</v>
      </c>
      <c r="G899" s="78" t="s">
        <v>467</v>
      </c>
      <c r="H899" s="78" t="s">
        <v>475</v>
      </c>
      <c r="I899" s="78" t="s">
        <v>488</v>
      </c>
      <c r="J899" s="78" t="s">
        <v>485</v>
      </c>
      <c r="K899" s="78" t="s">
        <v>469</v>
      </c>
      <c r="L899" s="78"/>
      <c r="M899" s="78"/>
      <c r="N899" s="78"/>
      <c r="O899" s="78"/>
      <c r="P899" s="78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  <c r="AC899" s="91"/>
      <c r="AD899" s="91"/>
      <c r="AE899" s="115"/>
      <c r="AH899" s="77"/>
    </row>
    <row r="900" spans="1:34" ht="12.75" customHeight="1">
      <c r="A900" s="115"/>
      <c r="B900" s="11" t="s">
        <v>118</v>
      </c>
      <c r="C900" s="64" t="s">
        <v>396</v>
      </c>
      <c r="F900" s="225" t="s">
        <v>397</v>
      </c>
      <c r="G900" s="239"/>
      <c r="H900" s="55"/>
      <c r="I900" s="55"/>
      <c r="J900" s="240" t="s">
        <v>398</v>
      </c>
      <c r="K900" s="194"/>
      <c r="L900" s="239"/>
      <c r="M900" s="55"/>
      <c r="N900" s="55"/>
      <c r="O900" s="240" t="s">
        <v>399</v>
      </c>
      <c r="P900" s="194"/>
      <c r="Q900" s="239"/>
      <c r="R900" s="91"/>
      <c r="S900" s="91"/>
      <c r="T900" s="91"/>
      <c r="U900" s="91"/>
      <c r="V900" s="240" t="s">
        <v>359</v>
      </c>
      <c r="W900" s="194"/>
      <c r="X900" s="239"/>
      <c r="Y900" s="91"/>
      <c r="Z900" s="91"/>
      <c r="AA900" s="91"/>
      <c r="AE900" s="115"/>
      <c r="AH900" s="77"/>
    </row>
    <row r="901" spans="1:34" ht="12.75" customHeight="1">
      <c r="A901" s="115"/>
      <c r="B901" s="11" t="s">
        <v>121</v>
      </c>
      <c r="C901" s="64" t="s">
        <v>128</v>
      </c>
      <c r="F901" s="91"/>
      <c r="G901" s="91"/>
      <c r="AE901" s="115"/>
      <c r="AH901" s="77"/>
    </row>
    <row r="902" spans="1:34" ht="12.75" customHeight="1">
      <c r="A902" s="115"/>
      <c r="B902" s="11" t="s">
        <v>124</v>
      </c>
      <c r="C902" s="64" t="s">
        <v>345</v>
      </c>
      <c r="F902" s="252"/>
      <c r="G902" s="223"/>
      <c r="H902" s="223"/>
      <c r="I902" s="223"/>
      <c r="J902" s="223"/>
      <c r="K902" s="223"/>
      <c r="L902" s="223"/>
      <c r="M902" s="223"/>
      <c r="N902" s="223"/>
      <c r="O902" s="223"/>
      <c r="P902" s="223"/>
      <c r="Q902" s="223"/>
      <c r="R902" s="223"/>
      <c r="S902" s="223"/>
      <c r="T902" s="223"/>
      <c r="U902" s="223"/>
      <c r="V902" s="223"/>
      <c r="W902" s="223"/>
      <c r="X902" s="223"/>
      <c r="Y902" s="223"/>
      <c r="Z902" s="223"/>
      <c r="AA902" s="223"/>
      <c r="AB902" s="223"/>
      <c r="AC902" s="223"/>
      <c r="AD902" s="224"/>
      <c r="AE902" s="115"/>
      <c r="AH902" s="77"/>
    </row>
    <row r="903" spans="1:34" ht="12.75" customHeight="1">
      <c r="A903" s="115"/>
      <c r="F903" s="64" t="s">
        <v>414</v>
      </c>
      <c r="L903" s="252"/>
      <c r="M903" s="223"/>
      <c r="N903" s="223"/>
      <c r="O903" s="223"/>
      <c r="P903" s="223"/>
      <c r="Q903" s="223"/>
      <c r="R903" s="223"/>
      <c r="S903" s="224"/>
      <c r="T903" s="64" t="s">
        <v>415</v>
      </c>
      <c r="X903" s="252"/>
      <c r="Y903" s="223"/>
      <c r="Z903" s="223"/>
      <c r="AA903" s="223"/>
      <c r="AB903" s="223"/>
      <c r="AC903" s="223"/>
      <c r="AD903" s="224"/>
      <c r="AE903" s="115"/>
      <c r="AH903" s="77"/>
    </row>
    <row r="904" spans="1:34" ht="12.75" customHeight="1">
      <c r="A904" s="115"/>
      <c r="F904" s="64" t="s">
        <v>416</v>
      </c>
      <c r="L904" s="252"/>
      <c r="M904" s="223"/>
      <c r="N904" s="223"/>
      <c r="O904" s="223"/>
      <c r="P904" s="223"/>
      <c r="Q904" s="223"/>
      <c r="R904" s="223"/>
      <c r="S904" s="224"/>
      <c r="T904" s="64" t="s">
        <v>417</v>
      </c>
      <c r="X904" s="252"/>
      <c r="Y904" s="223"/>
      <c r="Z904" s="223"/>
      <c r="AA904" s="223"/>
      <c r="AB904" s="223"/>
      <c r="AC904" s="223"/>
      <c r="AD904" s="224"/>
      <c r="AE904" s="115"/>
      <c r="AH904" s="77"/>
    </row>
    <row r="905" spans="1:34" ht="12.75" customHeight="1">
      <c r="A905" s="115"/>
      <c r="B905" s="117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118"/>
      <c r="AH905" s="77"/>
    </row>
    <row r="906" spans="1:34" ht="12.75" customHeight="1">
      <c r="A906" s="115"/>
      <c r="B906" s="38" t="s">
        <v>448</v>
      </c>
      <c r="AE906" s="115"/>
      <c r="AH906" s="77"/>
    </row>
    <row r="907" spans="1:34" ht="12.75" customHeight="1">
      <c r="A907" s="115"/>
      <c r="B907" s="11" t="s">
        <v>111</v>
      </c>
      <c r="C907" s="64" t="s">
        <v>340</v>
      </c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AE907" s="115"/>
      <c r="AH907" s="77"/>
    </row>
    <row r="908" spans="1:34" ht="12.75" customHeight="1">
      <c r="A908" s="115"/>
      <c r="B908" s="11" t="s">
        <v>115</v>
      </c>
      <c r="C908" s="64" t="s">
        <v>391</v>
      </c>
      <c r="F908" s="78" t="s">
        <v>484</v>
      </c>
      <c r="G908" s="78" t="s">
        <v>467</v>
      </c>
      <c r="H908" s="78" t="s">
        <v>487</v>
      </c>
      <c r="I908" s="78" t="s">
        <v>469</v>
      </c>
      <c r="J908" s="78" t="s">
        <v>485</v>
      </c>
      <c r="K908" s="78" t="s">
        <v>464</v>
      </c>
      <c r="L908" s="78" t="s">
        <v>466</v>
      </c>
      <c r="M908" s="78"/>
      <c r="N908" s="78"/>
      <c r="O908" s="78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  <c r="AC908" s="91"/>
      <c r="AD908" s="91"/>
      <c r="AE908" s="115"/>
      <c r="AH908" s="77"/>
    </row>
    <row r="909" spans="1:34" ht="12.75" customHeight="1">
      <c r="A909" s="115"/>
      <c r="B909" s="11" t="s">
        <v>118</v>
      </c>
      <c r="C909" s="64" t="s">
        <v>396</v>
      </c>
      <c r="F909" s="225" t="s">
        <v>397</v>
      </c>
      <c r="G909" s="239"/>
      <c r="H909" s="55"/>
      <c r="I909" s="55"/>
      <c r="J909" s="240" t="s">
        <v>398</v>
      </c>
      <c r="K909" s="194"/>
      <c r="L909" s="239"/>
      <c r="M909" s="55"/>
      <c r="N909" s="55"/>
      <c r="O909" s="240" t="s">
        <v>399</v>
      </c>
      <c r="P909" s="194"/>
      <c r="Q909" s="239"/>
      <c r="R909" s="91"/>
      <c r="S909" s="91"/>
      <c r="T909" s="91"/>
      <c r="U909" s="91"/>
      <c r="V909" s="240" t="s">
        <v>359</v>
      </c>
      <c r="W909" s="194"/>
      <c r="X909" s="239"/>
      <c r="Y909" s="91"/>
      <c r="Z909" s="91"/>
      <c r="AA909" s="91"/>
      <c r="AE909" s="115"/>
      <c r="AH909" s="77"/>
    </row>
    <row r="910" spans="1:34" ht="12.75" customHeight="1">
      <c r="A910" s="115"/>
      <c r="B910" s="11" t="s">
        <v>121</v>
      </c>
      <c r="C910" s="64" t="s">
        <v>128</v>
      </c>
      <c r="F910" s="91"/>
      <c r="G910" s="91"/>
      <c r="AE910" s="115"/>
      <c r="AH910" s="77"/>
    </row>
    <row r="911" spans="1:34" ht="12.75" customHeight="1">
      <c r="A911" s="115"/>
      <c r="B911" s="11" t="s">
        <v>124</v>
      </c>
      <c r="C911" s="64" t="s">
        <v>345</v>
      </c>
      <c r="F911" s="252"/>
      <c r="G911" s="223"/>
      <c r="H911" s="223"/>
      <c r="I911" s="223"/>
      <c r="J911" s="223"/>
      <c r="K911" s="223"/>
      <c r="L911" s="223"/>
      <c r="M911" s="223"/>
      <c r="N911" s="223"/>
      <c r="O911" s="223"/>
      <c r="P911" s="223"/>
      <c r="Q911" s="223"/>
      <c r="R911" s="223"/>
      <c r="S911" s="223"/>
      <c r="T911" s="223"/>
      <c r="U911" s="223"/>
      <c r="V911" s="223"/>
      <c r="W911" s="223"/>
      <c r="X911" s="223"/>
      <c r="Y911" s="223"/>
      <c r="Z911" s="223"/>
      <c r="AA911" s="223"/>
      <c r="AB911" s="223"/>
      <c r="AC911" s="223"/>
      <c r="AD911" s="224"/>
      <c r="AE911" s="115"/>
      <c r="AH911" s="77"/>
    </row>
    <row r="912" spans="1:34" ht="12.75" customHeight="1">
      <c r="A912" s="115"/>
      <c r="F912" s="64" t="s">
        <v>414</v>
      </c>
      <c r="L912" s="252"/>
      <c r="M912" s="223"/>
      <c r="N912" s="223"/>
      <c r="O912" s="223"/>
      <c r="P912" s="223"/>
      <c r="Q912" s="223"/>
      <c r="R912" s="223"/>
      <c r="S912" s="224"/>
      <c r="T912" s="64" t="s">
        <v>415</v>
      </c>
      <c r="X912" s="252"/>
      <c r="Y912" s="223"/>
      <c r="Z912" s="223"/>
      <c r="AA912" s="223"/>
      <c r="AB912" s="223"/>
      <c r="AC912" s="223"/>
      <c r="AD912" s="224"/>
      <c r="AE912" s="115"/>
      <c r="AH912" s="77"/>
    </row>
    <row r="913" spans="1:34" ht="12.75" customHeight="1">
      <c r="A913" s="115"/>
      <c r="F913" s="64" t="s">
        <v>416</v>
      </c>
      <c r="L913" s="252"/>
      <c r="M913" s="223"/>
      <c r="N913" s="223"/>
      <c r="O913" s="223"/>
      <c r="P913" s="223"/>
      <c r="Q913" s="223"/>
      <c r="R913" s="223"/>
      <c r="S913" s="224"/>
      <c r="T913" s="64" t="s">
        <v>417</v>
      </c>
      <c r="X913" s="252"/>
      <c r="Y913" s="223"/>
      <c r="Z913" s="223"/>
      <c r="AA913" s="223"/>
      <c r="AB913" s="223"/>
      <c r="AC913" s="223"/>
      <c r="AD913" s="224"/>
      <c r="AE913" s="115"/>
      <c r="AH913" s="77"/>
    </row>
    <row r="914" spans="1:34" ht="12.75" customHeight="1">
      <c r="A914" s="115"/>
      <c r="B914" s="117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118"/>
      <c r="AH914" s="77"/>
    </row>
    <row r="915" spans="1:34" ht="12.75" customHeight="1">
      <c r="A915" s="115"/>
      <c r="B915" s="38" t="s">
        <v>456</v>
      </c>
      <c r="AE915" s="115"/>
      <c r="AH915" s="77"/>
    </row>
    <row r="916" spans="1:34" ht="12.75" customHeight="1">
      <c r="A916" s="115"/>
      <c r="B916" s="11" t="s">
        <v>111</v>
      </c>
      <c r="C916" s="64" t="s">
        <v>340</v>
      </c>
      <c r="F916" s="95">
        <v>3</v>
      </c>
      <c r="G916" s="95">
        <v>3</v>
      </c>
      <c r="H916" s="95">
        <v>7</v>
      </c>
      <c r="I916" s="95">
        <v>6</v>
      </c>
      <c r="J916" s="95">
        <v>0</v>
      </c>
      <c r="K916" s="95">
        <v>4</v>
      </c>
      <c r="L916" s="95">
        <v>1</v>
      </c>
      <c r="M916" s="95">
        <v>4</v>
      </c>
      <c r="N916" s="95">
        <v>0</v>
      </c>
      <c r="O916" s="95">
        <v>6</v>
      </c>
      <c r="P916" s="95">
        <v>7</v>
      </c>
      <c r="Q916" s="95">
        <v>6</v>
      </c>
      <c r="R916" s="95">
        <v>0</v>
      </c>
      <c r="S916" s="95">
        <v>0</v>
      </c>
      <c r="T916" s="95">
        <v>0</v>
      </c>
      <c r="U916" s="95">
        <v>5</v>
      </c>
      <c r="V916" s="11"/>
      <c r="W916" s="11"/>
      <c r="X916" s="11"/>
      <c r="Y916" s="11"/>
      <c r="Z916" s="11"/>
      <c r="AA916" s="11"/>
      <c r="AB916" s="11"/>
      <c r="AC916" s="11"/>
      <c r="AD916" s="11"/>
      <c r="AE916" s="115"/>
      <c r="AH916" s="77"/>
    </row>
    <row r="917" spans="1:34" ht="12.75" customHeight="1">
      <c r="A917" s="115"/>
      <c r="B917" s="11" t="s">
        <v>115</v>
      </c>
      <c r="C917" s="64" t="s">
        <v>391</v>
      </c>
      <c r="F917" s="78" t="s">
        <v>484</v>
      </c>
      <c r="G917" s="78" t="s">
        <v>477</v>
      </c>
      <c r="H917" s="78" t="s">
        <v>487</v>
      </c>
      <c r="I917" s="78" t="s">
        <v>464</v>
      </c>
      <c r="J917" s="78" t="s">
        <v>468</v>
      </c>
      <c r="K917" s="78" t="s">
        <v>469</v>
      </c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115"/>
      <c r="AH917" s="77"/>
    </row>
    <row r="918" spans="1:34" ht="12.75" customHeight="1">
      <c r="A918" s="115"/>
      <c r="B918" s="11" t="s">
        <v>118</v>
      </c>
      <c r="C918" s="64" t="s">
        <v>396</v>
      </c>
      <c r="F918" s="225" t="s">
        <v>397</v>
      </c>
      <c r="G918" s="239"/>
      <c r="H918" s="78">
        <v>1</v>
      </c>
      <c r="I918" s="78">
        <v>4</v>
      </c>
      <c r="J918" s="240" t="s">
        <v>398</v>
      </c>
      <c r="K918" s="194"/>
      <c r="L918" s="239"/>
      <c r="M918" s="78">
        <v>0</v>
      </c>
      <c r="N918" s="78">
        <v>6</v>
      </c>
      <c r="O918" s="240" t="s">
        <v>399</v>
      </c>
      <c r="P918" s="194"/>
      <c r="Q918" s="239"/>
      <c r="R918" s="78">
        <v>1</v>
      </c>
      <c r="S918" s="78">
        <v>9</v>
      </c>
      <c r="T918" s="78">
        <v>7</v>
      </c>
      <c r="U918" s="78">
        <v>6</v>
      </c>
      <c r="V918" s="240" t="s">
        <v>359</v>
      </c>
      <c r="W918" s="194"/>
      <c r="X918" s="239"/>
      <c r="Y918" s="78">
        <v>4</v>
      </c>
      <c r="Z918" s="78">
        <v>5</v>
      </c>
      <c r="AA918" s="78"/>
      <c r="AB918" s="11"/>
      <c r="AC918" s="11"/>
      <c r="AD918" s="11"/>
      <c r="AE918" s="115"/>
      <c r="AH918" s="77"/>
    </row>
    <row r="919" spans="1:34" ht="12.75" customHeight="1">
      <c r="A919" s="115"/>
      <c r="B919" s="11" t="s">
        <v>121</v>
      </c>
      <c r="C919" s="64" t="s">
        <v>128</v>
      </c>
      <c r="F919" s="78">
        <v>0</v>
      </c>
      <c r="G919" s="78">
        <v>9</v>
      </c>
      <c r="AE919" s="115"/>
      <c r="AH919" s="77"/>
    </row>
    <row r="920" spans="1:34" ht="12.75" customHeight="1">
      <c r="A920" s="115"/>
      <c r="B920" s="11" t="s">
        <v>124</v>
      </c>
      <c r="C920" s="64" t="s">
        <v>345</v>
      </c>
      <c r="F920" s="246" t="s">
        <v>519</v>
      </c>
      <c r="G920" s="223"/>
      <c r="H920" s="223"/>
      <c r="I920" s="223"/>
      <c r="J920" s="223"/>
      <c r="K920" s="223"/>
      <c r="L920" s="223"/>
      <c r="M920" s="223"/>
      <c r="N920" s="223"/>
      <c r="O920" s="223"/>
      <c r="P920" s="223"/>
      <c r="Q920" s="223"/>
      <c r="R920" s="223"/>
      <c r="S920" s="223"/>
      <c r="T920" s="223"/>
      <c r="U920" s="223"/>
      <c r="V920" s="223"/>
      <c r="W920" s="223"/>
      <c r="X920" s="223"/>
      <c r="Y920" s="223"/>
      <c r="Z920" s="223"/>
      <c r="AA920" s="223"/>
      <c r="AB920" s="223"/>
      <c r="AC920" s="223"/>
      <c r="AD920" s="224"/>
      <c r="AE920" s="115"/>
      <c r="AH920" s="77"/>
    </row>
    <row r="921" spans="1:34" ht="12.75" customHeight="1">
      <c r="A921" s="115"/>
      <c r="F921" s="64" t="s">
        <v>414</v>
      </c>
      <c r="L921" s="246" t="s">
        <v>102</v>
      </c>
      <c r="M921" s="223"/>
      <c r="N921" s="223"/>
      <c r="O921" s="223"/>
      <c r="P921" s="223"/>
      <c r="Q921" s="223"/>
      <c r="R921" s="223"/>
      <c r="S921" s="224"/>
      <c r="T921" s="64" t="s">
        <v>415</v>
      </c>
      <c r="X921" s="246" t="s">
        <v>106</v>
      </c>
      <c r="Y921" s="223"/>
      <c r="Z921" s="223"/>
      <c r="AA921" s="223"/>
      <c r="AB921" s="223"/>
      <c r="AC921" s="223"/>
      <c r="AD921" s="224"/>
      <c r="AE921" s="115"/>
      <c r="AH921" s="77"/>
    </row>
    <row r="922" spans="1:34" ht="12.75" customHeight="1">
      <c r="A922" s="115"/>
      <c r="F922" s="64" t="s">
        <v>416</v>
      </c>
      <c r="L922" s="246" t="s">
        <v>104</v>
      </c>
      <c r="M922" s="223"/>
      <c r="N922" s="223"/>
      <c r="O922" s="223"/>
      <c r="P922" s="223"/>
      <c r="Q922" s="223"/>
      <c r="R922" s="223"/>
      <c r="S922" s="224"/>
      <c r="T922" s="64" t="s">
        <v>417</v>
      </c>
      <c r="X922" s="246" t="s">
        <v>418</v>
      </c>
      <c r="Y922" s="223"/>
      <c r="Z922" s="223"/>
      <c r="AA922" s="223"/>
      <c r="AB922" s="223"/>
      <c r="AC922" s="223"/>
      <c r="AD922" s="224"/>
      <c r="AE922" s="115"/>
      <c r="AH922" s="77"/>
    </row>
    <row r="923" spans="1:34" ht="12.75" customHeight="1">
      <c r="A923" s="115"/>
      <c r="B923" s="117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118"/>
      <c r="AH923" s="77"/>
    </row>
    <row r="924" spans="1:34" ht="12.75" customHeight="1">
      <c r="A924" s="115"/>
      <c r="B924" s="38" t="s">
        <v>457</v>
      </c>
      <c r="AE924" s="115"/>
      <c r="AH924" s="77"/>
    </row>
    <row r="925" spans="1:34" ht="12.75" customHeight="1">
      <c r="A925" s="115"/>
      <c r="B925" s="11" t="s">
        <v>111</v>
      </c>
      <c r="C925" s="64" t="s">
        <v>340</v>
      </c>
      <c r="F925" s="108">
        <v>3</v>
      </c>
      <c r="G925" s="108">
        <v>3</v>
      </c>
      <c r="H925" s="108">
        <v>2</v>
      </c>
      <c r="I925" s="108">
        <v>7</v>
      </c>
      <c r="J925" s="108">
        <v>0</v>
      </c>
      <c r="K925" s="108">
        <v>4</v>
      </c>
      <c r="L925" s="108">
        <v>1</v>
      </c>
      <c r="M925" s="108">
        <v>6</v>
      </c>
      <c r="N925" s="108">
        <v>0</v>
      </c>
      <c r="O925" s="108">
        <v>1</v>
      </c>
      <c r="P925" s="108">
        <v>7</v>
      </c>
      <c r="Q925" s="108">
        <v>5</v>
      </c>
      <c r="R925" s="108">
        <v>0</v>
      </c>
      <c r="S925" s="108">
        <v>0</v>
      </c>
      <c r="T925" s="108">
        <v>0</v>
      </c>
      <c r="U925" s="108">
        <v>5</v>
      </c>
      <c r="V925" s="11"/>
      <c r="W925" s="11"/>
      <c r="X925" s="11"/>
      <c r="Y925" s="11"/>
      <c r="Z925" s="11"/>
      <c r="AA925" s="11"/>
      <c r="AB925" s="11"/>
      <c r="AC925" s="11"/>
      <c r="AD925" s="11"/>
      <c r="AE925" s="115"/>
      <c r="AH925" s="77"/>
    </row>
    <row r="926" spans="1:34" ht="12.75" customHeight="1">
      <c r="A926" s="115"/>
      <c r="B926" s="11" t="s">
        <v>115</v>
      </c>
      <c r="C926" s="64" t="s">
        <v>391</v>
      </c>
      <c r="F926" s="78" t="s">
        <v>484</v>
      </c>
      <c r="G926" s="78" t="s">
        <v>464</v>
      </c>
      <c r="H926" s="78" t="s">
        <v>468</v>
      </c>
      <c r="I926" s="78" t="s">
        <v>486</v>
      </c>
      <c r="J926" s="78" t="s">
        <v>477</v>
      </c>
      <c r="K926" s="78" t="s">
        <v>485</v>
      </c>
      <c r="L926" s="78" t="s">
        <v>477</v>
      </c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115"/>
      <c r="AH926" s="77"/>
    </row>
    <row r="927" spans="1:34" ht="12.75" customHeight="1">
      <c r="A927" s="115"/>
      <c r="B927" s="11" t="s">
        <v>118</v>
      </c>
      <c r="C927" s="64" t="s">
        <v>396</v>
      </c>
      <c r="F927" s="253" t="s">
        <v>397</v>
      </c>
      <c r="G927" s="224"/>
      <c r="H927" s="78">
        <v>1</v>
      </c>
      <c r="I927" s="78">
        <v>6</v>
      </c>
      <c r="J927" s="242" t="s">
        <v>398</v>
      </c>
      <c r="K927" s="243"/>
      <c r="L927" s="244"/>
      <c r="M927" s="78">
        <v>0</v>
      </c>
      <c r="N927" s="78">
        <v>1</v>
      </c>
      <c r="O927" s="242" t="s">
        <v>399</v>
      </c>
      <c r="P927" s="243"/>
      <c r="Q927" s="244"/>
      <c r="R927" s="78">
        <v>1</v>
      </c>
      <c r="S927" s="78">
        <v>9</v>
      </c>
      <c r="T927" s="78">
        <v>7</v>
      </c>
      <c r="U927" s="78">
        <v>5</v>
      </c>
      <c r="V927" s="242" t="s">
        <v>359</v>
      </c>
      <c r="W927" s="243"/>
      <c r="X927" s="244"/>
      <c r="Y927" s="78">
        <v>4</v>
      </c>
      <c r="Z927" s="78">
        <v>7</v>
      </c>
      <c r="AA927" s="78"/>
      <c r="AB927" s="11"/>
      <c r="AC927" s="11"/>
      <c r="AD927" s="11"/>
      <c r="AE927" s="115"/>
      <c r="AH927" s="77"/>
    </row>
    <row r="928" spans="1:34" ht="12.75" customHeight="1">
      <c r="A928" s="115"/>
      <c r="B928" s="11" t="s">
        <v>121</v>
      </c>
      <c r="C928" s="64" t="s">
        <v>128</v>
      </c>
      <c r="F928" s="78">
        <v>8</v>
      </c>
      <c r="G928" s="78">
        <v>5</v>
      </c>
      <c r="AE928" s="115"/>
      <c r="AH928" s="77"/>
    </row>
    <row r="929" spans="1:34" ht="12.75" customHeight="1">
      <c r="A929" s="115"/>
      <c r="B929" s="11" t="s">
        <v>124</v>
      </c>
      <c r="C929" s="64" t="s">
        <v>345</v>
      </c>
      <c r="F929" s="246" t="s">
        <v>471</v>
      </c>
      <c r="G929" s="223"/>
      <c r="H929" s="223"/>
      <c r="I929" s="223"/>
      <c r="J929" s="223"/>
      <c r="K929" s="223"/>
      <c r="L929" s="223"/>
      <c r="M929" s="223"/>
      <c r="N929" s="223"/>
      <c r="O929" s="223"/>
      <c r="P929" s="223"/>
      <c r="Q929" s="223"/>
      <c r="R929" s="223"/>
      <c r="S929" s="223"/>
      <c r="T929" s="223"/>
      <c r="U929" s="223"/>
      <c r="V929" s="223"/>
      <c r="W929" s="223"/>
      <c r="X929" s="223"/>
      <c r="Y929" s="223"/>
      <c r="Z929" s="223"/>
      <c r="AA929" s="223"/>
      <c r="AB929" s="223"/>
      <c r="AC929" s="223"/>
      <c r="AD929" s="224"/>
      <c r="AE929" s="115"/>
      <c r="AH929" s="77"/>
    </row>
    <row r="930" spans="1:34" ht="12.75" customHeight="1">
      <c r="A930" s="115"/>
      <c r="F930" s="64" t="s">
        <v>414</v>
      </c>
      <c r="L930" s="246" t="s">
        <v>102</v>
      </c>
      <c r="M930" s="223"/>
      <c r="N930" s="223"/>
      <c r="O930" s="223"/>
      <c r="P930" s="223"/>
      <c r="Q930" s="223"/>
      <c r="R930" s="223"/>
      <c r="S930" s="224"/>
      <c r="T930" s="64" t="s">
        <v>415</v>
      </c>
      <c r="X930" s="246" t="s">
        <v>106</v>
      </c>
      <c r="Y930" s="223"/>
      <c r="Z930" s="223"/>
      <c r="AA930" s="223"/>
      <c r="AB930" s="223"/>
      <c r="AC930" s="223"/>
      <c r="AD930" s="224"/>
      <c r="AE930" s="115"/>
      <c r="AH930" s="77"/>
    </row>
    <row r="931" spans="1:34" ht="12.75" customHeight="1">
      <c r="A931" s="115"/>
      <c r="F931" s="64" t="s">
        <v>416</v>
      </c>
      <c r="L931" s="246" t="s">
        <v>104</v>
      </c>
      <c r="M931" s="223"/>
      <c r="N931" s="223"/>
      <c r="O931" s="223"/>
      <c r="P931" s="223"/>
      <c r="Q931" s="223"/>
      <c r="R931" s="223"/>
      <c r="S931" s="224"/>
      <c r="T931" s="64" t="s">
        <v>417</v>
      </c>
      <c r="X931" s="246" t="s">
        <v>418</v>
      </c>
      <c r="Y931" s="223"/>
      <c r="Z931" s="223"/>
      <c r="AA931" s="223"/>
      <c r="AB931" s="223"/>
      <c r="AC931" s="223"/>
      <c r="AD931" s="224"/>
      <c r="AE931" s="115"/>
      <c r="AH931" s="77"/>
    </row>
    <row r="932" spans="1:34" ht="12.75" customHeight="1">
      <c r="A932" s="115"/>
      <c r="B932" s="117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118"/>
      <c r="AH932" s="77"/>
    </row>
    <row r="933" spans="1:34" ht="12.75" customHeight="1">
      <c r="A933" s="115"/>
      <c r="B933" s="64" t="s">
        <v>472</v>
      </c>
      <c r="AE933" s="115"/>
      <c r="AH933" s="77"/>
    </row>
    <row r="934" spans="1:34" ht="12.75" customHeight="1">
      <c r="A934" s="115"/>
      <c r="B934" s="11" t="s">
        <v>111</v>
      </c>
      <c r="C934" s="64" t="s">
        <v>340</v>
      </c>
      <c r="F934" s="108">
        <v>3</v>
      </c>
      <c r="G934" s="108">
        <v>3</v>
      </c>
      <c r="H934" s="108">
        <v>2</v>
      </c>
      <c r="I934" s="108">
        <v>7</v>
      </c>
      <c r="J934" s="108">
        <v>0</v>
      </c>
      <c r="K934" s="108">
        <v>4</v>
      </c>
      <c r="L934" s="108">
        <v>1</v>
      </c>
      <c r="M934" s="108">
        <v>5</v>
      </c>
      <c r="N934" s="108" t="s">
        <v>477</v>
      </c>
      <c r="O934" s="108">
        <v>2</v>
      </c>
      <c r="P934" s="108">
        <v>7</v>
      </c>
      <c r="Q934" s="108">
        <v>9</v>
      </c>
      <c r="R934" s="108">
        <v>0</v>
      </c>
      <c r="S934" s="108">
        <v>0</v>
      </c>
      <c r="T934" s="108">
        <v>0</v>
      </c>
      <c r="U934" s="108">
        <v>4</v>
      </c>
      <c r="V934" s="11"/>
      <c r="W934" s="11"/>
      <c r="X934" s="11"/>
      <c r="Y934" s="11"/>
      <c r="Z934" s="11"/>
      <c r="AA934" s="11"/>
      <c r="AB934" s="11"/>
      <c r="AC934" s="11"/>
      <c r="AD934" s="11"/>
      <c r="AE934" s="115"/>
      <c r="AH934" s="77"/>
    </row>
    <row r="935" spans="1:34" ht="12.75" customHeight="1">
      <c r="A935" s="115"/>
      <c r="B935" s="11" t="s">
        <v>115</v>
      </c>
      <c r="C935" s="64" t="s">
        <v>391</v>
      </c>
      <c r="F935" s="108" t="s">
        <v>491</v>
      </c>
      <c r="G935" s="108" t="s">
        <v>467</v>
      </c>
      <c r="H935" s="108" t="s">
        <v>474</v>
      </c>
      <c r="I935" s="108" t="s">
        <v>469</v>
      </c>
      <c r="J935" s="108"/>
      <c r="K935" s="108" t="s">
        <v>484</v>
      </c>
      <c r="L935" s="108" t="s">
        <v>464</v>
      </c>
      <c r="M935" s="108" t="s">
        <v>485</v>
      </c>
      <c r="N935" s="108" t="s">
        <v>476</v>
      </c>
      <c r="O935" s="109" t="s">
        <v>477</v>
      </c>
      <c r="P935" s="109" t="s">
        <v>484</v>
      </c>
      <c r="Q935" s="109" t="s">
        <v>477</v>
      </c>
      <c r="R935" s="109"/>
      <c r="S935" s="109"/>
      <c r="T935" s="109"/>
      <c r="U935" s="109"/>
      <c r="V935" s="78"/>
      <c r="W935" s="78"/>
      <c r="X935" s="78"/>
      <c r="Y935" s="78"/>
      <c r="Z935" s="78"/>
      <c r="AA935" s="78"/>
      <c r="AB935" s="78"/>
      <c r="AC935" s="78"/>
      <c r="AD935" s="78"/>
      <c r="AE935" s="115"/>
      <c r="AH935" s="77"/>
    </row>
    <row r="936" spans="1:34" ht="12.75" customHeight="1">
      <c r="A936" s="115"/>
      <c r="B936" s="11" t="s">
        <v>118</v>
      </c>
      <c r="C936" s="64" t="s">
        <v>396</v>
      </c>
      <c r="F936" s="225" t="s">
        <v>397</v>
      </c>
      <c r="G936" s="239"/>
      <c r="H936" s="78">
        <v>1</v>
      </c>
      <c r="I936" s="78">
        <v>5</v>
      </c>
      <c r="J936" s="240" t="s">
        <v>398</v>
      </c>
      <c r="K936" s="194"/>
      <c r="L936" s="239"/>
      <c r="M936" s="78">
        <v>0</v>
      </c>
      <c r="N936" s="78">
        <v>2</v>
      </c>
      <c r="O936" s="240" t="s">
        <v>399</v>
      </c>
      <c r="P936" s="194"/>
      <c r="Q936" s="239"/>
      <c r="R936" s="78">
        <v>1</v>
      </c>
      <c r="S936" s="78">
        <v>9</v>
      </c>
      <c r="T936" s="78">
        <v>7</v>
      </c>
      <c r="U936" s="78">
        <v>9</v>
      </c>
      <c r="V936" s="240" t="s">
        <v>359</v>
      </c>
      <c r="W936" s="194"/>
      <c r="X936" s="239"/>
      <c r="Y936" s="78">
        <v>4</v>
      </c>
      <c r="Z936" s="78">
        <v>2</v>
      </c>
      <c r="AA936" s="78"/>
      <c r="AB936" s="11"/>
      <c r="AC936" s="11"/>
      <c r="AD936" s="11"/>
      <c r="AE936" s="115"/>
      <c r="AH936" s="77"/>
    </row>
    <row r="937" spans="1:34" ht="12.75" customHeight="1">
      <c r="A937" s="115"/>
      <c r="B937" s="11" t="s">
        <v>121</v>
      </c>
      <c r="C937" s="64" t="s">
        <v>128</v>
      </c>
      <c r="F937" s="78">
        <v>8</v>
      </c>
      <c r="G937" s="78">
        <v>5</v>
      </c>
      <c r="AE937" s="115"/>
      <c r="AH937" s="77"/>
    </row>
    <row r="938" spans="1:34" ht="12.75" customHeight="1">
      <c r="A938" s="115"/>
      <c r="B938" s="11" t="s">
        <v>124</v>
      </c>
      <c r="C938" s="64" t="s">
        <v>345</v>
      </c>
      <c r="F938" s="246" t="s">
        <v>492</v>
      </c>
      <c r="G938" s="223"/>
      <c r="H938" s="223"/>
      <c r="I938" s="223"/>
      <c r="J938" s="223"/>
      <c r="K938" s="223"/>
      <c r="L938" s="223"/>
      <c r="M938" s="223"/>
      <c r="N938" s="223"/>
      <c r="O938" s="223"/>
      <c r="P938" s="223"/>
      <c r="Q938" s="223"/>
      <c r="R938" s="223"/>
      <c r="S938" s="223"/>
      <c r="T938" s="223"/>
      <c r="U938" s="223"/>
      <c r="V938" s="223"/>
      <c r="W938" s="223"/>
      <c r="X938" s="223"/>
      <c r="Y938" s="223"/>
      <c r="Z938" s="223"/>
      <c r="AA938" s="223"/>
      <c r="AB938" s="223"/>
      <c r="AC938" s="223"/>
      <c r="AD938" s="224"/>
      <c r="AE938" s="115"/>
      <c r="AH938" s="77"/>
    </row>
    <row r="939" spans="1:34" ht="12.75" customHeight="1">
      <c r="A939" s="115"/>
      <c r="F939" s="64" t="s">
        <v>414</v>
      </c>
      <c r="L939" s="246" t="s">
        <v>102</v>
      </c>
      <c r="M939" s="223"/>
      <c r="N939" s="223"/>
      <c r="O939" s="223"/>
      <c r="P939" s="223"/>
      <c r="Q939" s="223"/>
      <c r="R939" s="223"/>
      <c r="S939" s="224"/>
      <c r="T939" s="64" t="s">
        <v>415</v>
      </c>
      <c r="X939" s="246" t="s">
        <v>106</v>
      </c>
      <c r="Y939" s="223"/>
      <c r="Z939" s="223"/>
      <c r="AA939" s="223"/>
      <c r="AB939" s="223"/>
      <c r="AC939" s="223"/>
      <c r="AD939" s="224"/>
      <c r="AE939" s="115"/>
      <c r="AH939" s="77"/>
    </row>
    <row r="940" spans="1:34" ht="12.75" customHeight="1">
      <c r="A940" s="115"/>
      <c r="F940" s="64" t="s">
        <v>416</v>
      </c>
      <c r="L940" s="246" t="s">
        <v>104</v>
      </c>
      <c r="M940" s="223"/>
      <c r="N940" s="223"/>
      <c r="O940" s="223"/>
      <c r="P940" s="223"/>
      <c r="Q940" s="223"/>
      <c r="R940" s="223"/>
      <c r="S940" s="224"/>
      <c r="T940" s="64" t="s">
        <v>417</v>
      </c>
      <c r="X940" s="246" t="s">
        <v>418</v>
      </c>
      <c r="Y940" s="223"/>
      <c r="Z940" s="223"/>
      <c r="AA940" s="223"/>
      <c r="AB940" s="223"/>
      <c r="AC940" s="223"/>
      <c r="AD940" s="224"/>
      <c r="AE940" s="115"/>
      <c r="AH940" s="77"/>
    </row>
    <row r="941" spans="1:34" ht="12.75" customHeight="1">
      <c r="A941" s="115"/>
      <c r="B941" s="119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  <c r="AA941" s="114"/>
      <c r="AB941" s="114"/>
      <c r="AC941" s="114"/>
      <c r="AD941" s="114"/>
      <c r="AE941" s="120"/>
      <c r="AH941" s="77"/>
    </row>
    <row r="942" spans="1:34" ht="12.75" customHeight="1">
      <c r="AH942" s="77"/>
    </row>
    <row r="943" spans="1:34" ht="12.75" customHeight="1">
      <c r="U943" s="64" t="s">
        <v>520</v>
      </c>
      <c r="AH943" s="77"/>
    </row>
    <row r="944" spans="1:34" ht="12.75" customHeight="1">
      <c r="C944" s="225" t="s">
        <v>480</v>
      </c>
      <c r="D944" s="194"/>
      <c r="E944" s="194"/>
      <c r="F944" s="194"/>
      <c r="G944" s="194"/>
      <c r="AH944" s="77"/>
    </row>
    <row r="945" spans="2:34" ht="12.75" customHeight="1">
      <c r="C945" s="225" t="s">
        <v>494</v>
      </c>
      <c r="D945" s="194"/>
      <c r="E945" s="194"/>
      <c r="F945" s="194"/>
      <c r="G945" s="194"/>
      <c r="W945" s="64" t="s">
        <v>481</v>
      </c>
      <c r="AH945" s="77"/>
    </row>
    <row r="946" spans="2:34" ht="12.75" customHeight="1">
      <c r="C946" s="225" t="s">
        <v>365</v>
      </c>
      <c r="D946" s="194"/>
      <c r="E946" s="194"/>
      <c r="F946" s="194"/>
      <c r="G946" s="194"/>
      <c r="AH946" s="77"/>
    </row>
    <row r="947" spans="2:34" ht="12.75" customHeight="1">
      <c r="C947" s="11"/>
      <c r="D947" s="11"/>
      <c r="E947" s="11"/>
      <c r="F947" s="11"/>
      <c r="G947" s="11"/>
      <c r="AH947" s="77"/>
    </row>
    <row r="948" spans="2:34" ht="12.75" customHeight="1">
      <c r="AH948" s="77"/>
    </row>
    <row r="949" spans="2:34" ht="12.75" customHeight="1">
      <c r="AH949" s="77"/>
    </row>
    <row r="950" spans="2:34" ht="12.75" customHeight="1">
      <c r="C950" s="225" t="s">
        <v>366</v>
      </c>
      <c r="D950" s="194"/>
      <c r="E950" s="194"/>
      <c r="F950" s="194"/>
      <c r="G950" s="194"/>
      <c r="W950" s="64" t="s">
        <v>521</v>
      </c>
      <c r="AH950" s="77"/>
    </row>
    <row r="951" spans="2:34" ht="12.75" customHeight="1">
      <c r="AH951" s="77"/>
    </row>
    <row r="952" spans="2:34" ht="12.75" customHeight="1">
      <c r="Y952" s="114"/>
      <c r="Z952" s="114"/>
      <c r="AA952" s="114"/>
      <c r="AB952" s="114"/>
      <c r="AC952" s="114"/>
      <c r="AH952" s="77"/>
    </row>
    <row r="953" spans="2:34" ht="12.75" customHeight="1">
      <c r="Y953" s="235" t="s">
        <v>368</v>
      </c>
      <c r="Z953" s="236"/>
      <c r="AA953" s="236"/>
      <c r="AB953" s="236"/>
      <c r="AC953" s="237"/>
      <c r="AH953" s="77"/>
    </row>
    <row r="954" spans="2:34" ht="12.75" customHeight="1">
      <c r="AH954" s="77"/>
    </row>
    <row r="955" spans="2:34" ht="12.75" customHeight="1">
      <c r="B955" s="64" t="s">
        <v>369</v>
      </c>
      <c r="D955" s="11" t="s">
        <v>10</v>
      </c>
      <c r="F955" s="64" t="s">
        <v>370</v>
      </c>
      <c r="P955" s="64" t="s">
        <v>371</v>
      </c>
      <c r="R955" s="11" t="s">
        <v>10</v>
      </c>
      <c r="S955" s="64" t="s">
        <v>372</v>
      </c>
      <c r="V955" s="11" t="s">
        <v>10</v>
      </c>
      <c r="W955" s="64" t="s">
        <v>373</v>
      </c>
      <c r="AH955" s="77"/>
    </row>
    <row r="956" spans="2:34" ht="12.75" customHeight="1">
      <c r="B956" s="64" t="s">
        <v>331</v>
      </c>
      <c r="D956" s="11" t="s">
        <v>10</v>
      </c>
      <c r="F956" s="64" t="s">
        <v>374</v>
      </c>
      <c r="S956" s="64" t="s">
        <v>375</v>
      </c>
      <c r="V956" s="11" t="s">
        <v>10</v>
      </c>
      <c r="W956" s="64" t="s">
        <v>376</v>
      </c>
      <c r="AH956" s="77"/>
    </row>
    <row r="957" spans="2:34" ht="12.75" customHeight="1">
      <c r="B957" s="64" t="s">
        <v>377</v>
      </c>
      <c r="D957" s="11" t="s">
        <v>10</v>
      </c>
      <c r="F957" s="64" t="s">
        <v>378</v>
      </c>
      <c r="P957" s="62"/>
      <c r="S957" s="64" t="s">
        <v>379</v>
      </c>
      <c r="V957" s="11" t="s">
        <v>10</v>
      </c>
      <c r="W957" s="64" t="s">
        <v>380</v>
      </c>
      <c r="AH957" s="77"/>
    </row>
    <row r="958" spans="2:34" ht="12.75" customHeight="1">
      <c r="B958" s="64" t="s">
        <v>381</v>
      </c>
      <c r="D958" s="11" t="s">
        <v>10</v>
      </c>
      <c r="F958" s="78">
        <v>3</v>
      </c>
      <c r="G958" s="78">
        <v>3</v>
      </c>
      <c r="H958" s="78">
        <v>2</v>
      </c>
      <c r="I958" s="78">
        <v>7</v>
      </c>
      <c r="J958" s="78">
        <v>0</v>
      </c>
      <c r="K958" s="78">
        <v>4</v>
      </c>
      <c r="L958" s="78">
        <v>0</v>
      </c>
      <c r="M958" s="78">
        <v>2</v>
      </c>
      <c r="N958" s="78">
        <v>0</v>
      </c>
      <c r="O958" s="78">
        <v>2</v>
      </c>
      <c r="P958" s="11">
        <v>2</v>
      </c>
      <c r="Q958" s="79"/>
      <c r="S958" s="64" t="s">
        <v>382</v>
      </c>
      <c r="V958" s="11" t="s">
        <v>10</v>
      </c>
      <c r="W958" s="64" t="s">
        <v>383</v>
      </c>
      <c r="AH958" s="77"/>
    </row>
    <row r="959" spans="2:34" ht="12.75" customHeight="1">
      <c r="P959" s="59"/>
      <c r="AH959" s="77"/>
    </row>
    <row r="960" spans="2:34" ht="12.75" customHeight="1">
      <c r="B960" s="196" t="s">
        <v>334</v>
      </c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194"/>
      <c r="O960" s="194"/>
      <c r="P960" s="194"/>
      <c r="Q960" s="194"/>
      <c r="R960" s="194"/>
      <c r="S960" s="194"/>
      <c r="T960" s="194"/>
      <c r="U960" s="194"/>
      <c r="V960" s="194"/>
      <c r="W960" s="194"/>
      <c r="X960" s="194"/>
      <c r="Y960" s="194"/>
      <c r="Z960" s="194"/>
      <c r="AA960" s="194"/>
      <c r="AB960" s="194"/>
      <c r="AC960" s="194"/>
      <c r="AD960" s="194"/>
      <c r="AH960" s="77"/>
    </row>
    <row r="961" spans="1:34" ht="12.75" customHeight="1">
      <c r="B961" s="225" t="s">
        <v>522</v>
      </c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194"/>
      <c r="O961" s="194"/>
      <c r="P961" s="194"/>
      <c r="Q961" s="194"/>
      <c r="R961" s="194"/>
      <c r="S961" s="194"/>
      <c r="T961" s="194"/>
      <c r="U961" s="194"/>
      <c r="V961" s="194"/>
      <c r="W961" s="194"/>
      <c r="X961" s="194"/>
      <c r="Y961" s="194"/>
      <c r="Z961" s="194"/>
      <c r="AA961" s="194"/>
      <c r="AB961" s="194"/>
      <c r="AC961" s="194"/>
      <c r="AD961" s="194"/>
      <c r="AH961" s="77"/>
    </row>
    <row r="962" spans="1:34" ht="12.75" customHeight="1">
      <c r="AH962" s="77"/>
    </row>
    <row r="963" spans="1:34" ht="12.75" customHeight="1">
      <c r="B963" s="64" t="s">
        <v>385</v>
      </c>
      <c r="D963" s="11" t="s">
        <v>10</v>
      </c>
      <c r="F963" s="78" t="s">
        <v>465</v>
      </c>
      <c r="G963" s="78" t="s">
        <v>464</v>
      </c>
      <c r="H963" s="78" t="s">
        <v>484</v>
      </c>
      <c r="I963" s="78" t="s">
        <v>476</v>
      </c>
      <c r="J963" s="78" t="s">
        <v>467</v>
      </c>
      <c r="K963" s="78" t="s">
        <v>468</v>
      </c>
      <c r="L963" s="78" t="s">
        <v>469</v>
      </c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  <c r="AC963" s="91"/>
      <c r="AD963" s="91"/>
      <c r="AH963" s="77"/>
    </row>
    <row r="964" spans="1:34" ht="12.75" customHeight="1">
      <c r="B964" s="64" t="s">
        <v>387</v>
      </c>
      <c r="D964" s="11" t="s">
        <v>10</v>
      </c>
      <c r="F964" s="78">
        <v>3</v>
      </c>
      <c r="G964" s="78">
        <v>3</v>
      </c>
      <c r="H964" s="78">
        <v>2</v>
      </c>
      <c r="I964" s="78">
        <v>7</v>
      </c>
      <c r="J964" s="78">
        <v>0</v>
      </c>
      <c r="K964" s="78">
        <v>4</v>
      </c>
      <c r="L964" s="78">
        <v>2</v>
      </c>
      <c r="M964" s="78">
        <v>7</v>
      </c>
      <c r="N964" s="78">
        <v>0</v>
      </c>
      <c r="O964" s="78">
        <v>9</v>
      </c>
      <c r="P964" s="78">
        <v>0</v>
      </c>
      <c r="Q964" s="78">
        <v>5</v>
      </c>
      <c r="R964" s="78">
        <v>2</v>
      </c>
      <c r="S964" s="78">
        <v>7</v>
      </c>
      <c r="T964" s="78">
        <v>4</v>
      </c>
      <c r="U964" s="78">
        <v>7</v>
      </c>
      <c r="V964" s="91"/>
      <c r="W964" s="91"/>
      <c r="X964" s="91"/>
      <c r="Y964" s="91"/>
      <c r="AH964" s="77"/>
    </row>
    <row r="965" spans="1:34" ht="12.75" customHeight="1"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  <c r="AA965" s="114"/>
      <c r="AB965" s="114"/>
      <c r="AC965" s="114"/>
      <c r="AD965" s="114"/>
      <c r="AE965" s="114"/>
      <c r="AH965" s="77"/>
    </row>
    <row r="966" spans="1:34" ht="12.75" customHeight="1">
      <c r="A966" s="115"/>
      <c r="B966" s="38" t="s">
        <v>389</v>
      </c>
      <c r="AE966" s="116"/>
      <c r="AH966" s="77"/>
    </row>
    <row r="967" spans="1:34" ht="12.75" customHeight="1">
      <c r="A967" s="115"/>
      <c r="B967" s="11" t="s">
        <v>111</v>
      </c>
      <c r="C967" s="64" t="s">
        <v>340</v>
      </c>
      <c r="D967" s="11" t="s">
        <v>10</v>
      </c>
      <c r="F967" s="95">
        <v>3</v>
      </c>
      <c r="G967" s="95">
        <v>3</v>
      </c>
      <c r="H967" s="95">
        <v>2</v>
      </c>
      <c r="I967" s="95">
        <v>7</v>
      </c>
      <c r="J967" s="95">
        <v>0</v>
      </c>
      <c r="K967" s="95">
        <v>4</v>
      </c>
      <c r="L967" s="95">
        <v>0</v>
      </c>
      <c r="M967" s="95">
        <v>1</v>
      </c>
      <c r="N967" s="95">
        <v>0</v>
      </c>
      <c r="O967" s="95">
        <v>7</v>
      </c>
      <c r="P967" s="95">
        <v>3</v>
      </c>
      <c r="Q967" s="95">
        <v>8</v>
      </c>
      <c r="R967" s="95">
        <v>0</v>
      </c>
      <c r="S967" s="95">
        <v>1</v>
      </c>
      <c r="T967" s="95">
        <v>2</v>
      </c>
      <c r="U967" s="95">
        <v>2</v>
      </c>
      <c r="AE967" s="115"/>
      <c r="AH967" s="77"/>
    </row>
    <row r="968" spans="1:34" ht="12.75" customHeight="1">
      <c r="A968" s="115"/>
      <c r="B968" s="11" t="s">
        <v>115</v>
      </c>
      <c r="C968" s="64" t="s">
        <v>391</v>
      </c>
      <c r="D968" s="11" t="s">
        <v>10</v>
      </c>
      <c r="F968" s="78" t="s">
        <v>465</v>
      </c>
      <c r="G968" s="78" t="s">
        <v>464</v>
      </c>
      <c r="H968" s="78" t="s">
        <v>484</v>
      </c>
      <c r="I968" s="78" t="s">
        <v>476</v>
      </c>
      <c r="J968" s="78" t="s">
        <v>468</v>
      </c>
      <c r="K968" s="78" t="s">
        <v>469</v>
      </c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  <c r="AC968" s="91"/>
      <c r="AD968" s="91"/>
      <c r="AE968" s="115"/>
      <c r="AH968" s="77"/>
    </row>
    <row r="969" spans="1:34" ht="12.75" customHeight="1">
      <c r="A969" s="115"/>
      <c r="B969" s="11" t="s">
        <v>118</v>
      </c>
      <c r="C969" s="64" t="s">
        <v>285</v>
      </c>
      <c r="D969" s="11" t="s">
        <v>10</v>
      </c>
      <c r="F969" s="78">
        <v>1</v>
      </c>
      <c r="G969" s="64" t="s">
        <v>393</v>
      </c>
      <c r="M969" s="55"/>
      <c r="N969" s="64" t="s">
        <v>394</v>
      </c>
      <c r="AE969" s="115"/>
      <c r="AH969" s="77"/>
    </row>
    <row r="970" spans="1:34" ht="12.75" customHeight="1">
      <c r="A970" s="115"/>
      <c r="B970" s="11" t="s">
        <v>121</v>
      </c>
      <c r="C970" s="64" t="s">
        <v>396</v>
      </c>
      <c r="D970" s="11" t="s">
        <v>10</v>
      </c>
      <c r="F970" s="225" t="s">
        <v>397</v>
      </c>
      <c r="G970" s="239"/>
      <c r="H970" s="95">
        <v>0</v>
      </c>
      <c r="I970" s="95">
        <v>1</v>
      </c>
      <c r="J970" s="240" t="s">
        <v>398</v>
      </c>
      <c r="K970" s="194"/>
      <c r="L970" s="239"/>
      <c r="M970" s="95">
        <v>0</v>
      </c>
      <c r="N970" s="95">
        <v>7</v>
      </c>
      <c r="O970" s="240" t="s">
        <v>399</v>
      </c>
      <c r="P970" s="194"/>
      <c r="Q970" s="239"/>
      <c r="R970" s="78">
        <v>1</v>
      </c>
      <c r="S970" s="78">
        <v>9</v>
      </c>
      <c r="T970" s="78">
        <v>3</v>
      </c>
      <c r="U970" s="78">
        <v>8</v>
      </c>
      <c r="V970" s="240" t="s">
        <v>359</v>
      </c>
      <c r="W970" s="194"/>
      <c r="X970" s="239"/>
      <c r="Y970" s="78">
        <v>8</v>
      </c>
      <c r="Z970" s="78">
        <v>4</v>
      </c>
      <c r="AA970" s="91"/>
      <c r="AE970" s="115"/>
      <c r="AH970" s="77"/>
    </row>
    <row r="971" spans="1:34" ht="12.75" customHeight="1">
      <c r="A971" s="115"/>
      <c r="B971" s="11" t="s">
        <v>124</v>
      </c>
      <c r="C971" s="64" t="s">
        <v>403</v>
      </c>
      <c r="D971" s="11" t="s">
        <v>10</v>
      </c>
      <c r="F971" s="78" t="s">
        <v>487</v>
      </c>
      <c r="G971" s="78" t="s">
        <v>488</v>
      </c>
      <c r="H971" s="78" t="s">
        <v>475</v>
      </c>
      <c r="I971" s="78" t="s">
        <v>464</v>
      </c>
      <c r="J971" s="78" t="s">
        <v>474</v>
      </c>
      <c r="K971" s="78" t="s">
        <v>464</v>
      </c>
      <c r="L971" s="78" t="s">
        <v>485</v>
      </c>
      <c r="M971" s="78" t="s">
        <v>489</v>
      </c>
      <c r="N971" s="78"/>
      <c r="O971" s="78"/>
      <c r="P971" s="78"/>
      <c r="Q971" s="78"/>
      <c r="R971" s="242" t="s">
        <v>404</v>
      </c>
      <c r="S971" s="243"/>
      <c r="T971" s="243"/>
      <c r="U971" s="244"/>
      <c r="V971" s="78">
        <v>3</v>
      </c>
      <c r="W971" s="78">
        <v>3</v>
      </c>
      <c r="X971" s="240" t="s">
        <v>405</v>
      </c>
      <c r="Y971" s="194"/>
      <c r="Z971" s="194"/>
      <c r="AA971" s="239"/>
      <c r="AB971" s="78">
        <v>2</v>
      </c>
      <c r="AC971" s="78">
        <v>7</v>
      </c>
      <c r="AE971" s="115"/>
      <c r="AH971" s="77"/>
    </row>
    <row r="972" spans="1:34" ht="12.75" customHeight="1">
      <c r="A972" s="115"/>
      <c r="B972" s="11" t="s">
        <v>127</v>
      </c>
      <c r="C972" s="64" t="s">
        <v>125</v>
      </c>
      <c r="D972" s="11" t="s">
        <v>10</v>
      </c>
      <c r="F972" s="55">
        <v>1</v>
      </c>
      <c r="G972" s="64" t="s">
        <v>406</v>
      </c>
      <c r="K972" s="64" t="s">
        <v>407</v>
      </c>
      <c r="O972" s="64" t="s">
        <v>408</v>
      </c>
      <c r="S972" s="64" t="s">
        <v>409</v>
      </c>
      <c r="W972" s="64" t="s">
        <v>410</v>
      </c>
      <c r="Z972" s="64" t="s">
        <v>411</v>
      </c>
      <c r="AE972" s="115"/>
      <c r="AH972" s="77"/>
    </row>
    <row r="973" spans="1:34" ht="12.75" customHeight="1">
      <c r="A973" s="115"/>
      <c r="B973" s="11" t="s">
        <v>130</v>
      </c>
      <c r="C973" s="64" t="s">
        <v>128</v>
      </c>
      <c r="D973" s="11" t="s">
        <v>10</v>
      </c>
      <c r="F973" s="95">
        <v>0</v>
      </c>
      <c r="G973" s="95">
        <v>9</v>
      </c>
      <c r="AE973" s="115"/>
      <c r="AH973" s="77"/>
    </row>
    <row r="974" spans="1:34" ht="12.75" customHeight="1">
      <c r="A974" s="115"/>
      <c r="B974" s="11" t="s">
        <v>134</v>
      </c>
      <c r="C974" s="64" t="s">
        <v>345</v>
      </c>
      <c r="D974" s="11" t="s">
        <v>10</v>
      </c>
      <c r="F974" s="246" t="s">
        <v>492</v>
      </c>
      <c r="G974" s="223"/>
      <c r="H974" s="223"/>
      <c r="I974" s="223"/>
      <c r="J974" s="223"/>
      <c r="K974" s="223"/>
      <c r="L974" s="223"/>
      <c r="M974" s="223"/>
      <c r="N974" s="223"/>
      <c r="O974" s="223"/>
      <c r="P974" s="223"/>
      <c r="Q974" s="223"/>
      <c r="R974" s="223"/>
      <c r="S974" s="223"/>
      <c r="T974" s="223"/>
      <c r="U974" s="223"/>
      <c r="V974" s="223"/>
      <c r="W974" s="223"/>
      <c r="X974" s="223"/>
      <c r="Y974" s="223"/>
      <c r="Z974" s="223"/>
      <c r="AA974" s="223"/>
      <c r="AB974" s="223"/>
      <c r="AC974" s="223"/>
      <c r="AD974" s="224"/>
      <c r="AE974" s="115"/>
      <c r="AH974" s="77"/>
    </row>
    <row r="975" spans="1:34" ht="12.75" customHeight="1">
      <c r="A975" s="115"/>
      <c r="B975" s="11"/>
      <c r="F975" s="64" t="s">
        <v>414</v>
      </c>
      <c r="L975" s="246" t="s">
        <v>102</v>
      </c>
      <c r="M975" s="223"/>
      <c r="N975" s="223"/>
      <c r="O975" s="223"/>
      <c r="P975" s="223"/>
      <c r="Q975" s="223"/>
      <c r="R975" s="223"/>
      <c r="S975" s="224"/>
      <c r="T975" s="64" t="s">
        <v>415</v>
      </c>
      <c r="X975" s="246" t="s">
        <v>106</v>
      </c>
      <c r="Y975" s="223"/>
      <c r="Z975" s="223"/>
      <c r="AA975" s="223"/>
      <c r="AB975" s="223"/>
      <c r="AC975" s="223"/>
      <c r="AD975" s="224"/>
      <c r="AE975" s="115"/>
      <c r="AH975" s="77"/>
    </row>
    <row r="976" spans="1:34" ht="12.75" customHeight="1">
      <c r="A976" s="115"/>
      <c r="B976" s="11"/>
      <c r="F976" s="64" t="s">
        <v>416</v>
      </c>
      <c r="L976" s="246" t="s">
        <v>104</v>
      </c>
      <c r="M976" s="223"/>
      <c r="N976" s="223"/>
      <c r="O976" s="223"/>
      <c r="P976" s="223"/>
      <c r="Q976" s="223"/>
      <c r="R976" s="223"/>
      <c r="S976" s="224"/>
      <c r="T976" s="64" t="s">
        <v>417</v>
      </c>
      <c r="X976" s="246" t="s">
        <v>418</v>
      </c>
      <c r="Y976" s="223"/>
      <c r="Z976" s="223"/>
      <c r="AA976" s="223"/>
      <c r="AB976" s="223"/>
      <c r="AC976" s="223"/>
      <c r="AD976" s="224"/>
      <c r="AE976" s="115"/>
      <c r="AH976" s="77"/>
    </row>
    <row r="977" spans="1:34" ht="12.75" customHeight="1">
      <c r="A977" s="115"/>
      <c r="B977" s="11" t="s">
        <v>137</v>
      </c>
      <c r="C977" s="64" t="s">
        <v>419</v>
      </c>
      <c r="D977" s="11" t="s">
        <v>10</v>
      </c>
      <c r="F977" s="91">
        <v>1</v>
      </c>
      <c r="G977" s="64" t="s">
        <v>111</v>
      </c>
      <c r="J977" s="64" t="s">
        <v>115</v>
      </c>
      <c r="M977" s="64" t="s">
        <v>118</v>
      </c>
      <c r="P977" s="64" t="s">
        <v>420</v>
      </c>
      <c r="AE977" s="115"/>
      <c r="AH977" s="77"/>
    </row>
    <row r="978" spans="1:34" ht="12.75" customHeight="1">
      <c r="A978" s="115"/>
      <c r="B978" s="11" t="s">
        <v>145</v>
      </c>
      <c r="C978" s="64" t="s">
        <v>421</v>
      </c>
      <c r="D978" s="11" t="s">
        <v>10</v>
      </c>
      <c r="F978" s="225" t="s">
        <v>397</v>
      </c>
      <c r="G978" s="194"/>
      <c r="H978" s="95">
        <v>1</v>
      </c>
      <c r="I978" s="95">
        <v>2</v>
      </c>
      <c r="J978" s="240" t="s">
        <v>422</v>
      </c>
      <c r="K978" s="194"/>
      <c r="L978" s="194"/>
      <c r="M978" s="78">
        <v>0</v>
      </c>
      <c r="N978" s="78">
        <v>1</v>
      </c>
      <c r="O978" s="240" t="s">
        <v>399</v>
      </c>
      <c r="P978" s="194"/>
      <c r="Q978" s="194"/>
      <c r="R978" s="78">
        <v>2</v>
      </c>
      <c r="S978" s="78">
        <v>0</v>
      </c>
      <c r="T978" s="78">
        <v>1</v>
      </c>
      <c r="U978" s="78">
        <v>9</v>
      </c>
      <c r="V978" s="11"/>
      <c r="AE978" s="115"/>
      <c r="AH978" s="77"/>
    </row>
    <row r="979" spans="1:34" ht="12.75" customHeight="1">
      <c r="A979" s="115"/>
      <c r="B979" s="11" t="s">
        <v>424</v>
      </c>
      <c r="C979" s="64" t="s">
        <v>425</v>
      </c>
      <c r="D979" s="11" t="s">
        <v>10</v>
      </c>
      <c r="F979" s="91">
        <v>2</v>
      </c>
      <c r="G979" s="91">
        <v>0</v>
      </c>
      <c r="H979" s="91">
        <v>0</v>
      </c>
      <c r="I979" s="91">
        <v>0</v>
      </c>
      <c r="AE979" s="115"/>
      <c r="AH979" s="77"/>
    </row>
    <row r="980" spans="1:34" ht="12.75" customHeight="1">
      <c r="A980" s="115"/>
      <c r="B980" s="11" t="s">
        <v>427</v>
      </c>
      <c r="C980" s="64" t="s">
        <v>428</v>
      </c>
      <c r="D980" s="11" t="s">
        <v>10</v>
      </c>
      <c r="F980" s="91">
        <v>1</v>
      </c>
      <c r="G980" s="64" t="s">
        <v>429</v>
      </c>
      <c r="P980" s="64" t="s">
        <v>430</v>
      </c>
      <c r="X980" s="64" t="s">
        <v>431</v>
      </c>
      <c r="AE980" s="115"/>
      <c r="AH980" s="77"/>
    </row>
    <row r="981" spans="1:34" ht="12.75" customHeight="1">
      <c r="A981" s="115"/>
      <c r="B981" s="11"/>
      <c r="D981" s="11"/>
      <c r="G981" s="64" t="s">
        <v>432</v>
      </c>
      <c r="P981" s="64" t="s">
        <v>433</v>
      </c>
      <c r="X981" s="64" t="s">
        <v>411</v>
      </c>
      <c r="AE981" s="115"/>
      <c r="AH981" s="77"/>
    </row>
    <row r="982" spans="1:34" ht="12.75" customHeight="1">
      <c r="A982" s="115"/>
      <c r="B982" s="11" t="s">
        <v>434</v>
      </c>
      <c r="C982" s="64" t="s">
        <v>435</v>
      </c>
      <c r="D982" s="11" t="s">
        <v>10</v>
      </c>
      <c r="F982" s="78" t="s">
        <v>468</v>
      </c>
      <c r="G982" s="78" t="s">
        <v>467</v>
      </c>
      <c r="H982" s="78" t="s">
        <v>475</v>
      </c>
      <c r="I982" s="78" t="s">
        <v>464</v>
      </c>
      <c r="J982" s="78" t="s">
        <v>466</v>
      </c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AE982" s="115"/>
      <c r="AH982" s="77"/>
    </row>
    <row r="983" spans="1:34" ht="12.75" customHeight="1">
      <c r="A983" s="115"/>
      <c r="B983" s="11" t="s">
        <v>436</v>
      </c>
      <c r="C983" s="64" t="s">
        <v>437</v>
      </c>
      <c r="D983" s="11" t="s">
        <v>10</v>
      </c>
      <c r="F983" s="78">
        <v>4</v>
      </c>
      <c r="G983" s="64" t="s">
        <v>438</v>
      </c>
      <c r="L983" s="64" t="s">
        <v>439</v>
      </c>
      <c r="T983" s="64" t="s">
        <v>440</v>
      </c>
      <c r="Y983" s="64" t="s">
        <v>441</v>
      </c>
      <c r="AE983" s="115"/>
      <c r="AH983" s="77"/>
    </row>
    <row r="984" spans="1:34" ht="12.75" customHeight="1">
      <c r="A984" s="115"/>
      <c r="B984" s="117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118"/>
      <c r="AH984" s="77"/>
    </row>
    <row r="985" spans="1:34" ht="12.75" customHeight="1">
      <c r="A985" s="115"/>
      <c r="B985" s="38" t="s">
        <v>442</v>
      </c>
      <c r="AE985" s="115"/>
      <c r="AH985" s="77"/>
    </row>
    <row r="986" spans="1:34" ht="12.75" customHeight="1">
      <c r="A986" s="115"/>
      <c r="B986" s="11" t="s">
        <v>111</v>
      </c>
      <c r="C986" s="64" t="s">
        <v>340</v>
      </c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AE986" s="115"/>
      <c r="AH986" s="77"/>
    </row>
    <row r="987" spans="1:34" ht="12.75" customHeight="1">
      <c r="A987" s="115"/>
      <c r="B987" s="11" t="s">
        <v>115</v>
      </c>
      <c r="C987" s="64" t="s">
        <v>391</v>
      </c>
      <c r="F987" s="78" t="s">
        <v>484</v>
      </c>
      <c r="G987" s="78" t="s">
        <v>467</v>
      </c>
      <c r="H987" s="78" t="s">
        <v>486</v>
      </c>
      <c r="I987" s="78" t="s">
        <v>464</v>
      </c>
      <c r="J987" s="78" t="s">
        <v>469</v>
      </c>
      <c r="K987" s="78"/>
      <c r="L987" s="78"/>
      <c r="M987" s="78"/>
      <c r="N987" s="78"/>
      <c r="O987" s="78"/>
      <c r="P987" s="78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  <c r="AC987" s="91"/>
      <c r="AD987" s="91"/>
      <c r="AE987" s="115"/>
      <c r="AH987" s="77"/>
    </row>
    <row r="988" spans="1:34" ht="12.75" customHeight="1">
      <c r="A988" s="115"/>
      <c r="B988" s="11" t="s">
        <v>118</v>
      </c>
      <c r="C988" s="64" t="s">
        <v>396</v>
      </c>
      <c r="F988" s="225" t="s">
        <v>397</v>
      </c>
      <c r="G988" s="239"/>
      <c r="H988" s="55"/>
      <c r="I988" s="55"/>
      <c r="J988" s="240" t="s">
        <v>398</v>
      </c>
      <c r="K988" s="194"/>
      <c r="L988" s="239"/>
      <c r="M988" s="55"/>
      <c r="N988" s="55"/>
      <c r="O988" s="240" t="s">
        <v>399</v>
      </c>
      <c r="P988" s="194"/>
      <c r="Q988" s="239"/>
      <c r="R988" s="91"/>
      <c r="S988" s="91"/>
      <c r="T988" s="91"/>
      <c r="U988" s="91"/>
      <c r="V988" s="240" t="s">
        <v>359</v>
      </c>
      <c r="W988" s="194"/>
      <c r="X988" s="239"/>
      <c r="Y988" s="91"/>
      <c r="Z988" s="91"/>
      <c r="AA988" s="91"/>
      <c r="AE988" s="115"/>
      <c r="AH988" s="77"/>
    </row>
    <row r="989" spans="1:34" ht="12.75" customHeight="1">
      <c r="A989" s="115"/>
      <c r="B989" s="11" t="s">
        <v>121</v>
      </c>
      <c r="C989" s="64" t="s">
        <v>128</v>
      </c>
      <c r="F989" s="91"/>
      <c r="G989" s="91"/>
      <c r="AE989" s="115"/>
      <c r="AH989" s="77"/>
    </row>
    <row r="990" spans="1:34" ht="12.75" customHeight="1">
      <c r="A990" s="115"/>
      <c r="B990" s="11" t="s">
        <v>124</v>
      </c>
      <c r="C990" s="64" t="s">
        <v>345</v>
      </c>
      <c r="F990" s="252"/>
      <c r="G990" s="223"/>
      <c r="H990" s="223"/>
      <c r="I990" s="223"/>
      <c r="J990" s="223"/>
      <c r="K990" s="223"/>
      <c r="L990" s="223"/>
      <c r="M990" s="223"/>
      <c r="N990" s="223"/>
      <c r="O990" s="223"/>
      <c r="P990" s="223"/>
      <c r="Q990" s="223"/>
      <c r="R990" s="223"/>
      <c r="S990" s="223"/>
      <c r="T990" s="223"/>
      <c r="U990" s="223"/>
      <c r="V990" s="223"/>
      <c r="W990" s="223"/>
      <c r="X990" s="223"/>
      <c r="Y990" s="223"/>
      <c r="Z990" s="223"/>
      <c r="AA990" s="223"/>
      <c r="AB990" s="223"/>
      <c r="AC990" s="223"/>
      <c r="AD990" s="224"/>
      <c r="AE990" s="115"/>
      <c r="AH990" s="77"/>
    </row>
    <row r="991" spans="1:34" ht="12.75" customHeight="1">
      <c r="A991" s="115"/>
      <c r="F991" s="64" t="s">
        <v>414</v>
      </c>
      <c r="L991" s="252"/>
      <c r="M991" s="223"/>
      <c r="N991" s="223"/>
      <c r="O991" s="223"/>
      <c r="P991" s="223"/>
      <c r="Q991" s="223"/>
      <c r="R991" s="223"/>
      <c r="S991" s="224"/>
      <c r="T991" s="64" t="s">
        <v>415</v>
      </c>
      <c r="X991" s="252"/>
      <c r="Y991" s="223"/>
      <c r="Z991" s="223"/>
      <c r="AA991" s="223"/>
      <c r="AB991" s="223"/>
      <c r="AC991" s="223"/>
      <c r="AD991" s="224"/>
      <c r="AE991" s="115"/>
      <c r="AH991" s="77"/>
    </row>
    <row r="992" spans="1:34" ht="12.75" customHeight="1">
      <c r="A992" s="115"/>
      <c r="F992" s="64" t="s">
        <v>416</v>
      </c>
      <c r="L992" s="252"/>
      <c r="M992" s="223"/>
      <c r="N992" s="223"/>
      <c r="O992" s="223"/>
      <c r="P992" s="223"/>
      <c r="Q992" s="223"/>
      <c r="R992" s="223"/>
      <c r="S992" s="224"/>
      <c r="T992" s="64" t="s">
        <v>417</v>
      </c>
      <c r="X992" s="252"/>
      <c r="Y992" s="223"/>
      <c r="Z992" s="223"/>
      <c r="AA992" s="223"/>
      <c r="AB992" s="223"/>
      <c r="AC992" s="223"/>
      <c r="AD992" s="224"/>
      <c r="AE992" s="115"/>
      <c r="AH992" s="77"/>
    </row>
    <row r="993" spans="1:34" ht="12.75" customHeight="1">
      <c r="A993" s="115"/>
      <c r="B993" s="117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118"/>
      <c r="AH993" s="77"/>
    </row>
    <row r="994" spans="1:34" ht="12.75" customHeight="1">
      <c r="A994" s="115"/>
      <c r="B994" s="38" t="s">
        <v>448</v>
      </c>
      <c r="AE994" s="115"/>
      <c r="AH994" s="77"/>
    </row>
    <row r="995" spans="1:34" ht="12.75" customHeight="1">
      <c r="A995" s="115"/>
      <c r="B995" s="11" t="s">
        <v>111</v>
      </c>
      <c r="C995" s="64" t="s">
        <v>340</v>
      </c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AE995" s="115"/>
      <c r="AH995" s="77"/>
    </row>
    <row r="996" spans="1:34" ht="12.75" customHeight="1">
      <c r="A996" s="115"/>
      <c r="B996" s="11" t="s">
        <v>115</v>
      </c>
      <c r="C996" s="64" t="s">
        <v>391</v>
      </c>
      <c r="F996" s="78" t="s">
        <v>463</v>
      </c>
      <c r="G996" s="78" t="s">
        <v>464</v>
      </c>
      <c r="H996" s="78" t="s">
        <v>468</v>
      </c>
      <c r="I996" s="78" t="s">
        <v>475</v>
      </c>
      <c r="J996" s="78" t="s">
        <v>464</v>
      </c>
      <c r="K996" s="78" t="s">
        <v>466</v>
      </c>
      <c r="L996" s="78"/>
      <c r="M996" s="78"/>
      <c r="N996" s="78"/>
      <c r="O996" s="78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  <c r="AA996" s="91"/>
      <c r="AB996" s="91"/>
      <c r="AC996" s="91"/>
      <c r="AD996" s="91"/>
      <c r="AE996" s="115"/>
      <c r="AH996" s="77"/>
    </row>
    <row r="997" spans="1:34" ht="12.75" customHeight="1">
      <c r="A997" s="115"/>
      <c r="B997" s="11" t="s">
        <v>118</v>
      </c>
      <c r="C997" s="64" t="s">
        <v>396</v>
      </c>
      <c r="F997" s="225" t="s">
        <v>397</v>
      </c>
      <c r="G997" s="239"/>
      <c r="H997" s="55"/>
      <c r="I997" s="55"/>
      <c r="J997" s="240" t="s">
        <v>398</v>
      </c>
      <c r="K997" s="194"/>
      <c r="L997" s="239"/>
      <c r="M997" s="55"/>
      <c r="N997" s="55"/>
      <c r="O997" s="240" t="s">
        <v>399</v>
      </c>
      <c r="P997" s="194"/>
      <c r="Q997" s="239"/>
      <c r="R997" s="91"/>
      <c r="S997" s="91"/>
      <c r="T997" s="91"/>
      <c r="U997" s="91"/>
      <c r="V997" s="240" t="s">
        <v>359</v>
      </c>
      <c r="W997" s="194"/>
      <c r="X997" s="239"/>
      <c r="Y997" s="91"/>
      <c r="Z997" s="91"/>
      <c r="AA997" s="91"/>
      <c r="AE997" s="115"/>
      <c r="AH997" s="77"/>
    </row>
    <row r="998" spans="1:34" ht="12.75" customHeight="1">
      <c r="A998" s="115"/>
      <c r="B998" s="11" t="s">
        <v>121</v>
      </c>
      <c r="C998" s="64" t="s">
        <v>128</v>
      </c>
      <c r="F998" s="91"/>
      <c r="G998" s="91"/>
      <c r="AE998" s="115"/>
      <c r="AH998" s="77"/>
    </row>
    <row r="999" spans="1:34" ht="12.75" customHeight="1">
      <c r="A999" s="115"/>
      <c r="B999" s="11" t="s">
        <v>124</v>
      </c>
      <c r="C999" s="64" t="s">
        <v>345</v>
      </c>
      <c r="F999" s="252"/>
      <c r="G999" s="223"/>
      <c r="H999" s="223"/>
      <c r="I999" s="223"/>
      <c r="J999" s="223"/>
      <c r="K999" s="223"/>
      <c r="L999" s="223"/>
      <c r="M999" s="223"/>
      <c r="N999" s="223"/>
      <c r="O999" s="223"/>
      <c r="P999" s="223"/>
      <c r="Q999" s="223"/>
      <c r="R999" s="223"/>
      <c r="S999" s="223"/>
      <c r="T999" s="223"/>
      <c r="U999" s="223"/>
      <c r="V999" s="223"/>
      <c r="W999" s="223"/>
      <c r="X999" s="223"/>
      <c r="Y999" s="223"/>
      <c r="Z999" s="223"/>
      <c r="AA999" s="223"/>
      <c r="AB999" s="223"/>
      <c r="AC999" s="223"/>
      <c r="AD999" s="224"/>
      <c r="AE999" s="115"/>
      <c r="AH999" s="77"/>
    </row>
    <row r="1000" spans="1:34" ht="12.75" customHeight="1">
      <c r="A1000" s="115"/>
      <c r="F1000" s="64" t="s">
        <v>414</v>
      </c>
      <c r="L1000" s="252"/>
      <c r="M1000" s="223"/>
      <c r="N1000" s="223"/>
      <c r="O1000" s="223"/>
      <c r="P1000" s="223"/>
      <c r="Q1000" s="223"/>
      <c r="R1000" s="223"/>
      <c r="S1000" s="224"/>
      <c r="T1000" s="64" t="s">
        <v>415</v>
      </c>
      <c r="X1000" s="252"/>
      <c r="Y1000" s="223"/>
      <c r="Z1000" s="223"/>
      <c r="AA1000" s="223"/>
      <c r="AB1000" s="223"/>
      <c r="AC1000" s="223"/>
      <c r="AD1000" s="224"/>
      <c r="AE1000" s="115"/>
      <c r="AH1000" s="77"/>
    </row>
    <row r="1001" spans="1:34" ht="12.75" customHeight="1">
      <c r="A1001" s="115"/>
      <c r="F1001" s="64" t="s">
        <v>416</v>
      </c>
      <c r="L1001" s="252"/>
      <c r="M1001" s="223"/>
      <c r="N1001" s="223"/>
      <c r="O1001" s="223"/>
      <c r="P1001" s="223"/>
      <c r="Q1001" s="223"/>
      <c r="R1001" s="223"/>
      <c r="S1001" s="224"/>
      <c r="T1001" s="64" t="s">
        <v>417</v>
      </c>
      <c r="X1001" s="252"/>
      <c r="Y1001" s="223"/>
      <c r="Z1001" s="223"/>
      <c r="AA1001" s="223"/>
      <c r="AB1001" s="223"/>
      <c r="AC1001" s="223"/>
      <c r="AD1001" s="224"/>
      <c r="AE1001" s="115"/>
      <c r="AH1001" s="77"/>
    </row>
    <row r="1002" spans="1:34" ht="12.75" customHeight="1">
      <c r="A1002" s="115"/>
      <c r="B1002" s="117"/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118"/>
      <c r="AH1002" s="77"/>
    </row>
    <row r="1003" spans="1:34" ht="12.75" customHeight="1">
      <c r="A1003" s="115"/>
      <c r="B1003" s="38" t="s">
        <v>456</v>
      </c>
      <c r="AE1003" s="115"/>
      <c r="AH1003" s="77"/>
    </row>
    <row r="1004" spans="1:34" ht="12.75" customHeight="1">
      <c r="A1004" s="115"/>
      <c r="B1004" s="11" t="s">
        <v>111</v>
      </c>
      <c r="C1004" s="64" t="s">
        <v>340</v>
      </c>
      <c r="F1004" s="95">
        <v>3</v>
      </c>
      <c r="G1004" s="95">
        <v>3</v>
      </c>
      <c r="H1004" s="95">
        <v>2</v>
      </c>
      <c r="I1004" s="95">
        <v>7</v>
      </c>
      <c r="J1004" s="95">
        <v>0</v>
      </c>
      <c r="K1004" s="95">
        <v>4</v>
      </c>
      <c r="L1004" s="95">
        <v>4</v>
      </c>
      <c r="M1004" s="95">
        <v>1</v>
      </c>
      <c r="N1004" s="95">
        <v>0</v>
      </c>
      <c r="O1004" s="95">
        <v>7</v>
      </c>
      <c r="P1004" s="95">
        <v>8</v>
      </c>
      <c r="Q1004" s="95">
        <v>2</v>
      </c>
      <c r="R1004" s="95">
        <v>0</v>
      </c>
      <c r="S1004" s="95">
        <v>1</v>
      </c>
      <c r="T1004" s="95">
        <v>4</v>
      </c>
      <c r="U1004" s="95">
        <v>8</v>
      </c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5"/>
      <c r="AH1004" s="77"/>
    </row>
    <row r="1005" spans="1:34" ht="12.75" customHeight="1">
      <c r="A1005" s="115"/>
      <c r="B1005" s="11" t="s">
        <v>115</v>
      </c>
      <c r="C1005" s="64" t="s">
        <v>391</v>
      </c>
      <c r="F1005" s="78" t="s">
        <v>491</v>
      </c>
      <c r="G1005" s="78" t="s">
        <v>467</v>
      </c>
      <c r="H1005" s="78" t="s">
        <v>474</v>
      </c>
      <c r="I1005" s="78" t="s">
        <v>469</v>
      </c>
      <c r="J1005" s="78" t="s">
        <v>486</v>
      </c>
      <c r="K1005" s="78" t="s">
        <v>464</v>
      </c>
      <c r="L1005" s="78" t="s">
        <v>466</v>
      </c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  <c r="AA1005" s="78"/>
      <c r="AB1005" s="78"/>
      <c r="AC1005" s="78"/>
      <c r="AD1005" s="78"/>
      <c r="AE1005" s="115"/>
      <c r="AH1005" s="77"/>
    </row>
    <row r="1006" spans="1:34" ht="12.75" customHeight="1">
      <c r="A1006" s="115"/>
      <c r="B1006" s="11" t="s">
        <v>118</v>
      </c>
      <c r="C1006" s="64" t="s">
        <v>396</v>
      </c>
      <c r="F1006" s="225" t="s">
        <v>397</v>
      </c>
      <c r="G1006" s="239"/>
      <c r="H1006" s="78">
        <v>0</v>
      </c>
      <c r="I1006" s="78">
        <v>1</v>
      </c>
      <c r="J1006" s="240" t="s">
        <v>398</v>
      </c>
      <c r="K1006" s="194"/>
      <c r="L1006" s="239"/>
      <c r="M1006" s="78">
        <v>0</v>
      </c>
      <c r="N1006" s="78">
        <v>7</v>
      </c>
      <c r="O1006" s="240" t="s">
        <v>399</v>
      </c>
      <c r="P1006" s="194"/>
      <c r="Q1006" s="239"/>
      <c r="R1006" s="78">
        <v>1</v>
      </c>
      <c r="S1006" s="78">
        <v>9</v>
      </c>
      <c r="T1006" s="78">
        <v>8</v>
      </c>
      <c r="U1006" s="78">
        <v>2</v>
      </c>
      <c r="V1006" s="240" t="s">
        <v>359</v>
      </c>
      <c r="W1006" s="194"/>
      <c r="X1006" s="239"/>
      <c r="Y1006" s="78">
        <v>4</v>
      </c>
      <c r="Z1006" s="78">
        <v>0</v>
      </c>
      <c r="AA1006" s="78"/>
      <c r="AB1006" s="11"/>
      <c r="AC1006" s="11"/>
      <c r="AD1006" s="11"/>
      <c r="AE1006" s="115"/>
      <c r="AH1006" s="77"/>
    </row>
    <row r="1007" spans="1:34" ht="12.75" customHeight="1">
      <c r="A1007" s="115"/>
      <c r="B1007" s="11" t="s">
        <v>121</v>
      </c>
      <c r="C1007" s="64" t="s">
        <v>128</v>
      </c>
      <c r="F1007" s="78">
        <v>0</v>
      </c>
      <c r="G1007" s="78">
        <v>2</v>
      </c>
      <c r="AE1007" s="115"/>
      <c r="AH1007" s="77"/>
    </row>
    <row r="1008" spans="1:34" ht="12.75" customHeight="1">
      <c r="A1008" s="115"/>
      <c r="B1008" s="11" t="s">
        <v>124</v>
      </c>
      <c r="C1008" s="64" t="s">
        <v>345</v>
      </c>
      <c r="F1008" s="246" t="s">
        <v>492</v>
      </c>
      <c r="G1008" s="223"/>
      <c r="H1008" s="223"/>
      <c r="I1008" s="223"/>
      <c r="J1008" s="223"/>
      <c r="K1008" s="223"/>
      <c r="L1008" s="223"/>
      <c r="M1008" s="223"/>
      <c r="N1008" s="223"/>
      <c r="O1008" s="223"/>
      <c r="P1008" s="223"/>
      <c r="Q1008" s="223"/>
      <c r="R1008" s="223"/>
      <c r="S1008" s="223"/>
      <c r="T1008" s="223"/>
      <c r="U1008" s="223"/>
      <c r="V1008" s="223"/>
      <c r="W1008" s="223"/>
      <c r="X1008" s="223"/>
      <c r="Y1008" s="223"/>
      <c r="Z1008" s="223"/>
      <c r="AA1008" s="223"/>
      <c r="AB1008" s="223"/>
      <c r="AC1008" s="223"/>
      <c r="AD1008" s="224"/>
      <c r="AE1008" s="115"/>
      <c r="AH1008" s="77"/>
    </row>
    <row r="1009" spans="1:34" ht="12.75" customHeight="1">
      <c r="A1009" s="115"/>
      <c r="F1009" s="64" t="s">
        <v>414</v>
      </c>
      <c r="L1009" s="246" t="s">
        <v>102</v>
      </c>
      <c r="M1009" s="223"/>
      <c r="N1009" s="223"/>
      <c r="O1009" s="223"/>
      <c r="P1009" s="223"/>
      <c r="Q1009" s="223"/>
      <c r="R1009" s="223"/>
      <c r="S1009" s="224"/>
      <c r="T1009" s="64" t="s">
        <v>415</v>
      </c>
      <c r="X1009" s="246" t="s">
        <v>106</v>
      </c>
      <c r="Y1009" s="223"/>
      <c r="Z1009" s="223"/>
      <c r="AA1009" s="223"/>
      <c r="AB1009" s="223"/>
      <c r="AC1009" s="223"/>
      <c r="AD1009" s="224"/>
      <c r="AE1009" s="115"/>
      <c r="AH1009" s="77"/>
    </row>
    <row r="1010" spans="1:34" ht="12.75" customHeight="1">
      <c r="A1010" s="115"/>
      <c r="F1010" s="64" t="s">
        <v>416</v>
      </c>
      <c r="L1010" s="246" t="s">
        <v>104</v>
      </c>
      <c r="M1010" s="223"/>
      <c r="N1010" s="223"/>
      <c r="O1010" s="223"/>
      <c r="P1010" s="223"/>
      <c r="Q1010" s="223"/>
      <c r="R1010" s="223"/>
      <c r="S1010" s="224"/>
      <c r="T1010" s="64" t="s">
        <v>417</v>
      </c>
      <c r="X1010" s="246" t="s">
        <v>418</v>
      </c>
      <c r="Y1010" s="223"/>
      <c r="Z1010" s="223"/>
      <c r="AA1010" s="223"/>
      <c r="AB1010" s="223"/>
      <c r="AC1010" s="223"/>
      <c r="AD1010" s="224"/>
      <c r="AE1010" s="115"/>
      <c r="AH1010" s="77"/>
    </row>
    <row r="1011" spans="1:34" ht="12.75" customHeight="1">
      <c r="A1011" s="115"/>
      <c r="B1011" s="117"/>
      <c r="C1011" s="62"/>
      <c r="D1011" s="62"/>
      <c r="E1011" s="62"/>
      <c r="F1011" s="62"/>
      <c r="G1011" s="62"/>
      <c r="H1011" s="62"/>
      <c r="I1011" s="62"/>
      <c r="J1011" s="62"/>
      <c r="K1011" s="62"/>
      <c r="L1011" s="62"/>
      <c r="M1011" s="62"/>
      <c r="N1011" s="62"/>
      <c r="O1011" s="62"/>
      <c r="P1011" s="62"/>
      <c r="Q1011" s="62"/>
      <c r="R1011" s="62"/>
      <c r="S1011" s="62"/>
      <c r="T1011" s="62"/>
      <c r="U1011" s="62"/>
      <c r="V1011" s="62"/>
      <c r="W1011" s="62"/>
      <c r="X1011" s="62"/>
      <c r="Y1011" s="62"/>
      <c r="Z1011" s="62"/>
      <c r="AA1011" s="62"/>
      <c r="AB1011" s="62"/>
      <c r="AC1011" s="62"/>
      <c r="AD1011" s="62"/>
      <c r="AE1011" s="118"/>
      <c r="AH1011" s="77"/>
    </row>
    <row r="1012" spans="1:34" ht="12.75" customHeight="1">
      <c r="A1012" s="115"/>
      <c r="B1012" s="38" t="s">
        <v>457</v>
      </c>
      <c r="AE1012" s="115"/>
      <c r="AH1012" s="77"/>
    </row>
    <row r="1013" spans="1:34" ht="12.75" customHeight="1">
      <c r="A1013" s="115"/>
      <c r="B1013" s="11" t="s">
        <v>111</v>
      </c>
      <c r="C1013" s="64" t="s">
        <v>340</v>
      </c>
      <c r="F1013" s="95">
        <v>3</v>
      </c>
      <c r="G1013" s="95">
        <v>3</v>
      </c>
      <c r="H1013" s="95">
        <v>2</v>
      </c>
      <c r="I1013" s="95">
        <v>7</v>
      </c>
      <c r="J1013" s="95">
        <v>0</v>
      </c>
      <c r="K1013" s="95">
        <v>4</v>
      </c>
      <c r="L1013" s="95">
        <v>4</v>
      </c>
      <c r="M1013" s="95">
        <v>1</v>
      </c>
      <c r="N1013" s="95">
        <v>0</v>
      </c>
      <c r="O1013" s="95">
        <v>7</v>
      </c>
      <c r="P1013" s="95">
        <v>8</v>
      </c>
      <c r="Q1013" s="95">
        <v>2</v>
      </c>
      <c r="R1013" s="95">
        <v>0</v>
      </c>
      <c r="S1013" s="95">
        <v>1</v>
      </c>
      <c r="T1013" s="95">
        <v>4</v>
      </c>
      <c r="U1013" s="95">
        <v>8</v>
      </c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5"/>
      <c r="AH1013" s="77"/>
    </row>
    <row r="1014" spans="1:34" ht="12.75" customHeight="1">
      <c r="A1014" s="115"/>
      <c r="B1014" s="11" t="s">
        <v>115</v>
      </c>
      <c r="C1014" s="64" t="s">
        <v>391</v>
      </c>
      <c r="F1014" s="78" t="s">
        <v>491</v>
      </c>
      <c r="G1014" s="78" t="s">
        <v>467</v>
      </c>
      <c r="H1014" s="78" t="s">
        <v>474</v>
      </c>
      <c r="I1014" s="78" t="s">
        <v>469</v>
      </c>
      <c r="J1014" s="78" t="s">
        <v>486</v>
      </c>
      <c r="K1014" s="78" t="s">
        <v>464</v>
      </c>
      <c r="L1014" s="78" t="s">
        <v>466</v>
      </c>
      <c r="M1014" s="78"/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  <c r="AA1014" s="78"/>
      <c r="AB1014" s="78"/>
      <c r="AC1014" s="78"/>
      <c r="AD1014" s="78"/>
      <c r="AE1014" s="115"/>
      <c r="AH1014" s="77"/>
    </row>
    <row r="1015" spans="1:34" ht="12.75" customHeight="1">
      <c r="A1015" s="115"/>
      <c r="B1015" s="11" t="s">
        <v>118</v>
      </c>
      <c r="C1015" s="64" t="s">
        <v>396</v>
      </c>
      <c r="F1015" s="225" t="s">
        <v>397</v>
      </c>
      <c r="G1015" s="239"/>
      <c r="H1015" s="78">
        <v>0</v>
      </c>
      <c r="I1015" s="78">
        <v>1</v>
      </c>
      <c r="J1015" s="240" t="s">
        <v>398</v>
      </c>
      <c r="K1015" s="194"/>
      <c r="L1015" s="239"/>
      <c r="M1015" s="78">
        <v>0</v>
      </c>
      <c r="N1015" s="78">
        <v>7</v>
      </c>
      <c r="O1015" s="240" t="s">
        <v>399</v>
      </c>
      <c r="P1015" s="194"/>
      <c r="Q1015" s="239"/>
      <c r="R1015" s="78">
        <v>1</v>
      </c>
      <c r="S1015" s="78">
        <v>9</v>
      </c>
      <c r="T1015" s="78">
        <v>8</v>
      </c>
      <c r="U1015" s="78">
        <v>2</v>
      </c>
      <c r="V1015" s="240" t="s">
        <v>359</v>
      </c>
      <c r="W1015" s="194"/>
      <c r="X1015" s="239"/>
      <c r="Y1015" s="78">
        <v>4</v>
      </c>
      <c r="Z1015" s="78">
        <v>0</v>
      </c>
      <c r="AA1015" s="78"/>
      <c r="AB1015" s="11"/>
      <c r="AC1015" s="11"/>
      <c r="AD1015" s="11"/>
      <c r="AE1015" s="115"/>
      <c r="AH1015" s="77"/>
    </row>
    <row r="1016" spans="1:34" ht="12.75" customHeight="1">
      <c r="A1016" s="115"/>
      <c r="B1016" s="11" t="s">
        <v>121</v>
      </c>
      <c r="C1016" s="64" t="s">
        <v>128</v>
      </c>
      <c r="F1016" s="78">
        <v>0</v>
      </c>
      <c r="G1016" s="78">
        <v>2</v>
      </c>
      <c r="AE1016" s="115"/>
      <c r="AH1016" s="77"/>
    </row>
    <row r="1017" spans="1:34" ht="12.75" customHeight="1">
      <c r="A1017" s="115"/>
      <c r="B1017" s="11" t="s">
        <v>124</v>
      </c>
      <c r="C1017" s="64" t="s">
        <v>345</v>
      </c>
      <c r="F1017" s="246" t="s">
        <v>492</v>
      </c>
      <c r="G1017" s="223"/>
      <c r="H1017" s="223"/>
      <c r="I1017" s="223"/>
      <c r="J1017" s="223"/>
      <c r="K1017" s="223"/>
      <c r="L1017" s="223"/>
      <c r="M1017" s="223"/>
      <c r="N1017" s="223"/>
      <c r="O1017" s="223"/>
      <c r="P1017" s="223"/>
      <c r="Q1017" s="223"/>
      <c r="R1017" s="223"/>
      <c r="S1017" s="223"/>
      <c r="T1017" s="223"/>
      <c r="U1017" s="223"/>
      <c r="V1017" s="223"/>
      <c r="W1017" s="223"/>
      <c r="X1017" s="223"/>
      <c r="Y1017" s="223"/>
      <c r="Z1017" s="223"/>
      <c r="AA1017" s="223"/>
      <c r="AB1017" s="223"/>
      <c r="AC1017" s="223"/>
      <c r="AD1017" s="224"/>
      <c r="AE1017" s="115"/>
      <c r="AH1017" s="77"/>
    </row>
    <row r="1018" spans="1:34" ht="12.75" customHeight="1">
      <c r="A1018" s="115"/>
      <c r="F1018" s="64" t="s">
        <v>414</v>
      </c>
      <c r="L1018" s="246" t="s">
        <v>102</v>
      </c>
      <c r="M1018" s="223"/>
      <c r="N1018" s="223"/>
      <c r="O1018" s="223"/>
      <c r="P1018" s="223"/>
      <c r="Q1018" s="223"/>
      <c r="R1018" s="223"/>
      <c r="S1018" s="224"/>
      <c r="T1018" s="64" t="s">
        <v>415</v>
      </c>
      <c r="X1018" s="246" t="s">
        <v>106</v>
      </c>
      <c r="Y1018" s="223"/>
      <c r="Z1018" s="223"/>
      <c r="AA1018" s="223"/>
      <c r="AB1018" s="223"/>
      <c r="AC1018" s="223"/>
      <c r="AD1018" s="224"/>
      <c r="AE1018" s="115"/>
      <c r="AH1018" s="77"/>
    </row>
    <row r="1019" spans="1:34" ht="12.75" customHeight="1">
      <c r="A1019" s="115"/>
      <c r="F1019" s="64" t="s">
        <v>416</v>
      </c>
      <c r="L1019" s="246" t="s">
        <v>104</v>
      </c>
      <c r="M1019" s="223"/>
      <c r="N1019" s="223"/>
      <c r="O1019" s="223"/>
      <c r="P1019" s="223"/>
      <c r="Q1019" s="223"/>
      <c r="R1019" s="223"/>
      <c r="S1019" s="224"/>
      <c r="T1019" s="64" t="s">
        <v>417</v>
      </c>
      <c r="X1019" s="246" t="s">
        <v>418</v>
      </c>
      <c r="Y1019" s="223"/>
      <c r="Z1019" s="223"/>
      <c r="AA1019" s="223"/>
      <c r="AB1019" s="223"/>
      <c r="AC1019" s="223"/>
      <c r="AD1019" s="224"/>
      <c r="AE1019" s="115"/>
      <c r="AH1019" s="77"/>
    </row>
    <row r="1020" spans="1:34" ht="12.75" customHeight="1">
      <c r="A1020" s="115"/>
      <c r="B1020" s="117"/>
      <c r="C1020" s="62"/>
      <c r="D1020" s="62"/>
      <c r="E1020" s="62"/>
      <c r="F1020" s="62"/>
      <c r="G1020" s="62"/>
      <c r="H1020" s="62"/>
      <c r="I1020" s="62"/>
      <c r="J1020" s="62"/>
      <c r="K1020" s="62"/>
      <c r="L1020" s="62"/>
      <c r="M1020" s="62"/>
      <c r="N1020" s="62"/>
      <c r="O1020" s="62"/>
      <c r="P1020" s="62"/>
      <c r="Q1020" s="62"/>
      <c r="R1020" s="62"/>
      <c r="S1020" s="62"/>
      <c r="T1020" s="62"/>
      <c r="U1020" s="62"/>
      <c r="V1020" s="62"/>
      <c r="W1020" s="62"/>
      <c r="X1020" s="62"/>
      <c r="Y1020" s="62"/>
      <c r="Z1020" s="62"/>
      <c r="AA1020" s="62"/>
      <c r="AB1020" s="62"/>
      <c r="AC1020" s="62"/>
      <c r="AD1020" s="62"/>
      <c r="AE1020" s="118"/>
      <c r="AH1020" s="77"/>
    </row>
    <row r="1021" spans="1:34" ht="12.75" customHeight="1">
      <c r="A1021" s="115"/>
      <c r="B1021" s="64" t="s">
        <v>472</v>
      </c>
      <c r="AE1021" s="115"/>
      <c r="AH1021" s="77"/>
    </row>
    <row r="1022" spans="1:34" ht="12.75" customHeight="1">
      <c r="A1022" s="115"/>
      <c r="B1022" s="11" t="s">
        <v>111</v>
      </c>
      <c r="C1022" s="64" t="s">
        <v>340</v>
      </c>
      <c r="F1022" s="95">
        <v>3</v>
      </c>
      <c r="G1022" s="95">
        <v>3</v>
      </c>
      <c r="H1022" s="95">
        <v>2</v>
      </c>
      <c r="I1022" s="95">
        <v>7</v>
      </c>
      <c r="J1022" s="95">
        <v>0</v>
      </c>
      <c r="K1022" s="95">
        <v>4</v>
      </c>
      <c r="L1022" s="95">
        <v>5</v>
      </c>
      <c r="M1022" s="95">
        <v>2</v>
      </c>
      <c r="N1022" s="95">
        <v>0</v>
      </c>
      <c r="O1022" s="95">
        <v>6</v>
      </c>
      <c r="P1022" s="95">
        <v>0</v>
      </c>
      <c r="Q1022" s="95">
        <v>0</v>
      </c>
      <c r="R1022" s="95">
        <v>0</v>
      </c>
      <c r="S1022" s="95">
        <v>0</v>
      </c>
      <c r="T1022" s="95">
        <v>0</v>
      </c>
      <c r="U1022" s="95">
        <v>2</v>
      </c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5"/>
      <c r="AH1022" s="77"/>
    </row>
    <row r="1023" spans="1:34" ht="12.75" customHeight="1">
      <c r="A1023" s="115"/>
      <c r="B1023" s="11" t="s">
        <v>115</v>
      </c>
      <c r="C1023" s="64" t="s">
        <v>391</v>
      </c>
      <c r="F1023" s="78" t="s">
        <v>465</v>
      </c>
      <c r="G1023" s="78" t="s">
        <v>466</v>
      </c>
      <c r="H1023" s="78" t="s">
        <v>477</v>
      </c>
      <c r="I1023" s="78" t="s">
        <v>491</v>
      </c>
      <c r="J1023" s="78" t="s">
        <v>464</v>
      </c>
      <c r="K1023" s="78" t="s">
        <v>468</v>
      </c>
      <c r="L1023" s="78" t="s">
        <v>477</v>
      </c>
      <c r="M1023" s="78" t="s">
        <v>466</v>
      </c>
      <c r="N1023" s="78"/>
      <c r="O1023" s="78"/>
      <c r="P1023" s="78"/>
      <c r="Q1023" s="78"/>
      <c r="R1023" s="78"/>
      <c r="S1023" s="78"/>
      <c r="T1023" s="78"/>
      <c r="U1023" s="78"/>
      <c r="V1023" s="78"/>
      <c r="W1023" s="78"/>
      <c r="X1023" s="78"/>
      <c r="Y1023" s="78"/>
      <c r="Z1023" s="78"/>
      <c r="AA1023" s="78"/>
      <c r="AB1023" s="78"/>
      <c r="AC1023" s="78"/>
      <c r="AD1023" s="78"/>
      <c r="AE1023" s="115"/>
      <c r="AH1023" s="77"/>
    </row>
    <row r="1024" spans="1:34" ht="12.75" customHeight="1">
      <c r="A1024" s="115"/>
      <c r="B1024" s="11" t="s">
        <v>118</v>
      </c>
      <c r="C1024" s="64" t="s">
        <v>396</v>
      </c>
      <c r="F1024" s="225" t="s">
        <v>397</v>
      </c>
      <c r="G1024" s="239"/>
      <c r="H1024" s="78">
        <v>1</v>
      </c>
      <c r="I1024" s="78">
        <v>2</v>
      </c>
      <c r="J1024" s="240" t="s">
        <v>398</v>
      </c>
      <c r="K1024" s="194"/>
      <c r="L1024" s="239"/>
      <c r="M1024" s="78">
        <v>0</v>
      </c>
      <c r="N1024" s="78">
        <v>6</v>
      </c>
      <c r="O1024" s="240" t="s">
        <v>399</v>
      </c>
      <c r="P1024" s="194"/>
      <c r="Q1024" s="239"/>
      <c r="R1024" s="78">
        <v>2</v>
      </c>
      <c r="S1024" s="78">
        <v>0</v>
      </c>
      <c r="T1024" s="78">
        <v>0</v>
      </c>
      <c r="U1024" s="78">
        <v>0</v>
      </c>
      <c r="V1024" s="240" t="s">
        <v>359</v>
      </c>
      <c r="W1024" s="194"/>
      <c r="X1024" s="239"/>
      <c r="Y1024" s="78">
        <v>2</v>
      </c>
      <c r="Z1024" s="78">
        <v>2</v>
      </c>
      <c r="AA1024" s="78"/>
      <c r="AB1024" s="11"/>
      <c r="AC1024" s="11"/>
      <c r="AD1024" s="11"/>
      <c r="AE1024" s="115"/>
      <c r="AH1024" s="77"/>
    </row>
    <row r="1025" spans="1:34" ht="12.75" customHeight="1">
      <c r="A1025" s="115"/>
      <c r="B1025" s="11" t="s">
        <v>121</v>
      </c>
      <c r="C1025" s="64" t="s">
        <v>128</v>
      </c>
      <c r="F1025" s="78">
        <v>0</v>
      </c>
      <c r="G1025" s="78">
        <v>1</v>
      </c>
      <c r="AE1025" s="115"/>
      <c r="AH1025" s="77"/>
    </row>
    <row r="1026" spans="1:34" ht="12.75" customHeight="1">
      <c r="A1026" s="115"/>
      <c r="B1026" s="11" t="s">
        <v>124</v>
      </c>
      <c r="C1026" s="64" t="s">
        <v>345</v>
      </c>
      <c r="F1026" s="246" t="s">
        <v>492</v>
      </c>
      <c r="G1026" s="223"/>
      <c r="H1026" s="223"/>
      <c r="I1026" s="223"/>
      <c r="J1026" s="223"/>
      <c r="K1026" s="223"/>
      <c r="L1026" s="223"/>
      <c r="M1026" s="223"/>
      <c r="N1026" s="223"/>
      <c r="O1026" s="223"/>
      <c r="P1026" s="223"/>
      <c r="Q1026" s="223"/>
      <c r="R1026" s="223"/>
      <c r="S1026" s="223"/>
      <c r="T1026" s="223"/>
      <c r="U1026" s="223"/>
      <c r="V1026" s="223"/>
      <c r="W1026" s="223"/>
      <c r="X1026" s="223"/>
      <c r="Y1026" s="223"/>
      <c r="Z1026" s="223"/>
      <c r="AA1026" s="223"/>
      <c r="AB1026" s="223"/>
      <c r="AC1026" s="223"/>
      <c r="AD1026" s="224"/>
      <c r="AE1026" s="115"/>
      <c r="AH1026" s="77"/>
    </row>
    <row r="1027" spans="1:34" ht="12.75" customHeight="1">
      <c r="A1027" s="115"/>
      <c r="F1027" s="64" t="s">
        <v>414</v>
      </c>
      <c r="L1027" s="246" t="s">
        <v>102</v>
      </c>
      <c r="M1027" s="223"/>
      <c r="N1027" s="223"/>
      <c r="O1027" s="223"/>
      <c r="P1027" s="223"/>
      <c r="Q1027" s="223"/>
      <c r="R1027" s="223"/>
      <c r="S1027" s="224"/>
      <c r="T1027" s="64" t="s">
        <v>415</v>
      </c>
      <c r="X1027" s="246" t="s">
        <v>106</v>
      </c>
      <c r="Y1027" s="223"/>
      <c r="Z1027" s="223"/>
      <c r="AA1027" s="223"/>
      <c r="AB1027" s="223"/>
      <c r="AC1027" s="223"/>
      <c r="AD1027" s="224"/>
      <c r="AE1027" s="115"/>
      <c r="AH1027" s="77"/>
    </row>
    <row r="1028" spans="1:34" ht="12.75" customHeight="1">
      <c r="A1028" s="115"/>
      <c r="F1028" s="64" t="s">
        <v>416</v>
      </c>
      <c r="L1028" s="246" t="s">
        <v>104</v>
      </c>
      <c r="M1028" s="223"/>
      <c r="N1028" s="223"/>
      <c r="O1028" s="223"/>
      <c r="P1028" s="223"/>
      <c r="Q1028" s="223"/>
      <c r="R1028" s="223"/>
      <c r="S1028" s="224"/>
      <c r="T1028" s="64" t="s">
        <v>417</v>
      </c>
      <c r="X1028" s="246" t="s">
        <v>418</v>
      </c>
      <c r="Y1028" s="223"/>
      <c r="Z1028" s="223"/>
      <c r="AA1028" s="223"/>
      <c r="AB1028" s="223"/>
      <c r="AC1028" s="223"/>
      <c r="AD1028" s="224"/>
      <c r="AE1028" s="115"/>
      <c r="AH1028" s="77"/>
    </row>
    <row r="1029" spans="1:34" ht="12.75" customHeight="1">
      <c r="A1029" s="115"/>
      <c r="B1029" s="119"/>
      <c r="C1029" s="114"/>
      <c r="D1029" s="114"/>
      <c r="E1029" s="114"/>
      <c r="F1029" s="114"/>
      <c r="G1029" s="114"/>
      <c r="H1029" s="114"/>
      <c r="I1029" s="114"/>
      <c r="J1029" s="114"/>
      <c r="K1029" s="114"/>
      <c r="L1029" s="114"/>
      <c r="M1029" s="114"/>
      <c r="N1029" s="114"/>
      <c r="O1029" s="114"/>
      <c r="P1029" s="114"/>
      <c r="Q1029" s="114"/>
      <c r="R1029" s="114"/>
      <c r="S1029" s="114"/>
      <c r="T1029" s="114"/>
      <c r="U1029" s="114"/>
      <c r="V1029" s="114"/>
      <c r="W1029" s="114"/>
      <c r="X1029" s="114"/>
      <c r="Y1029" s="114"/>
      <c r="Z1029" s="114"/>
      <c r="AA1029" s="114"/>
      <c r="AB1029" s="114"/>
      <c r="AC1029" s="114"/>
      <c r="AD1029" s="114"/>
      <c r="AE1029" s="120"/>
      <c r="AH1029" s="77"/>
    </row>
    <row r="1030" spans="1:34" ht="12.75" customHeight="1">
      <c r="AH1030" s="77"/>
    </row>
    <row r="1031" spans="1:34" ht="12.75" customHeight="1">
      <c r="U1031" s="64" t="s">
        <v>523</v>
      </c>
      <c r="AH1031" s="77"/>
    </row>
    <row r="1032" spans="1:34" ht="12.75" customHeight="1">
      <c r="C1032" s="225" t="s">
        <v>480</v>
      </c>
      <c r="D1032" s="194"/>
      <c r="E1032" s="194"/>
      <c r="F1032" s="194"/>
      <c r="G1032" s="194"/>
      <c r="AH1032" s="77"/>
    </row>
    <row r="1033" spans="1:34" ht="12.75" customHeight="1">
      <c r="C1033" s="225" t="s">
        <v>494</v>
      </c>
      <c r="D1033" s="194"/>
      <c r="E1033" s="194"/>
      <c r="F1033" s="194"/>
      <c r="G1033" s="194"/>
      <c r="W1033" s="64" t="s">
        <v>481</v>
      </c>
      <c r="AH1033" s="77"/>
    </row>
    <row r="1034" spans="1:34" ht="12.75" customHeight="1">
      <c r="C1034" s="225" t="s">
        <v>365</v>
      </c>
      <c r="D1034" s="194"/>
      <c r="E1034" s="194"/>
      <c r="F1034" s="194"/>
      <c r="G1034" s="194"/>
      <c r="AH1034" s="77"/>
    </row>
    <row r="1035" spans="1:34" ht="12.75" customHeight="1">
      <c r="C1035" s="11"/>
      <c r="D1035" s="11"/>
      <c r="E1035" s="11"/>
      <c r="F1035" s="11"/>
      <c r="G1035" s="11"/>
      <c r="AH1035" s="77"/>
    </row>
    <row r="1036" spans="1:34" ht="12.75" customHeight="1">
      <c r="AH1036" s="77"/>
    </row>
    <row r="1037" spans="1:34" ht="12.75" customHeight="1">
      <c r="AH1037" s="77"/>
    </row>
    <row r="1038" spans="1:34" ht="12.75" customHeight="1">
      <c r="C1038" s="225" t="s">
        <v>366</v>
      </c>
      <c r="D1038" s="194"/>
      <c r="E1038" s="194"/>
      <c r="F1038" s="194"/>
      <c r="G1038" s="194"/>
      <c r="W1038" s="64" t="s">
        <v>524</v>
      </c>
      <c r="AH1038" s="77"/>
    </row>
    <row r="1039" spans="1:34" ht="12.75" customHeight="1">
      <c r="AH1039" s="77"/>
    </row>
    <row r="1040" spans="1:34" ht="12.75" customHeight="1">
      <c r="AH1040" s="77"/>
    </row>
    <row r="1041" spans="34:34" ht="12.75" customHeight="1">
      <c r="AH1041" s="77"/>
    </row>
    <row r="1042" spans="34:34" ht="12.75" customHeight="1">
      <c r="AH1042" s="77"/>
    </row>
    <row r="1043" spans="34:34" ht="12.75" customHeight="1">
      <c r="AH1043" s="77"/>
    </row>
    <row r="1044" spans="34:34" ht="12.75" customHeight="1">
      <c r="AH1044" s="77"/>
    </row>
    <row r="1045" spans="34:34" ht="12.75" customHeight="1">
      <c r="AH1045" s="77"/>
    </row>
    <row r="1046" spans="34:34" ht="12.75" customHeight="1">
      <c r="AH1046" s="77"/>
    </row>
    <row r="1047" spans="34:34" ht="12.75" customHeight="1">
      <c r="AH1047" s="77"/>
    </row>
    <row r="1048" spans="34:34" ht="12.75" customHeight="1">
      <c r="AH1048" s="77"/>
    </row>
    <row r="1049" spans="34:34" ht="12.75" customHeight="1">
      <c r="AH1049" s="77"/>
    </row>
    <row r="1050" spans="34:34" ht="12.75" customHeight="1">
      <c r="AH1050" s="77"/>
    </row>
    <row r="1051" spans="34:34" ht="12.75" customHeight="1">
      <c r="AH1051" s="77"/>
    </row>
    <row r="1052" spans="34:34" ht="12.75" customHeight="1">
      <c r="AH1052" s="77"/>
    </row>
    <row r="1053" spans="34:34" ht="12.75" customHeight="1">
      <c r="AH1053" s="77"/>
    </row>
    <row r="1054" spans="34:34" ht="12.75" customHeight="1">
      <c r="AH1054" s="77"/>
    </row>
    <row r="1055" spans="34:34" ht="12.75" customHeight="1">
      <c r="AH1055" s="77"/>
    </row>
    <row r="1056" spans="34:34" ht="12.75" customHeight="1">
      <c r="AH1056" s="77"/>
    </row>
    <row r="1057" spans="34:34" ht="12.75" customHeight="1">
      <c r="AH1057" s="77"/>
    </row>
    <row r="1058" spans="34:34" ht="12.75" customHeight="1">
      <c r="AH1058" s="77"/>
    </row>
    <row r="1059" spans="34:34" ht="12.75" customHeight="1">
      <c r="AH1059" s="77"/>
    </row>
    <row r="1060" spans="34:34" ht="12.75" customHeight="1">
      <c r="AH1060" s="77"/>
    </row>
    <row r="1061" spans="34:34" ht="12.75" customHeight="1">
      <c r="AH1061" s="77"/>
    </row>
    <row r="1062" spans="34:34" ht="12.75" customHeight="1">
      <c r="AH1062" s="77"/>
    </row>
    <row r="1063" spans="34:34" ht="12.75" customHeight="1">
      <c r="AH1063" s="77"/>
    </row>
    <row r="1064" spans="34:34" ht="12.75" customHeight="1">
      <c r="AH1064" s="77"/>
    </row>
    <row r="1065" spans="34:34" ht="12.75" customHeight="1">
      <c r="AH1065" s="77"/>
    </row>
    <row r="1066" spans="34:34" ht="12.75" customHeight="1">
      <c r="AH1066" s="77"/>
    </row>
    <row r="1067" spans="34:34" ht="12.75" customHeight="1">
      <c r="AH1067" s="77"/>
    </row>
    <row r="1068" spans="34:34" ht="12.75" customHeight="1">
      <c r="AH1068" s="77"/>
    </row>
    <row r="1069" spans="34:34" ht="12.75" customHeight="1">
      <c r="AH1069" s="77"/>
    </row>
    <row r="1070" spans="34:34" ht="12.75" customHeight="1">
      <c r="AH1070" s="77"/>
    </row>
    <row r="1071" spans="34:34" ht="12.75" customHeight="1">
      <c r="AH1071" s="77"/>
    </row>
    <row r="1072" spans="34:34" ht="12.75" customHeight="1">
      <c r="AH1072" s="77"/>
    </row>
    <row r="1073" spans="2:34" ht="12.75" customHeight="1">
      <c r="AH1073" s="77"/>
    </row>
    <row r="1074" spans="2:34" ht="12.75" customHeight="1">
      <c r="AH1074" s="77"/>
    </row>
    <row r="1075" spans="2:34" ht="12.75" customHeight="1">
      <c r="AH1075" s="77"/>
    </row>
    <row r="1076" spans="2:34" ht="12.75" customHeight="1">
      <c r="AH1076" s="77"/>
    </row>
    <row r="1077" spans="2:34" ht="12.75" customHeight="1">
      <c r="AH1077" s="77"/>
    </row>
    <row r="1078" spans="2:34" ht="12.75" customHeight="1">
      <c r="AH1078" s="77"/>
    </row>
    <row r="1079" spans="2:34" ht="12.75" customHeight="1">
      <c r="AH1079" s="77"/>
    </row>
    <row r="1080" spans="2:34" ht="12.75" customHeight="1">
      <c r="AH1080" s="77"/>
    </row>
    <row r="1081" spans="2:34" ht="12.75" customHeight="1">
      <c r="AH1081" s="77"/>
    </row>
    <row r="1082" spans="2:34" ht="12.75" customHeight="1">
      <c r="AH1082" s="77"/>
    </row>
    <row r="1083" spans="2:34" ht="12.75" customHeight="1">
      <c r="AH1083" s="77"/>
    </row>
    <row r="1084" spans="2:34" ht="12.75" customHeight="1">
      <c r="AH1084" s="77"/>
    </row>
    <row r="1085" spans="2:34" ht="12.75" customHeight="1">
      <c r="Y1085" s="235" t="s">
        <v>368</v>
      </c>
      <c r="Z1085" s="236"/>
      <c r="AA1085" s="236"/>
      <c r="AB1085" s="236"/>
      <c r="AC1085" s="237"/>
      <c r="AH1085" s="77"/>
    </row>
    <row r="1086" spans="2:34" ht="12.75" customHeight="1">
      <c r="B1086" s="64" t="s">
        <v>369</v>
      </c>
      <c r="D1086" s="11" t="s">
        <v>10</v>
      </c>
      <c r="F1086" s="64" t="s">
        <v>370</v>
      </c>
      <c r="P1086" s="64" t="s">
        <v>371</v>
      </c>
      <c r="R1086" s="11" t="s">
        <v>10</v>
      </c>
      <c r="S1086" s="64" t="s">
        <v>372</v>
      </c>
      <c r="V1086" s="11" t="s">
        <v>10</v>
      </c>
      <c r="W1086" s="64" t="s">
        <v>373</v>
      </c>
      <c r="AH1086" s="77"/>
    </row>
    <row r="1087" spans="2:34" ht="12.75" customHeight="1">
      <c r="B1087" s="64" t="s">
        <v>331</v>
      </c>
      <c r="D1087" s="11" t="s">
        <v>10</v>
      </c>
      <c r="F1087" s="64" t="s">
        <v>374</v>
      </c>
      <c r="S1087" s="64" t="s">
        <v>375</v>
      </c>
      <c r="V1087" s="11" t="s">
        <v>10</v>
      </c>
      <c r="W1087" s="64" t="s">
        <v>376</v>
      </c>
      <c r="AH1087" s="77"/>
    </row>
    <row r="1088" spans="2:34" ht="12.75" customHeight="1">
      <c r="B1088" s="64" t="s">
        <v>377</v>
      </c>
      <c r="D1088" s="11" t="s">
        <v>10</v>
      </c>
      <c r="F1088" s="64" t="s">
        <v>378</v>
      </c>
      <c r="P1088" s="62"/>
      <c r="S1088" s="64" t="s">
        <v>379</v>
      </c>
      <c r="V1088" s="11" t="s">
        <v>10</v>
      </c>
      <c r="W1088" s="64" t="s">
        <v>380</v>
      </c>
      <c r="AH1088" s="77"/>
    </row>
    <row r="1089" spans="1:34" ht="12.75" customHeight="1">
      <c r="B1089" s="64" t="s">
        <v>381</v>
      </c>
      <c r="D1089" s="11" t="s">
        <v>10</v>
      </c>
      <c r="F1089" s="78">
        <v>3</v>
      </c>
      <c r="G1089" s="78">
        <v>3</v>
      </c>
      <c r="H1089" s="78">
        <v>2</v>
      </c>
      <c r="I1089" s="78">
        <v>7</v>
      </c>
      <c r="J1089" s="78">
        <v>0</v>
      </c>
      <c r="K1089" s="78">
        <v>4</v>
      </c>
      <c r="L1089" s="78">
        <v>0</v>
      </c>
      <c r="M1089" s="78">
        <v>2</v>
      </c>
      <c r="N1089" s="78">
        <v>0</v>
      </c>
      <c r="O1089" s="78">
        <v>1</v>
      </c>
      <c r="P1089" s="11">
        <v>1</v>
      </c>
      <c r="Q1089" s="79"/>
      <c r="S1089" s="64" t="s">
        <v>382</v>
      </c>
      <c r="V1089" s="11" t="s">
        <v>10</v>
      </c>
      <c r="W1089" s="64" t="s">
        <v>383</v>
      </c>
      <c r="AH1089" s="77"/>
    </row>
    <row r="1090" spans="1:34" ht="12.75" customHeight="1">
      <c r="P1090" s="59"/>
      <c r="AH1090" s="77"/>
    </row>
    <row r="1091" spans="1:34" ht="12.75" customHeight="1">
      <c r="B1091" s="196" t="s">
        <v>334</v>
      </c>
      <c r="C1091" s="194"/>
      <c r="D1091" s="194"/>
      <c r="E1091" s="194"/>
      <c r="F1091" s="194"/>
      <c r="G1091" s="194"/>
      <c r="H1091" s="194"/>
      <c r="I1091" s="194"/>
      <c r="J1091" s="194"/>
      <c r="K1091" s="194"/>
      <c r="L1091" s="194"/>
      <c r="M1091" s="194"/>
      <c r="N1091" s="194"/>
      <c r="O1091" s="194"/>
      <c r="P1091" s="194"/>
      <c r="Q1091" s="194"/>
      <c r="R1091" s="194"/>
      <c r="S1091" s="194"/>
      <c r="T1091" s="194"/>
      <c r="U1091" s="194"/>
      <c r="V1091" s="194"/>
      <c r="W1091" s="194"/>
      <c r="X1091" s="194"/>
      <c r="Y1091" s="194"/>
      <c r="Z1091" s="194"/>
      <c r="AA1091" s="194"/>
      <c r="AB1091" s="194"/>
      <c r="AC1091" s="194"/>
      <c r="AD1091" s="194"/>
      <c r="AH1091" s="77"/>
    </row>
    <row r="1092" spans="1:34" ht="12.75" customHeight="1">
      <c r="B1092" s="225" t="s">
        <v>525</v>
      </c>
      <c r="C1092" s="194"/>
      <c r="D1092" s="194"/>
      <c r="E1092" s="194"/>
      <c r="F1092" s="194"/>
      <c r="G1092" s="194"/>
      <c r="H1092" s="194"/>
      <c r="I1092" s="194"/>
      <c r="J1092" s="194"/>
      <c r="K1092" s="194"/>
      <c r="L1092" s="194"/>
      <c r="M1092" s="194"/>
      <c r="N1092" s="194"/>
      <c r="O1092" s="194"/>
      <c r="P1092" s="194"/>
      <c r="Q1092" s="194"/>
      <c r="R1092" s="194"/>
      <c r="S1092" s="194"/>
      <c r="T1092" s="194"/>
      <c r="U1092" s="194"/>
      <c r="V1092" s="194"/>
      <c r="W1092" s="194"/>
      <c r="X1092" s="194"/>
      <c r="Y1092" s="194"/>
      <c r="Z1092" s="194"/>
      <c r="AA1092" s="194"/>
      <c r="AB1092" s="194"/>
      <c r="AC1092" s="194"/>
      <c r="AD1092" s="194"/>
      <c r="AH1092" s="77"/>
    </row>
    <row r="1093" spans="1:34" ht="7.5" customHeight="1">
      <c r="AH1093" s="77"/>
    </row>
    <row r="1094" spans="1:34" ht="12.75" customHeight="1">
      <c r="B1094" s="64" t="s">
        <v>385</v>
      </c>
      <c r="D1094" s="11" t="s">
        <v>10</v>
      </c>
      <c r="F1094" s="78"/>
      <c r="G1094" s="78"/>
      <c r="H1094" s="78"/>
      <c r="I1094" s="78"/>
      <c r="J1094" s="78"/>
      <c r="K1094" s="78"/>
      <c r="L1094" s="78"/>
      <c r="M1094" s="91"/>
      <c r="N1094" s="91"/>
      <c r="O1094" s="91"/>
      <c r="P1094" s="91"/>
      <c r="Q1094" s="91"/>
      <c r="R1094" s="91"/>
      <c r="S1094" s="91"/>
      <c r="T1094" s="91"/>
      <c r="U1094" s="91"/>
      <c r="V1094" s="91"/>
      <c r="W1094" s="91"/>
      <c r="X1094" s="91"/>
      <c r="Y1094" s="91"/>
      <c r="Z1094" s="91"/>
      <c r="AA1094" s="91"/>
      <c r="AB1094" s="91"/>
      <c r="AC1094" s="91"/>
      <c r="AD1094" s="91"/>
      <c r="AH1094" s="77"/>
    </row>
    <row r="1095" spans="1:34" ht="12.75" customHeight="1">
      <c r="B1095" s="64" t="s">
        <v>387</v>
      </c>
      <c r="D1095" s="11" t="s">
        <v>10</v>
      </c>
      <c r="F1095" s="78"/>
      <c r="G1095" s="78"/>
      <c r="H1095" s="78"/>
      <c r="I1095" s="78"/>
      <c r="J1095" s="78"/>
      <c r="K1095" s="78"/>
      <c r="L1095" s="78"/>
      <c r="M1095" s="78"/>
      <c r="N1095" s="78"/>
      <c r="O1095" s="78"/>
      <c r="P1095" s="78"/>
      <c r="Q1095" s="78"/>
      <c r="R1095" s="78"/>
      <c r="S1095" s="78"/>
      <c r="T1095" s="78"/>
      <c r="U1095" s="78"/>
      <c r="V1095" s="91"/>
      <c r="W1095" s="91"/>
      <c r="X1095" s="91"/>
      <c r="Y1095" s="91"/>
      <c r="AH1095" s="77"/>
    </row>
    <row r="1096" spans="1:34" ht="12.75" customHeight="1">
      <c r="B1096" s="114"/>
      <c r="C1096" s="114"/>
      <c r="D1096" s="114"/>
      <c r="E1096" s="114"/>
      <c r="F1096" s="114"/>
      <c r="G1096" s="114"/>
      <c r="H1096" s="114"/>
      <c r="I1096" s="114"/>
      <c r="J1096" s="114"/>
      <c r="K1096" s="114"/>
      <c r="L1096" s="114"/>
      <c r="M1096" s="114"/>
      <c r="N1096" s="114"/>
      <c r="O1096" s="114"/>
      <c r="P1096" s="114"/>
      <c r="Q1096" s="114"/>
      <c r="R1096" s="114"/>
      <c r="S1096" s="114"/>
      <c r="T1096" s="114"/>
      <c r="U1096" s="114"/>
      <c r="V1096" s="114"/>
      <c r="W1096" s="114"/>
      <c r="X1096" s="114"/>
      <c r="Y1096" s="114"/>
      <c r="Z1096" s="114"/>
      <c r="AA1096" s="114"/>
      <c r="AB1096" s="114"/>
      <c r="AC1096" s="114"/>
      <c r="AD1096" s="114"/>
      <c r="AE1096" s="114"/>
      <c r="AH1096" s="77"/>
    </row>
    <row r="1097" spans="1:34" ht="12.75" customHeight="1">
      <c r="A1097" s="115"/>
      <c r="B1097" s="38" t="s">
        <v>389</v>
      </c>
      <c r="AE1097" s="116"/>
      <c r="AH1097" s="77"/>
    </row>
    <row r="1098" spans="1:34" ht="12.75" customHeight="1">
      <c r="A1098" s="115"/>
      <c r="B1098" s="11" t="s">
        <v>111</v>
      </c>
      <c r="C1098" s="64" t="s">
        <v>340</v>
      </c>
      <c r="D1098" s="11" t="s">
        <v>10</v>
      </c>
      <c r="F1098" s="95"/>
      <c r="G1098" s="95"/>
      <c r="H1098" s="95"/>
      <c r="I1098" s="95"/>
      <c r="J1098" s="95"/>
      <c r="K1098" s="95"/>
      <c r="L1098" s="95"/>
      <c r="M1098" s="95"/>
      <c r="N1098" s="95"/>
      <c r="O1098" s="95"/>
      <c r="P1098" s="95"/>
      <c r="Q1098" s="95"/>
      <c r="R1098" s="95"/>
      <c r="S1098" s="95"/>
      <c r="T1098" s="95"/>
      <c r="U1098" s="95"/>
      <c r="AE1098" s="115"/>
      <c r="AH1098" s="77"/>
    </row>
    <row r="1099" spans="1:34" ht="12.75" customHeight="1">
      <c r="A1099" s="115"/>
      <c r="B1099" s="11" t="s">
        <v>115</v>
      </c>
      <c r="C1099" s="64" t="s">
        <v>391</v>
      </c>
      <c r="D1099" s="11" t="s">
        <v>10</v>
      </c>
      <c r="F1099" s="78"/>
      <c r="G1099" s="78"/>
      <c r="H1099" s="78"/>
      <c r="I1099" s="78"/>
      <c r="J1099" s="78"/>
      <c r="K1099" s="78"/>
      <c r="L1099" s="91"/>
      <c r="M1099" s="91"/>
      <c r="N1099" s="91"/>
      <c r="O1099" s="91"/>
      <c r="P1099" s="91"/>
      <c r="Q1099" s="91"/>
      <c r="R1099" s="91"/>
      <c r="S1099" s="91"/>
      <c r="T1099" s="91"/>
      <c r="U1099" s="91"/>
      <c r="V1099" s="91"/>
      <c r="W1099" s="91"/>
      <c r="X1099" s="91"/>
      <c r="Y1099" s="91"/>
      <c r="Z1099" s="91"/>
      <c r="AA1099" s="91"/>
      <c r="AB1099" s="91"/>
      <c r="AC1099" s="91"/>
      <c r="AD1099" s="91"/>
      <c r="AE1099" s="115"/>
      <c r="AH1099" s="77"/>
    </row>
    <row r="1100" spans="1:34" ht="12.75" customHeight="1">
      <c r="A1100" s="115"/>
      <c r="B1100" s="11" t="s">
        <v>118</v>
      </c>
      <c r="C1100" s="64" t="s">
        <v>285</v>
      </c>
      <c r="D1100" s="11" t="s">
        <v>10</v>
      </c>
      <c r="F1100" s="78"/>
      <c r="G1100" s="64" t="s">
        <v>393</v>
      </c>
      <c r="M1100" s="55"/>
      <c r="N1100" s="64" t="s">
        <v>394</v>
      </c>
      <c r="AE1100" s="115"/>
      <c r="AH1100" s="77"/>
    </row>
    <row r="1101" spans="1:34" ht="12.75" customHeight="1">
      <c r="A1101" s="115"/>
      <c r="B1101" s="11" t="s">
        <v>121</v>
      </c>
      <c r="C1101" s="64" t="s">
        <v>396</v>
      </c>
      <c r="D1101" s="11" t="s">
        <v>10</v>
      </c>
      <c r="F1101" s="225" t="s">
        <v>397</v>
      </c>
      <c r="G1101" s="239"/>
      <c r="H1101" s="95"/>
      <c r="I1101" s="95"/>
      <c r="J1101" s="240" t="s">
        <v>398</v>
      </c>
      <c r="K1101" s="194"/>
      <c r="L1101" s="239"/>
      <c r="M1101" s="95"/>
      <c r="N1101" s="95"/>
      <c r="O1101" s="240" t="s">
        <v>399</v>
      </c>
      <c r="P1101" s="194"/>
      <c r="Q1101" s="239"/>
      <c r="R1101" s="78"/>
      <c r="S1101" s="78"/>
      <c r="T1101" s="78"/>
      <c r="U1101" s="78"/>
      <c r="V1101" s="240" t="s">
        <v>359</v>
      </c>
      <c r="W1101" s="194"/>
      <c r="X1101" s="239"/>
      <c r="Y1101" s="78"/>
      <c r="Z1101" s="78"/>
      <c r="AA1101" s="91"/>
      <c r="AE1101" s="115"/>
      <c r="AH1101" s="77"/>
    </row>
    <row r="1102" spans="1:34" ht="12.75" customHeight="1">
      <c r="A1102" s="115"/>
      <c r="B1102" s="11" t="s">
        <v>124</v>
      </c>
      <c r="C1102" s="64" t="s">
        <v>403</v>
      </c>
      <c r="D1102" s="11" t="s">
        <v>10</v>
      </c>
      <c r="F1102" s="78"/>
      <c r="G1102" s="78"/>
      <c r="H1102" s="78"/>
      <c r="I1102" s="78"/>
      <c r="J1102" s="78"/>
      <c r="K1102" s="78"/>
      <c r="L1102" s="78"/>
      <c r="M1102" s="78"/>
      <c r="N1102" s="78"/>
      <c r="O1102" s="78"/>
      <c r="P1102" s="78"/>
      <c r="Q1102" s="78"/>
      <c r="R1102" s="242" t="s">
        <v>404</v>
      </c>
      <c r="S1102" s="243"/>
      <c r="T1102" s="243"/>
      <c r="U1102" s="244"/>
      <c r="V1102" s="78">
        <v>3</v>
      </c>
      <c r="W1102" s="78">
        <v>3</v>
      </c>
      <c r="X1102" s="240" t="s">
        <v>405</v>
      </c>
      <c r="Y1102" s="194"/>
      <c r="Z1102" s="194"/>
      <c r="AA1102" s="239"/>
      <c r="AB1102" s="78">
        <v>2</v>
      </c>
      <c r="AC1102" s="78">
        <v>7</v>
      </c>
      <c r="AE1102" s="115"/>
      <c r="AH1102" s="77"/>
    </row>
    <row r="1103" spans="1:34" ht="12.75" customHeight="1">
      <c r="A1103" s="115"/>
      <c r="B1103" s="11" t="s">
        <v>127</v>
      </c>
      <c r="C1103" s="64" t="s">
        <v>125</v>
      </c>
      <c r="D1103" s="11" t="s">
        <v>10</v>
      </c>
      <c r="F1103" s="55">
        <v>1</v>
      </c>
      <c r="G1103" s="64" t="s">
        <v>406</v>
      </c>
      <c r="K1103" s="64" t="s">
        <v>407</v>
      </c>
      <c r="O1103" s="64" t="s">
        <v>408</v>
      </c>
      <c r="S1103" s="64" t="s">
        <v>409</v>
      </c>
      <c r="W1103" s="64" t="s">
        <v>410</v>
      </c>
      <c r="Z1103" s="64" t="s">
        <v>411</v>
      </c>
      <c r="AE1103" s="115"/>
      <c r="AH1103" s="77"/>
    </row>
    <row r="1104" spans="1:34" ht="12.75" customHeight="1">
      <c r="A1104" s="115"/>
      <c r="B1104" s="11" t="s">
        <v>130</v>
      </c>
      <c r="C1104" s="64" t="s">
        <v>128</v>
      </c>
      <c r="D1104" s="11" t="s">
        <v>10</v>
      </c>
      <c r="F1104" s="95"/>
      <c r="G1104" s="95"/>
      <c r="AE1104" s="115"/>
      <c r="AH1104" s="77"/>
    </row>
    <row r="1105" spans="1:34" ht="12.75" customHeight="1">
      <c r="A1105" s="115"/>
      <c r="B1105" s="11" t="s">
        <v>134</v>
      </c>
      <c r="C1105" s="64" t="s">
        <v>345</v>
      </c>
      <c r="D1105" s="11" t="s">
        <v>10</v>
      </c>
      <c r="F1105" s="246"/>
      <c r="G1105" s="223"/>
      <c r="H1105" s="223"/>
      <c r="I1105" s="223"/>
      <c r="J1105" s="223"/>
      <c r="K1105" s="223"/>
      <c r="L1105" s="223"/>
      <c r="M1105" s="223"/>
      <c r="N1105" s="223"/>
      <c r="O1105" s="223"/>
      <c r="P1105" s="223"/>
      <c r="Q1105" s="223"/>
      <c r="R1105" s="223"/>
      <c r="S1105" s="223"/>
      <c r="T1105" s="223"/>
      <c r="U1105" s="223"/>
      <c r="V1105" s="223"/>
      <c r="W1105" s="223"/>
      <c r="X1105" s="223"/>
      <c r="Y1105" s="223"/>
      <c r="Z1105" s="223"/>
      <c r="AA1105" s="223"/>
      <c r="AB1105" s="223"/>
      <c r="AC1105" s="223"/>
      <c r="AD1105" s="224"/>
      <c r="AE1105" s="115"/>
      <c r="AH1105" s="77"/>
    </row>
    <row r="1106" spans="1:34" ht="12.75" customHeight="1">
      <c r="A1106" s="115"/>
      <c r="B1106" s="11"/>
      <c r="F1106" s="64" t="s">
        <v>414</v>
      </c>
      <c r="L1106" s="246" t="s">
        <v>102</v>
      </c>
      <c r="M1106" s="223"/>
      <c r="N1106" s="223"/>
      <c r="O1106" s="223"/>
      <c r="P1106" s="223"/>
      <c r="Q1106" s="223"/>
      <c r="R1106" s="223"/>
      <c r="S1106" s="224"/>
      <c r="T1106" s="64" t="s">
        <v>415</v>
      </c>
      <c r="X1106" s="246" t="s">
        <v>106</v>
      </c>
      <c r="Y1106" s="223"/>
      <c r="Z1106" s="223"/>
      <c r="AA1106" s="223"/>
      <c r="AB1106" s="223"/>
      <c r="AC1106" s="223"/>
      <c r="AD1106" s="224"/>
      <c r="AE1106" s="115"/>
      <c r="AH1106" s="77"/>
    </row>
    <row r="1107" spans="1:34" ht="12.75" customHeight="1">
      <c r="A1107" s="115"/>
      <c r="B1107" s="11"/>
      <c r="F1107" s="64" t="s">
        <v>416</v>
      </c>
      <c r="L1107" s="246" t="s">
        <v>104</v>
      </c>
      <c r="M1107" s="223"/>
      <c r="N1107" s="223"/>
      <c r="O1107" s="223"/>
      <c r="P1107" s="223"/>
      <c r="Q1107" s="223"/>
      <c r="R1107" s="223"/>
      <c r="S1107" s="224"/>
      <c r="T1107" s="64" t="s">
        <v>417</v>
      </c>
      <c r="X1107" s="246" t="s">
        <v>418</v>
      </c>
      <c r="Y1107" s="223"/>
      <c r="Z1107" s="223"/>
      <c r="AA1107" s="223"/>
      <c r="AB1107" s="223"/>
      <c r="AC1107" s="223"/>
      <c r="AD1107" s="224"/>
      <c r="AE1107" s="115"/>
      <c r="AH1107" s="77"/>
    </row>
    <row r="1108" spans="1:34" ht="12.75" customHeight="1">
      <c r="A1108" s="115"/>
      <c r="B1108" s="11" t="s">
        <v>137</v>
      </c>
      <c r="C1108" s="64" t="s">
        <v>419</v>
      </c>
      <c r="D1108" s="11" t="s">
        <v>10</v>
      </c>
      <c r="F1108" s="91"/>
      <c r="G1108" s="64" t="s">
        <v>111</v>
      </c>
      <c r="J1108" s="64" t="s">
        <v>115</v>
      </c>
      <c r="M1108" s="64" t="s">
        <v>118</v>
      </c>
      <c r="P1108" s="64" t="s">
        <v>420</v>
      </c>
      <c r="AE1108" s="115"/>
      <c r="AH1108" s="77"/>
    </row>
    <row r="1109" spans="1:34" ht="12.75" customHeight="1">
      <c r="A1109" s="115"/>
      <c r="B1109" s="11" t="s">
        <v>145</v>
      </c>
      <c r="C1109" s="64" t="s">
        <v>421</v>
      </c>
      <c r="D1109" s="11" t="s">
        <v>10</v>
      </c>
      <c r="F1109" s="225" t="s">
        <v>397</v>
      </c>
      <c r="G1109" s="194"/>
      <c r="H1109" s="95"/>
      <c r="I1109" s="95"/>
      <c r="J1109" s="240" t="s">
        <v>422</v>
      </c>
      <c r="K1109" s="194"/>
      <c r="L1109" s="194"/>
      <c r="M1109" s="78"/>
      <c r="N1109" s="78"/>
      <c r="O1109" s="240" t="s">
        <v>399</v>
      </c>
      <c r="P1109" s="194"/>
      <c r="Q1109" s="194"/>
      <c r="R1109" s="78"/>
      <c r="S1109" s="78"/>
      <c r="T1109" s="78"/>
      <c r="U1109" s="78"/>
      <c r="V1109" s="11"/>
      <c r="AE1109" s="115"/>
      <c r="AH1109" s="77"/>
    </row>
    <row r="1110" spans="1:34" ht="12.75" customHeight="1">
      <c r="A1110" s="115"/>
      <c r="B1110" s="11" t="s">
        <v>424</v>
      </c>
      <c r="C1110" s="64" t="s">
        <v>425</v>
      </c>
      <c r="D1110" s="11" t="s">
        <v>10</v>
      </c>
      <c r="F1110" s="91"/>
      <c r="G1110" s="91"/>
      <c r="H1110" s="91"/>
      <c r="I1110" s="91"/>
      <c r="AE1110" s="115"/>
      <c r="AH1110" s="77"/>
    </row>
    <row r="1111" spans="1:34" ht="12.75" customHeight="1">
      <c r="A1111" s="115"/>
      <c r="B1111" s="11" t="s">
        <v>427</v>
      </c>
      <c r="C1111" s="64" t="s">
        <v>428</v>
      </c>
      <c r="D1111" s="11" t="s">
        <v>10</v>
      </c>
      <c r="F1111" s="91"/>
      <c r="G1111" s="64" t="s">
        <v>429</v>
      </c>
      <c r="P1111" s="64" t="s">
        <v>430</v>
      </c>
      <c r="X1111" s="64" t="s">
        <v>431</v>
      </c>
      <c r="AE1111" s="115"/>
      <c r="AH1111" s="77"/>
    </row>
    <row r="1112" spans="1:34" ht="12.75" customHeight="1">
      <c r="A1112" s="115"/>
      <c r="B1112" s="11"/>
      <c r="D1112" s="11"/>
      <c r="G1112" s="64" t="s">
        <v>432</v>
      </c>
      <c r="P1112" s="64" t="s">
        <v>433</v>
      </c>
      <c r="X1112" s="64" t="s">
        <v>411</v>
      </c>
      <c r="AE1112" s="115"/>
      <c r="AH1112" s="77"/>
    </row>
    <row r="1113" spans="1:34" ht="12.75" customHeight="1">
      <c r="A1113" s="115"/>
      <c r="B1113" s="11" t="s">
        <v>434</v>
      </c>
      <c r="C1113" s="64" t="s">
        <v>435</v>
      </c>
      <c r="D1113" s="11" t="s">
        <v>10</v>
      </c>
      <c r="F1113" s="78"/>
      <c r="G1113" s="78"/>
      <c r="H1113" s="78"/>
      <c r="I1113" s="78"/>
      <c r="J1113" s="78"/>
      <c r="K1113" s="78"/>
      <c r="L1113" s="78"/>
      <c r="M1113" s="78"/>
      <c r="N1113" s="78"/>
      <c r="O1113" s="78"/>
      <c r="P1113" s="78"/>
      <c r="Q1113" s="78"/>
      <c r="R1113" s="78"/>
      <c r="S1113" s="78"/>
      <c r="T1113" s="78"/>
      <c r="U1113" s="78"/>
      <c r="AE1113" s="115"/>
      <c r="AH1113" s="77"/>
    </row>
    <row r="1114" spans="1:34" ht="12.75" customHeight="1">
      <c r="A1114" s="115"/>
      <c r="B1114" s="11" t="s">
        <v>436</v>
      </c>
      <c r="C1114" s="64" t="s">
        <v>437</v>
      </c>
      <c r="D1114" s="11" t="s">
        <v>10</v>
      </c>
      <c r="F1114" s="78">
        <v>4</v>
      </c>
      <c r="G1114" s="64" t="s">
        <v>438</v>
      </c>
      <c r="L1114" s="64" t="s">
        <v>439</v>
      </c>
      <c r="T1114" s="64" t="s">
        <v>440</v>
      </c>
      <c r="Y1114" s="64" t="s">
        <v>441</v>
      </c>
      <c r="AE1114" s="115"/>
      <c r="AH1114" s="77"/>
    </row>
    <row r="1115" spans="1:34" ht="12.75" customHeight="1">
      <c r="A1115" s="115"/>
      <c r="B1115" s="117"/>
      <c r="C1115" s="62"/>
      <c r="D1115" s="62"/>
      <c r="E1115" s="62"/>
      <c r="F1115" s="62"/>
      <c r="G1115" s="62"/>
      <c r="H1115" s="62"/>
      <c r="I1115" s="62"/>
      <c r="J1115" s="62"/>
      <c r="K1115" s="62"/>
      <c r="L1115" s="62"/>
      <c r="M1115" s="62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118"/>
      <c r="AH1115" s="77"/>
    </row>
    <row r="1116" spans="1:34" ht="12.75" customHeight="1">
      <c r="A1116" s="115"/>
      <c r="B1116" s="38" t="s">
        <v>442</v>
      </c>
      <c r="AE1116" s="115"/>
      <c r="AH1116" s="77"/>
    </row>
    <row r="1117" spans="1:34" ht="12.75" customHeight="1">
      <c r="A1117" s="115"/>
      <c r="B1117" s="11" t="s">
        <v>111</v>
      </c>
      <c r="C1117" s="64" t="s">
        <v>340</v>
      </c>
      <c r="F1117" s="95"/>
      <c r="G1117" s="95"/>
      <c r="H1117" s="95"/>
      <c r="I1117" s="95"/>
      <c r="J1117" s="95"/>
      <c r="K1117" s="95"/>
      <c r="L1117" s="95"/>
      <c r="M1117" s="95"/>
      <c r="N1117" s="95"/>
      <c r="O1117" s="95"/>
      <c r="P1117" s="95"/>
      <c r="Q1117" s="95"/>
      <c r="R1117" s="95"/>
      <c r="S1117" s="95"/>
      <c r="T1117" s="95"/>
      <c r="U1117" s="95"/>
      <c r="V1117" s="3"/>
      <c r="W1117" s="3"/>
      <c r="X1117" s="3"/>
      <c r="Y1117" s="3"/>
      <c r="Z1117" s="3"/>
      <c r="AA1117" s="3"/>
      <c r="AE1117" s="115"/>
      <c r="AH1117" s="77"/>
    </row>
    <row r="1118" spans="1:34" ht="12.75" customHeight="1">
      <c r="A1118" s="115"/>
      <c r="B1118" s="11" t="s">
        <v>115</v>
      </c>
      <c r="C1118" s="64" t="s">
        <v>391</v>
      </c>
      <c r="F1118" s="78"/>
      <c r="G1118" s="78"/>
      <c r="H1118" s="78"/>
      <c r="I1118" s="78"/>
      <c r="J1118" s="78"/>
      <c r="K1118" s="78"/>
      <c r="L1118" s="78"/>
      <c r="M1118" s="78"/>
      <c r="N1118" s="78"/>
      <c r="O1118" s="78"/>
      <c r="P1118" s="78"/>
      <c r="Q1118" s="91"/>
      <c r="R1118" s="91"/>
      <c r="S1118" s="91"/>
      <c r="T1118" s="91"/>
      <c r="U1118" s="91"/>
      <c r="V1118" s="91"/>
      <c r="W1118" s="91"/>
      <c r="X1118" s="91"/>
      <c r="Y1118" s="91"/>
      <c r="Z1118" s="91"/>
      <c r="AA1118" s="91"/>
      <c r="AB1118" s="91"/>
      <c r="AC1118" s="91"/>
      <c r="AD1118" s="91"/>
      <c r="AE1118" s="115"/>
      <c r="AH1118" s="77"/>
    </row>
    <row r="1119" spans="1:34" ht="12.75" customHeight="1">
      <c r="A1119" s="115"/>
      <c r="B1119" s="11" t="s">
        <v>118</v>
      </c>
      <c r="C1119" s="64" t="s">
        <v>396</v>
      </c>
      <c r="F1119" s="225" t="s">
        <v>397</v>
      </c>
      <c r="G1119" s="239"/>
      <c r="H1119" s="91"/>
      <c r="I1119" s="91"/>
      <c r="J1119" s="240" t="s">
        <v>398</v>
      </c>
      <c r="K1119" s="194"/>
      <c r="L1119" s="239"/>
      <c r="M1119" s="91"/>
      <c r="N1119" s="91"/>
      <c r="O1119" s="240" t="s">
        <v>399</v>
      </c>
      <c r="P1119" s="194"/>
      <c r="Q1119" s="239"/>
      <c r="R1119" s="91"/>
      <c r="S1119" s="91"/>
      <c r="T1119" s="91"/>
      <c r="U1119" s="91"/>
      <c r="V1119" s="240" t="s">
        <v>359</v>
      </c>
      <c r="W1119" s="194"/>
      <c r="X1119" s="239"/>
      <c r="Y1119" s="91"/>
      <c r="Z1119" s="91"/>
      <c r="AA1119" s="91"/>
      <c r="AE1119" s="115"/>
      <c r="AH1119" s="77"/>
    </row>
    <row r="1120" spans="1:34" ht="12.75" customHeight="1">
      <c r="A1120" s="115"/>
      <c r="B1120" s="11" t="s">
        <v>121</v>
      </c>
      <c r="C1120" s="64" t="s">
        <v>128</v>
      </c>
      <c r="F1120" s="91"/>
      <c r="G1120" s="91"/>
      <c r="AE1120" s="115"/>
      <c r="AH1120" s="77"/>
    </row>
    <row r="1121" spans="1:34" ht="12.75" customHeight="1">
      <c r="A1121" s="115"/>
      <c r="B1121" s="11" t="s">
        <v>124</v>
      </c>
      <c r="C1121" s="64" t="s">
        <v>345</v>
      </c>
      <c r="F1121" s="246"/>
      <c r="G1121" s="223"/>
      <c r="H1121" s="223"/>
      <c r="I1121" s="223"/>
      <c r="J1121" s="223"/>
      <c r="K1121" s="223"/>
      <c r="L1121" s="223"/>
      <c r="M1121" s="223"/>
      <c r="N1121" s="223"/>
      <c r="O1121" s="223"/>
      <c r="P1121" s="223"/>
      <c r="Q1121" s="223"/>
      <c r="R1121" s="223"/>
      <c r="S1121" s="223"/>
      <c r="T1121" s="223"/>
      <c r="U1121" s="223"/>
      <c r="V1121" s="223"/>
      <c r="W1121" s="223"/>
      <c r="X1121" s="223"/>
      <c r="Y1121" s="223"/>
      <c r="Z1121" s="223"/>
      <c r="AA1121" s="223"/>
      <c r="AB1121" s="223"/>
      <c r="AC1121" s="223"/>
      <c r="AD1121" s="224"/>
      <c r="AE1121" s="115"/>
      <c r="AH1121" s="77"/>
    </row>
    <row r="1122" spans="1:34" ht="12.75" customHeight="1">
      <c r="A1122" s="115"/>
      <c r="F1122" s="64" t="s">
        <v>414</v>
      </c>
      <c r="L1122" s="246"/>
      <c r="M1122" s="223"/>
      <c r="N1122" s="223"/>
      <c r="O1122" s="223"/>
      <c r="P1122" s="223"/>
      <c r="Q1122" s="223"/>
      <c r="R1122" s="223"/>
      <c r="S1122" s="224"/>
      <c r="T1122" s="64" t="s">
        <v>415</v>
      </c>
      <c r="X1122" s="246"/>
      <c r="Y1122" s="223"/>
      <c r="Z1122" s="223"/>
      <c r="AA1122" s="223"/>
      <c r="AB1122" s="223"/>
      <c r="AC1122" s="223"/>
      <c r="AD1122" s="224"/>
      <c r="AE1122" s="115"/>
      <c r="AH1122" s="77"/>
    </row>
    <row r="1123" spans="1:34" ht="12.75" customHeight="1">
      <c r="A1123" s="115"/>
      <c r="F1123" s="64" t="s">
        <v>416</v>
      </c>
      <c r="L1123" s="246"/>
      <c r="M1123" s="223"/>
      <c r="N1123" s="223"/>
      <c r="O1123" s="223"/>
      <c r="P1123" s="223"/>
      <c r="Q1123" s="223"/>
      <c r="R1123" s="223"/>
      <c r="S1123" s="224"/>
      <c r="T1123" s="64" t="s">
        <v>417</v>
      </c>
      <c r="X1123" s="246"/>
      <c r="Y1123" s="223"/>
      <c r="Z1123" s="223"/>
      <c r="AA1123" s="223"/>
      <c r="AB1123" s="223"/>
      <c r="AC1123" s="223"/>
      <c r="AD1123" s="224"/>
      <c r="AE1123" s="115"/>
      <c r="AH1123" s="77"/>
    </row>
    <row r="1124" spans="1:34" ht="12.75" customHeight="1">
      <c r="A1124" s="115"/>
      <c r="B1124" s="117"/>
      <c r="C1124" s="62"/>
      <c r="D1124" s="62"/>
      <c r="E1124" s="62"/>
      <c r="F1124" s="62"/>
      <c r="G1124" s="62"/>
      <c r="H1124" s="62"/>
      <c r="I1124" s="62"/>
      <c r="J1124" s="62"/>
      <c r="K1124" s="62"/>
      <c r="L1124" s="62"/>
      <c r="M1124" s="62"/>
      <c r="N1124" s="62"/>
      <c r="O1124" s="62"/>
      <c r="P1124" s="62"/>
      <c r="Q1124" s="62"/>
      <c r="R1124" s="62"/>
      <c r="S1124" s="62"/>
      <c r="T1124" s="62"/>
      <c r="U1124" s="62"/>
      <c r="V1124" s="62"/>
      <c r="W1124" s="62"/>
      <c r="X1124" s="62"/>
      <c r="Y1124" s="62"/>
      <c r="Z1124" s="62"/>
      <c r="AA1124" s="62"/>
      <c r="AB1124" s="62"/>
      <c r="AC1124" s="62"/>
      <c r="AD1124" s="62"/>
      <c r="AE1124" s="118"/>
      <c r="AH1124" s="77"/>
    </row>
    <row r="1125" spans="1:34" ht="12.75" customHeight="1">
      <c r="A1125" s="115"/>
      <c r="B1125" s="38" t="s">
        <v>448</v>
      </c>
      <c r="AE1125" s="115"/>
      <c r="AH1125" s="77"/>
    </row>
    <row r="1126" spans="1:34" ht="12.75" customHeight="1">
      <c r="A1126" s="115"/>
      <c r="B1126" s="11" t="s">
        <v>111</v>
      </c>
      <c r="C1126" s="64" t="s">
        <v>340</v>
      </c>
      <c r="F1126" s="55"/>
      <c r="G1126" s="55"/>
      <c r="H1126" s="55"/>
      <c r="I1126" s="55"/>
      <c r="J1126" s="55"/>
      <c r="K1126" s="55"/>
      <c r="L1126" s="55"/>
      <c r="M1126" s="55"/>
      <c r="N1126" s="55"/>
      <c r="O1126" s="55"/>
      <c r="P1126" s="55"/>
      <c r="Q1126" s="55"/>
      <c r="R1126" s="55"/>
      <c r="S1126" s="55"/>
      <c r="T1126" s="55"/>
      <c r="U1126" s="55"/>
      <c r="AE1126" s="115"/>
      <c r="AH1126" s="77"/>
    </row>
    <row r="1127" spans="1:34" ht="12.75" customHeight="1">
      <c r="A1127" s="115"/>
      <c r="B1127" s="11" t="s">
        <v>115</v>
      </c>
      <c r="C1127" s="64" t="s">
        <v>391</v>
      </c>
      <c r="F1127" s="78"/>
      <c r="G1127" s="78"/>
      <c r="H1127" s="78"/>
      <c r="I1127" s="78"/>
      <c r="J1127" s="78"/>
      <c r="K1127" s="78"/>
      <c r="L1127" s="78"/>
      <c r="M1127" s="78"/>
      <c r="N1127" s="78"/>
      <c r="O1127" s="78"/>
      <c r="P1127" s="91"/>
      <c r="Q1127" s="91"/>
      <c r="R1127" s="91"/>
      <c r="S1127" s="91"/>
      <c r="T1127" s="91"/>
      <c r="U1127" s="91"/>
      <c r="V1127" s="91"/>
      <c r="W1127" s="91"/>
      <c r="X1127" s="91"/>
      <c r="Y1127" s="91"/>
      <c r="Z1127" s="91"/>
      <c r="AA1127" s="91"/>
      <c r="AB1127" s="91"/>
      <c r="AC1127" s="91"/>
      <c r="AD1127" s="91"/>
      <c r="AE1127" s="115"/>
      <c r="AH1127" s="77"/>
    </row>
    <row r="1128" spans="1:34" ht="12.75" customHeight="1">
      <c r="A1128" s="115"/>
      <c r="B1128" s="11" t="s">
        <v>118</v>
      </c>
      <c r="C1128" s="64" t="s">
        <v>396</v>
      </c>
      <c r="F1128" s="225" t="s">
        <v>397</v>
      </c>
      <c r="G1128" s="239"/>
      <c r="H1128" s="55"/>
      <c r="I1128" s="55"/>
      <c r="J1128" s="240" t="s">
        <v>398</v>
      </c>
      <c r="K1128" s="194"/>
      <c r="L1128" s="239"/>
      <c r="M1128" s="55"/>
      <c r="N1128" s="55"/>
      <c r="O1128" s="240" t="s">
        <v>399</v>
      </c>
      <c r="P1128" s="194"/>
      <c r="Q1128" s="239"/>
      <c r="R1128" s="91"/>
      <c r="S1128" s="91"/>
      <c r="T1128" s="91"/>
      <c r="U1128" s="91"/>
      <c r="V1128" s="240" t="s">
        <v>359</v>
      </c>
      <c r="W1128" s="194"/>
      <c r="X1128" s="239"/>
      <c r="Y1128" s="91"/>
      <c r="Z1128" s="91"/>
      <c r="AA1128" s="91"/>
      <c r="AE1128" s="115"/>
      <c r="AH1128" s="77"/>
    </row>
    <row r="1129" spans="1:34" ht="12.75" customHeight="1">
      <c r="A1129" s="115"/>
      <c r="B1129" s="11" t="s">
        <v>121</v>
      </c>
      <c r="C1129" s="64" t="s">
        <v>128</v>
      </c>
      <c r="F1129" s="91"/>
      <c r="G1129" s="91"/>
      <c r="AE1129" s="115"/>
      <c r="AH1129" s="77"/>
    </row>
    <row r="1130" spans="1:34" ht="12.75" customHeight="1">
      <c r="A1130" s="115"/>
      <c r="B1130" s="11" t="s">
        <v>124</v>
      </c>
      <c r="C1130" s="64" t="s">
        <v>345</v>
      </c>
      <c r="F1130" s="246"/>
      <c r="G1130" s="223"/>
      <c r="H1130" s="223"/>
      <c r="I1130" s="223"/>
      <c r="J1130" s="223"/>
      <c r="K1130" s="223"/>
      <c r="L1130" s="223"/>
      <c r="M1130" s="223"/>
      <c r="N1130" s="223"/>
      <c r="O1130" s="223"/>
      <c r="P1130" s="223"/>
      <c r="Q1130" s="223"/>
      <c r="R1130" s="223"/>
      <c r="S1130" s="223"/>
      <c r="T1130" s="223"/>
      <c r="U1130" s="223"/>
      <c r="V1130" s="223"/>
      <c r="W1130" s="223"/>
      <c r="X1130" s="223"/>
      <c r="Y1130" s="223"/>
      <c r="Z1130" s="223"/>
      <c r="AA1130" s="223"/>
      <c r="AB1130" s="223"/>
      <c r="AC1130" s="223"/>
      <c r="AD1130" s="224"/>
      <c r="AE1130" s="115"/>
      <c r="AH1130" s="77"/>
    </row>
    <row r="1131" spans="1:34" ht="12.75" customHeight="1">
      <c r="A1131" s="115"/>
      <c r="F1131" s="64" t="s">
        <v>414</v>
      </c>
      <c r="L1131" s="246" t="s">
        <v>102</v>
      </c>
      <c r="M1131" s="223"/>
      <c r="N1131" s="223"/>
      <c r="O1131" s="223"/>
      <c r="P1131" s="223"/>
      <c r="Q1131" s="223"/>
      <c r="R1131" s="223"/>
      <c r="S1131" s="224"/>
      <c r="T1131" s="64" t="s">
        <v>415</v>
      </c>
      <c r="X1131" s="246" t="s">
        <v>106</v>
      </c>
      <c r="Y1131" s="223"/>
      <c r="Z1131" s="223"/>
      <c r="AA1131" s="223"/>
      <c r="AB1131" s="223"/>
      <c r="AC1131" s="223"/>
      <c r="AD1131" s="224"/>
      <c r="AE1131" s="115"/>
      <c r="AH1131" s="77"/>
    </row>
    <row r="1132" spans="1:34" ht="12.75" customHeight="1">
      <c r="A1132" s="115"/>
      <c r="F1132" s="64" t="s">
        <v>416</v>
      </c>
      <c r="L1132" s="246" t="s">
        <v>104</v>
      </c>
      <c r="M1132" s="223"/>
      <c r="N1132" s="223"/>
      <c r="O1132" s="223"/>
      <c r="P1132" s="223"/>
      <c r="Q1132" s="223"/>
      <c r="R1132" s="223"/>
      <c r="S1132" s="224"/>
      <c r="T1132" s="64" t="s">
        <v>417</v>
      </c>
      <c r="X1132" s="246" t="s">
        <v>418</v>
      </c>
      <c r="Y1132" s="223"/>
      <c r="Z1132" s="223"/>
      <c r="AA1132" s="223"/>
      <c r="AB1132" s="223"/>
      <c r="AC1132" s="223"/>
      <c r="AD1132" s="224"/>
      <c r="AE1132" s="115"/>
      <c r="AH1132" s="77"/>
    </row>
    <row r="1133" spans="1:34" ht="12.75" customHeight="1">
      <c r="A1133" s="115"/>
      <c r="B1133" s="117"/>
      <c r="C1133" s="62"/>
      <c r="D1133" s="62"/>
      <c r="E1133" s="62"/>
      <c r="F1133" s="62"/>
      <c r="G1133" s="62"/>
      <c r="H1133" s="62"/>
      <c r="I1133" s="62"/>
      <c r="J1133" s="62"/>
      <c r="K1133" s="62"/>
      <c r="L1133" s="62"/>
      <c r="M1133" s="62"/>
      <c r="N1133" s="62"/>
      <c r="O1133" s="62"/>
      <c r="P1133" s="62"/>
      <c r="Q1133" s="62"/>
      <c r="R1133" s="62"/>
      <c r="S1133" s="62"/>
      <c r="T1133" s="62"/>
      <c r="U1133" s="62"/>
      <c r="V1133" s="62"/>
      <c r="W1133" s="62"/>
      <c r="X1133" s="62"/>
      <c r="Y1133" s="62"/>
      <c r="Z1133" s="62"/>
      <c r="AA1133" s="62"/>
      <c r="AB1133" s="62"/>
      <c r="AC1133" s="62"/>
      <c r="AD1133" s="62"/>
      <c r="AE1133" s="118"/>
      <c r="AH1133" s="77"/>
    </row>
    <row r="1134" spans="1:34" ht="12.75" customHeight="1">
      <c r="A1134" s="115"/>
      <c r="B1134" s="38" t="s">
        <v>456</v>
      </c>
      <c r="AE1134" s="115"/>
      <c r="AH1134" s="77"/>
    </row>
    <row r="1135" spans="1:34" ht="12.75" customHeight="1">
      <c r="A1135" s="115"/>
      <c r="B1135" s="11" t="s">
        <v>111</v>
      </c>
      <c r="C1135" s="64" t="s">
        <v>340</v>
      </c>
      <c r="F1135" s="95"/>
      <c r="G1135" s="95"/>
      <c r="H1135" s="95"/>
      <c r="I1135" s="95"/>
      <c r="J1135" s="95"/>
      <c r="K1135" s="95"/>
      <c r="L1135" s="95"/>
      <c r="M1135" s="95"/>
      <c r="N1135" s="95"/>
      <c r="O1135" s="95"/>
      <c r="P1135" s="95"/>
      <c r="Q1135" s="95"/>
      <c r="R1135" s="95"/>
      <c r="S1135" s="95"/>
      <c r="T1135" s="95"/>
      <c r="U1135" s="95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5"/>
      <c r="AH1135" s="77"/>
    </row>
    <row r="1136" spans="1:34" ht="12.75" customHeight="1">
      <c r="A1136" s="115"/>
      <c r="B1136" s="11" t="s">
        <v>115</v>
      </c>
      <c r="C1136" s="64" t="s">
        <v>391</v>
      </c>
      <c r="F1136" s="78"/>
      <c r="G1136" s="78"/>
      <c r="H1136" s="78"/>
      <c r="I1136" s="78"/>
      <c r="J1136" s="78"/>
      <c r="K1136" s="78"/>
      <c r="L1136" s="78"/>
      <c r="M1136" s="78"/>
      <c r="N1136" s="78"/>
      <c r="O1136" s="78"/>
      <c r="P1136" s="78"/>
      <c r="Q1136" s="78"/>
      <c r="R1136" s="78"/>
      <c r="S1136" s="78"/>
      <c r="T1136" s="78"/>
      <c r="U1136" s="78"/>
      <c r="V1136" s="78"/>
      <c r="W1136" s="78"/>
      <c r="X1136" s="78"/>
      <c r="Y1136" s="78"/>
      <c r="Z1136" s="78"/>
      <c r="AA1136" s="78"/>
      <c r="AB1136" s="78"/>
      <c r="AC1136" s="78"/>
      <c r="AD1136" s="78"/>
      <c r="AE1136" s="115"/>
      <c r="AH1136" s="77"/>
    </row>
    <row r="1137" spans="1:34" ht="12.75" customHeight="1">
      <c r="A1137" s="115"/>
      <c r="B1137" s="11" t="s">
        <v>118</v>
      </c>
      <c r="C1137" s="64" t="s">
        <v>396</v>
      </c>
      <c r="F1137" s="225" t="s">
        <v>397</v>
      </c>
      <c r="G1137" s="239"/>
      <c r="H1137" s="78"/>
      <c r="I1137" s="78"/>
      <c r="J1137" s="240" t="s">
        <v>398</v>
      </c>
      <c r="K1137" s="194"/>
      <c r="L1137" s="239"/>
      <c r="M1137" s="78"/>
      <c r="N1137" s="78"/>
      <c r="O1137" s="240" t="s">
        <v>399</v>
      </c>
      <c r="P1137" s="194"/>
      <c r="Q1137" s="239"/>
      <c r="R1137" s="78"/>
      <c r="S1137" s="78"/>
      <c r="T1137" s="78"/>
      <c r="U1137" s="78"/>
      <c r="V1137" s="240" t="s">
        <v>359</v>
      </c>
      <c r="W1137" s="194"/>
      <c r="X1137" s="239"/>
      <c r="Y1137" s="78"/>
      <c r="Z1137" s="78"/>
      <c r="AA1137" s="78"/>
      <c r="AB1137" s="11"/>
      <c r="AC1137" s="11"/>
      <c r="AD1137" s="11"/>
      <c r="AE1137" s="115"/>
      <c r="AH1137" s="77"/>
    </row>
    <row r="1138" spans="1:34" ht="12.75" customHeight="1">
      <c r="A1138" s="115"/>
      <c r="B1138" s="11" t="s">
        <v>121</v>
      </c>
      <c r="C1138" s="64" t="s">
        <v>128</v>
      </c>
      <c r="F1138" s="78"/>
      <c r="G1138" s="78"/>
      <c r="AE1138" s="115"/>
      <c r="AH1138" s="77"/>
    </row>
    <row r="1139" spans="1:34" ht="12.75" customHeight="1">
      <c r="A1139" s="115"/>
      <c r="B1139" s="11" t="s">
        <v>124</v>
      </c>
      <c r="C1139" s="64" t="s">
        <v>345</v>
      </c>
      <c r="F1139" s="246"/>
      <c r="G1139" s="223"/>
      <c r="H1139" s="223"/>
      <c r="I1139" s="223"/>
      <c r="J1139" s="223"/>
      <c r="K1139" s="223"/>
      <c r="L1139" s="223"/>
      <c r="M1139" s="223"/>
      <c r="N1139" s="223"/>
      <c r="O1139" s="223"/>
      <c r="P1139" s="223"/>
      <c r="Q1139" s="223"/>
      <c r="R1139" s="223"/>
      <c r="S1139" s="223"/>
      <c r="T1139" s="223"/>
      <c r="U1139" s="223"/>
      <c r="V1139" s="223"/>
      <c r="W1139" s="223"/>
      <c r="X1139" s="223"/>
      <c r="Y1139" s="223"/>
      <c r="Z1139" s="223"/>
      <c r="AA1139" s="223"/>
      <c r="AB1139" s="223"/>
      <c r="AC1139" s="223"/>
      <c r="AD1139" s="224"/>
      <c r="AE1139" s="115"/>
      <c r="AH1139" s="77"/>
    </row>
    <row r="1140" spans="1:34" ht="12.75" customHeight="1">
      <c r="A1140" s="115"/>
      <c r="F1140" s="64" t="s">
        <v>414</v>
      </c>
      <c r="L1140" s="246" t="s">
        <v>102</v>
      </c>
      <c r="M1140" s="223"/>
      <c r="N1140" s="223"/>
      <c r="O1140" s="223"/>
      <c r="P1140" s="223"/>
      <c r="Q1140" s="223"/>
      <c r="R1140" s="223"/>
      <c r="S1140" s="224"/>
      <c r="T1140" s="64" t="s">
        <v>415</v>
      </c>
      <c r="X1140" s="246" t="s">
        <v>106</v>
      </c>
      <c r="Y1140" s="223"/>
      <c r="Z1140" s="223"/>
      <c r="AA1140" s="223"/>
      <c r="AB1140" s="223"/>
      <c r="AC1140" s="223"/>
      <c r="AD1140" s="224"/>
      <c r="AE1140" s="115"/>
      <c r="AH1140" s="77"/>
    </row>
    <row r="1141" spans="1:34" ht="12.75" customHeight="1">
      <c r="A1141" s="115"/>
      <c r="F1141" s="64" t="s">
        <v>416</v>
      </c>
      <c r="L1141" s="246" t="s">
        <v>104</v>
      </c>
      <c r="M1141" s="223"/>
      <c r="N1141" s="223"/>
      <c r="O1141" s="223"/>
      <c r="P1141" s="223"/>
      <c r="Q1141" s="223"/>
      <c r="R1141" s="223"/>
      <c r="S1141" s="224"/>
      <c r="T1141" s="64" t="s">
        <v>417</v>
      </c>
      <c r="X1141" s="246" t="s">
        <v>418</v>
      </c>
      <c r="Y1141" s="223"/>
      <c r="Z1141" s="223"/>
      <c r="AA1141" s="223"/>
      <c r="AB1141" s="223"/>
      <c r="AC1141" s="223"/>
      <c r="AD1141" s="224"/>
      <c r="AE1141" s="115"/>
      <c r="AH1141" s="77"/>
    </row>
    <row r="1142" spans="1:34" ht="12.75" customHeight="1">
      <c r="A1142" s="115"/>
      <c r="B1142" s="117"/>
      <c r="C1142" s="62"/>
      <c r="D1142" s="62"/>
      <c r="E1142" s="62"/>
      <c r="F1142" s="62"/>
      <c r="G1142" s="62"/>
      <c r="H1142" s="62"/>
      <c r="I1142" s="62"/>
      <c r="J1142" s="62"/>
      <c r="K1142" s="62"/>
      <c r="L1142" s="62"/>
      <c r="M1142" s="62"/>
      <c r="N1142" s="62"/>
      <c r="O1142" s="62"/>
      <c r="P1142" s="62"/>
      <c r="Q1142" s="62"/>
      <c r="R1142" s="62"/>
      <c r="S1142" s="62"/>
      <c r="T1142" s="62"/>
      <c r="U1142" s="62"/>
      <c r="V1142" s="62"/>
      <c r="W1142" s="62"/>
      <c r="X1142" s="62"/>
      <c r="Y1142" s="62"/>
      <c r="Z1142" s="62"/>
      <c r="AA1142" s="62"/>
      <c r="AB1142" s="62"/>
      <c r="AC1142" s="62"/>
      <c r="AD1142" s="62"/>
      <c r="AE1142" s="118"/>
      <c r="AH1142" s="77"/>
    </row>
    <row r="1143" spans="1:34" ht="12.75" customHeight="1">
      <c r="A1143" s="115"/>
      <c r="B1143" s="38" t="s">
        <v>457</v>
      </c>
      <c r="AE1143" s="115"/>
      <c r="AH1143" s="77"/>
    </row>
    <row r="1144" spans="1:34" ht="12.75" customHeight="1">
      <c r="A1144" s="115"/>
      <c r="B1144" s="11" t="s">
        <v>111</v>
      </c>
      <c r="C1144" s="64" t="s">
        <v>340</v>
      </c>
      <c r="F1144" s="78"/>
      <c r="G1144" s="78"/>
      <c r="H1144" s="78"/>
      <c r="I1144" s="78"/>
      <c r="J1144" s="78"/>
      <c r="K1144" s="78"/>
      <c r="L1144" s="78"/>
      <c r="M1144" s="78"/>
      <c r="N1144" s="78"/>
      <c r="O1144" s="78"/>
      <c r="P1144" s="78"/>
      <c r="Q1144" s="78"/>
      <c r="R1144" s="78"/>
      <c r="S1144" s="78"/>
      <c r="T1144" s="78"/>
      <c r="U1144" s="78"/>
      <c r="V1144" s="91"/>
      <c r="W1144" s="11"/>
      <c r="X1144" s="11"/>
      <c r="Y1144" s="11"/>
      <c r="Z1144" s="11"/>
      <c r="AA1144" s="11"/>
      <c r="AB1144" s="11"/>
      <c r="AC1144" s="11"/>
      <c r="AD1144" s="11"/>
      <c r="AE1144" s="115"/>
      <c r="AH1144" s="77"/>
    </row>
    <row r="1145" spans="1:34" ht="12.75" customHeight="1">
      <c r="A1145" s="115"/>
      <c r="B1145" s="11" t="s">
        <v>115</v>
      </c>
      <c r="C1145" s="64" t="s">
        <v>391</v>
      </c>
      <c r="F1145" s="78"/>
      <c r="G1145" s="78"/>
      <c r="H1145" s="78"/>
      <c r="I1145" s="78"/>
      <c r="J1145" s="78"/>
      <c r="K1145" s="78"/>
      <c r="L1145" s="78"/>
      <c r="M1145" s="78"/>
      <c r="N1145" s="78"/>
      <c r="O1145" s="78"/>
      <c r="P1145" s="78"/>
      <c r="Q1145" s="78"/>
      <c r="R1145" s="78"/>
      <c r="S1145" s="78"/>
      <c r="T1145" s="78"/>
      <c r="U1145" s="78"/>
      <c r="V1145" s="78"/>
      <c r="W1145" s="78"/>
      <c r="X1145" s="78"/>
      <c r="Y1145" s="78"/>
      <c r="Z1145" s="78"/>
      <c r="AA1145" s="78"/>
      <c r="AB1145" s="78"/>
      <c r="AC1145" s="78"/>
      <c r="AD1145" s="78"/>
      <c r="AE1145" s="115"/>
      <c r="AH1145" s="77"/>
    </row>
    <row r="1146" spans="1:34" ht="12.75" customHeight="1">
      <c r="A1146" s="115"/>
      <c r="B1146" s="11" t="s">
        <v>118</v>
      </c>
      <c r="C1146" s="64" t="s">
        <v>396</v>
      </c>
      <c r="F1146" s="225" t="s">
        <v>397</v>
      </c>
      <c r="G1146" s="239"/>
      <c r="H1146" s="78"/>
      <c r="I1146" s="78"/>
      <c r="J1146" s="240" t="s">
        <v>398</v>
      </c>
      <c r="K1146" s="194"/>
      <c r="L1146" s="239"/>
      <c r="M1146" s="78"/>
      <c r="N1146" s="78"/>
      <c r="O1146" s="240" t="s">
        <v>399</v>
      </c>
      <c r="P1146" s="194"/>
      <c r="Q1146" s="239"/>
      <c r="R1146" s="78"/>
      <c r="S1146" s="78"/>
      <c r="T1146" s="78"/>
      <c r="U1146" s="78"/>
      <c r="V1146" s="240" t="s">
        <v>359</v>
      </c>
      <c r="W1146" s="194"/>
      <c r="X1146" s="239"/>
      <c r="Y1146" s="78"/>
      <c r="Z1146" s="78"/>
      <c r="AA1146" s="78"/>
      <c r="AB1146" s="11"/>
      <c r="AC1146" s="11"/>
      <c r="AD1146" s="11"/>
      <c r="AE1146" s="115"/>
      <c r="AH1146" s="77"/>
    </row>
    <row r="1147" spans="1:34" ht="12.75" customHeight="1">
      <c r="A1147" s="115"/>
      <c r="B1147" s="11" t="s">
        <v>121</v>
      </c>
      <c r="C1147" s="64" t="s">
        <v>128</v>
      </c>
      <c r="F1147" s="78"/>
      <c r="G1147" s="78"/>
      <c r="AE1147" s="115"/>
      <c r="AH1147" s="77"/>
    </row>
    <row r="1148" spans="1:34" ht="12.75" customHeight="1">
      <c r="A1148" s="115"/>
      <c r="B1148" s="11" t="s">
        <v>124</v>
      </c>
      <c r="C1148" s="64" t="s">
        <v>345</v>
      </c>
      <c r="F1148" s="246"/>
      <c r="G1148" s="223"/>
      <c r="H1148" s="223"/>
      <c r="I1148" s="223"/>
      <c r="J1148" s="223"/>
      <c r="K1148" s="223"/>
      <c r="L1148" s="223"/>
      <c r="M1148" s="223"/>
      <c r="N1148" s="223"/>
      <c r="O1148" s="223"/>
      <c r="P1148" s="223"/>
      <c r="Q1148" s="223"/>
      <c r="R1148" s="223"/>
      <c r="S1148" s="223"/>
      <c r="T1148" s="223"/>
      <c r="U1148" s="223"/>
      <c r="V1148" s="223"/>
      <c r="W1148" s="223"/>
      <c r="X1148" s="223"/>
      <c r="Y1148" s="223"/>
      <c r="Z1148" s="223"/>
      <c r="AA1148" s="223"/>
      <c r="AB1148" s="223"/>
      <c r="AC1148" s="223"/>
      <c r="AD1148" s="224"/>
      <c r="AE1148" s="115"/>
      <c r="AH1148" s="77"/>
    </row>
    <row r="1149" spans="1:34" ht="12.75" customHeight="1">
      <c r="A1149" s="115"/>
      <c r="F1149" s="64" t="s">
        <v>414</v>
      </c>
      <c r="L1149" s="246" t="s">
        <v>102</v>
      </c>
      <c r="M1149" s="223"/>
      <c r="N1149" s="223"/>
      <c r="O1149" s="223"/>
      <c r="P1149" s="223"/>
      <c r="Q1149" s="223"/>
      <c r="R1149" s="223"/>
      <c r="S1149" s="224"/>
      <c r="T1149" s="64" t="s">
        <v>415</v>
      </c>
      <c r="X1149" s="246" t="s">
        <v>106</v>
      </c>
      <c r="Y1149" s="223"/>
      <c r="Z1149" s="223"/>
      <c r="AA1149" s="223"/>
      <c r="AB1149" s="223"/>
      <c r="AC1149" s="223"/>
      <c r="AD1149" s="224"/>
      <c r="AE1149" s="115"/>
      <c r="AH1149" s="77"/>
    </row>
    <row r="1150" spans="1:34" ht="12.75" customHeight="1">
      <c r="A1150" s="115"/>
      <c r="F1150" s="64" t="s">
        <v>416</v>
      </c>
      <c r="L1150" s="246" t="s">
        <v>104</v>
      </c>
      <c r="M1150" s="223"/>
      <c r="N1150" s="223"/>
      <c r="O1150" s="223"/>
      <c r="P1150" s="223"/>
      <c r="Q1150" s="223"/>
      <c r="R1150" s="223"/>
      <c r="S1150" s="224"/>
      <c r="T1150" s="64" t="s">
        <v>417</v>
      </c>
      <c r="X1150" s="246" t="s">
        <v>418</v>
      </c>
      <c r="Y1150" s="223"/>
      <c r="Z1150" s="223"/>
      <c r="AA1150" s="223"/>
      <c r="AB1150" s="223"/>
      <c r="AC1150" s="223"/>
      <c r="AD1150" s="224"/>
      <c r="AE1150" s="115"/>
      <c r="AH1150" s="77"/>
    </row>
    <row r="1151" spans="1:34" ht="12.75" customHeight="1">
      <c r="A1151" s="115"/>
      <c r="B1151" s="117"/>
      <c r="C1151" s="62"/>
      <c r="D1151" s="62"/>
      <c r="E1151" s="62"/>
      <c r="F1151" s="62"/>
      <c r="G1151" s="62"/>
      <c r="H1151" s="62"/>
      <c r="I1151" s="62"/>
      <c r="J1151" s="62"/>
      <c r="K1151" s="62"/>
      <c r="L1151" s="62"/>
      <c r="M1151" s="62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118"/>
      <c r="AH1151" s="77"/>
    </row>
    <row r="1152" spans="1:34" ht="12.75" customHeight="1">
      <c r="A1152" s="115"/>
      <c r="B1152" s="64" t="s">
        <v>472</v>
      </c>
      <c r="AE1152" s="115"/>
      <c r="AH1152" s="77"/>
    </row>
    <row r="1153" spans="1:34" ht="12.75" customHeight="1">
      <c r="A1153" s="115"/>
      <c r="B1153" s="11" t="s">
        <v>111</v>
      </c>
      <c r="C1153" s="64" t="s">
        <v>340</v>
      </c>
      <c r="F1153" s="95"/>
      <c r="G1153" s="95"/>
      <c r="H1153" s="95"/>
      <c r="I1153" s="95"/>
      <c r="J1153" s="95"/>
      <c r="K1153" s="95"/>
      <c r="L1153" s="95"/>
      <c r="M1153" s="95"/>
      <c r="N1153" s="95"/>
      <c r="O1153" s="95"/>
      <c r="P1153" s="95"/>
      <c r="Q1153" s="95"/>
      <c r="R1153" s="95"/>
      <c r="S1153" s="95"/>
      <c r="T1153" s="95"/>
      <c r="U1153" s="95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5"/>
      <c r="AH1153" s="77"/>
    </row>
    <row r="1154" spans="1:34" ht="12.75" customHeight="1">
      <c r="A1154" s="115"/>
      <c r="B1154" s="11" t="s">
        <v>115</v>
      </c>
      <c r="C1154" s="64" t="s">
        <v>391</v>
      </c>
      <c r="F1154" s="78"/>
      <c r="G1154" s="78"/>
      <c r="H1154" s="78"/>
      <c r="I1154" s="78"/>
      <c r="J1154" s="78"/>
      <c r="K1154" s="78"/>
      <c r="L1154" s="78"/>
      <c r="M1154" s="78"/>
      <c r="N1154" s="78"/>
      <c r="O1154" s="78"/>
      <c r="P1154" s="78"/>
      <c r="Q1154" s="91"/>
      <c r="R1154" s="91"/>
      <c r="S1154" s="91"/>
      <c r="T1154" s="91"/>
      <c r="U1154" s="91"/>
      <c r="V1154" s="78"/>
      <c r="W1154" s="78"/>
      <c r="X1154" s="78"/>
      <c r="Y1154" s="78"/>
      <c r="Z1154" s="78"/>
      <c r="AA1154" s="78"/>
      <c r="AB1154" s="78"/>
      <c r="AC1154" s="78"/>
      <c r="AD1154" s="78"/>
      <c r="AE1154" s="115"/>
      <c r="AH1154" s="77"/>
    </row>
    <row r="1155" spans="1:34" ht="12.75" customHeight="1">
      <c r="A1155" s="115"/>
      <c r="B1155" s="11" t="s">
        <v>118</v>
      </c>
      <c r="C1155" s="64" t="s">
        <v>396</v>
      </c>
      <c r="F1155" s="225" t="s">
        <v>397</v>
      </c>
      <c r="G1155" s="239"/>
      <c r="H1155" s="78"/>
      <c r="I1155" s="78"/>
      <c r="J1155" s="240" t="s">
        <v>398</v>
      </c>
      <c r="K1155" s="194"/>
      <c r="L1155" s="239"/>
      <c r="M1155" s="78"/>
      <c r="N1155" s="78"/>
      <c r="O1155" s="240" t="s">
        <v>399</v>
      </c>
      <c r="P1155" s="194"/>
      <c r="Q1155" s="239"/>
      <c r="R1155" s="78"/>
      <c r="S1155" s="78"/>
      <c r="T1155" s="78"/>
      <c r="U1155" s="78"/>
      <c r="V1155" s="240" t="s">
        <v>359</v>
      </c>
      <c r="W1155" s="194"/>
      <c r="X1155" s="239"/>
      <c r="Y1155" s="78"/>
      <c r="Z1155" s="78"/>
      <c r="AA1155" s="78"/>
      <c r="AB1155" s="11"/>
      <c r="AC1155" s="11"/>
      <c r="AD1155" s="11"/>
      <c r="AE1155" s="115"/>
      <c r="AH1155" s="77"/>
    </row>
    <row r="1156" spans="1:34" ht="12.75" customHeight="1">
      <c r="A1156" s="115"/>
      <c r="B1156" s="11" t="s">
        <v>121</v>
      </c>
      <c r="C1156" s="64" t="s">
        <v>128</v>
      </c>
      <c r="F1156" s="78"/>
      <c r="G1156" s="78"/>
      <c r="AE1156" s="115"/>
      <c r="AH1156" s="77"/>
    </row>
    <row r="1157" spans="1:34" ht="12.75" customHeight="1">
      <c r="A1157" s="115"/>
      <c r="B1157" s="11" t="s">
        <v>124</v>
      </c>
      <c r="C1157" s="64" t="s">
        <v>345</v>
      </c>
      <c r="F1157" s="246"/>
      <c r="G1157" s="223"/>
      <c r="H1157" s="223"/>
      <c r="I1157" s="223"/>
      <c r="J1157" s="223"/>
      <c r="K1157" s="223"/>
      <c r="L1157" s="223"/>
      <c r="M1157" s="223"/>
      <c r="N1157" s="223"/>
      <c r="O1157" s="223"/>
      <c r="P1157" s="223"/>
      <c r="Q1157" s="223"/>
      <c r="R1157" s="223"/>
      <c r="S1157" s="223"/>
      <c r="T1157" s="223"/>
      <c r="U1157" s="223"/>
      <c r="V1157" s="223"/>
      <c r="W1157" s="223"/>
      <c r="X1157" s="223"/>
      <c r="Y1157" s="223"/>
      <c r="Z1157" s="223"/>
      <c r="AA1157" s="223"/>
      <c r="AB1157" s="223"/>
      <c r="AC1157" s="223"/>
      <c r="AD1157" s="224"/>
      <c r="AE1157" s="115"/>
      <c r="AH1157" s="77"/>
    </row>
    <row r="1158" spans="1:34" ht="12.75" customHeight="1">
      <c r="A1158" s="115"/>
      <c r="F1158" s="64" t="s">
        <v>414</v>
      </c>
      <c r="L1158" s="246" t="s">
        <v>102</v>
      </c>
      <c r="M1158" s="223"/>
      <c r="N1158" s="223"/>
      <c r="O1158" s="223"/>
      <c r="P1158" s="223"/>
      <c r="Q1158" s="223"/>
      <c r="R1158" s="223"/>
      <c r="S1158" s="224"/>
      <c r="T1158" s="64" t="s">
        <v>415</v>
      </c>
      <c r="X1158" s="246" t="s">
        <v>106</v>
      </c>
      <c r="Y1158" s="223"/>
      <c r="Z1158" s="223"/>
      <c r="AA1158" s="223"/>
      <c r="AB1158" s="223"/>
      <c r="AC1158" s="223"/>
      <c r="AD1158" s="224"/>
      <c r="AE1158" s="115"/>
      <c r="AH1158" s="77"/>
    </row>
    <row r="1159" spans="1:34" ht="12.75" customHeight="1">
      <c r="A1159" s="115"/>
      <c r="F1159" s="64" t="s">
        <v>416</v>
      </c>
      <c r="L1159" s="246" t="s">
        <v>104</v>
      </c>
      <c r="M1159" s="223"/>
      <c r="N1159" s="223"/>
      <c r="O1159" s="223"/>
      <c r="P1159" s="223"/>
      <c r="Q1159" s="223"/>
      <c r="R1159" s="223"/>
      <c r="S1159" s="224"/>
      <c r="T1159" s="64" t="s">
        <v>417</v>
      </c>
      <c r="X1159" s="246" t="s">
        <v>418</v>
      </c>
      <c r="Y1159" s="223"/>
      <c r="Z1159" s="223"/>
      <c r="AA1159" s="223"/>
      <c r="AB1159" s="223"/>
      <c r="AC1159" s="223"/>
      <c r="AD1159" s="224"/>
      <c r="AE1159" s="115"/>
      <c r="AH1159" s="77"/>
    </row>
    <row r="1160" spans="1:34" ht="12.75" customHeight="1">
      <c r="A1160" s="115"/>
      <c r="B1160" s="119"/>
      <c r="C1160" s="114"/>
      <c r="D1160" s="114"/>
      <c r="E1160" s="114"/>
      <c r="F1160" s="114"/>
      <c r="G1160" s="114"/>
      <c r="H1160" s="114"/>
      <c r="I1160" s="114"/>
      <c r="J1160" s="114"/>
      <c r="K1160" s="114"/>
      <c r="L1160" s="114"/>
      <c r="M1160" s="114"/>
      <c r="N1160" s="114"/>
      <c r="O1160" s="114"/>
      <c r="P1160" s="114"/>
      <c r="Q1160" s="114"/>
      <c r="R1160" s="114"/>
      <c r="S1160" s="114"/>
      <c r="T1160" s="114"/>
      <c r="U1160" s="114"/>
      <c r="V1160" s="114"/>
      <c r="W1160" s="114"/>
      <c r="X1160" s="114"/>
      <c r="Y1160" s="114"/>
      <c r="Z1160" s="114"/>
      <c r="AA1160" s="114"/>
      <c r="AB1160" s="114"/>
      <c r="AC1160" s="114"/>
      <c r="AD1160" s="114"/>
      <c r="AE1160" s="120"/>
      <c r="AH1160" s="77"/>
    </row>
    <row r="1161" spans="1:34" ht="12.75" customHeight="1">
      <c r="AH1161" s="77"/>
    </row>
    <row r="1162" spans="1:34" ht="12.75" customHeight="1">
      <c r="U1162" s="3" t="s">
        <v>526</v>
      </c>
      <c r="AH1162" s="77"/>
    </row>
    <row r="1163" spans="1:34" ht="12.75" customHeight="1">
      <c r="C1163" s="225" t="s">
        <v>480</v>
      </c>
      <c r="D1163" s="194"/>
      <c r="E1163" s="194"/>
      <c r="F1163" s="194"/>
      <c r="G1163" s="194"/>
      <c r="AH1163" s="77"/>
    </row>
    <row r="1164" spans="1:34" ht="12.75" customHeight="1">
      <c r="C1164" s="225" t="s">
        <v>494</v>
      </c>
      <c r="D1164" s="194"/>
      <c r="E1164" s="194"/>
      <c r="F1164" s="194"/>
      <c r="G1164" s="194"/>
      <c r="W1164" s="64" t="s">
        <v>481</v>
      </c>
      <c r="AH1164" s="77"/>
    </row>
    <row r="1165" spans="1:34" ht="12.75" customHeight="1">
      <c r="C1165" s="225" t="s">
        <v>365</v>
      </c>
      <c r="D1165" s="194"/>
      <c r="E1165" s="194"/>
      <c r="F1165" s="194"/>
      <c r="G1165" s="194"/>
      <c r="AH1165" s="77"/>
    </row>
    <row r="1166" spans="1:34" ht="12.75" customHeight="1">
      <c r="C1166" s="225" t="s">
        <v>527</v>
      </c>
      <c r="D1166" s="194"/>
      <c r="E1166" s="194"/>
      <c r="F1166" s="194"/>
      <c r="G1166" s="194"/>
      <c r="AH1166" s="77"/>
    </row>
    <row r="1167" spans="1:34" ht="12.75" customHeight="1">
      <c r="C1167" s="11"/>
      <c r="D1167" s="11"/>
      <c r="E1167" s="11"/>
      <c r="F1167" s="11"/>
      <c r="G1167" s="11"/>
      <c r="AH1167" s="77"/>
    </row>
    <row r="1168" spans="1:34" ht="12.75" customHeight="1">
      <c r="AH1168" s="77"/>
    </row>
    <row r="1169" spans="3:34" ht="12.75" customHeight="1">
      <c r="AH1169" s="77"/>
    </row>
    <row r="1170" spans="3:34" ht="12.75" customHeight="1">
      <c r="C1170" s="225" t="s">
        <v>501</v>
      </c>
      <c r="D1170" s="194"/>
      <c r="E1170" s="194"/>
      <c r="F1170" s="194"/>
      <c r="G1170" s="194"/>
      <c r="V1170" s="64" t="s">
        <v>528</v>
      </c>
      <c r="W1170" s="3"/>
      <c r="AH1170" s="77"/>
    </row>
    <row r="1171" spans="3:34" ht="12.75" customHeight="1">
      <c r="AH1171" s="77"/>
    </row>
    <row r="1172" spans="3:34" ht="12.75" customHeight="1">
      <c r="AH1172" s="77"/>
    </row>
    <row r="1173" spans="3:34" ht="12.75" customHeight="1">
      <c r="AH1173" s="77"/>
    </row>
    <row r="1174" spans="3:34" ht="12.75" customHeight="1">
      <c r="AH1174" s="77"/>
    </row>
    <row r="1175" spans="3:34" ht="12.75" customHeight="1">
      <c r="AH1175" s="77"/>
    </row>
    <row r="1176" spans="3:34" ht="12.75" customHeight="1">
      <c r="AH1176" s="77"/>
    </row>
    <row r="1177" spans="3:34" ht="12.75" customHeight="1">
      <c r="AH1177" s="77"/>
    </row>
    <row r="1178" spans="3:34" ht="12.75" customHeight="1">
      <c r="AH1178" s="77"/>
    </row>
    <row r="1179" spans="3:34" ht="12.75" customHeight="1">
      <c r="AH1179" s="77"/>
    </row>
    <row r="1180" spans="3:34" ht="12.75" customHeight="1">
      <c r="AH1180" s="77"/>
    </row>
    <row r="1181" spans="3:34" ht="12.75" customHeight="1">
      <c r="AH1181" s="77"/>
    </row>
    <row r="1182" spans="3:34" ht="12.75" customHeight="1">
      <c r="AH1182" s="77"/>
    </row>
    <row r="1183" spans="3:34" ht="12.75" customHeight="1">
      <c r="AH1183" s="77"/>
    </row>
    <row r="1184" spans="3:34" ht="12.75" customHeight="1">
      <c r="AH1184" s="77"/>
    </row>
    <row r="1185" spans="34:34" ht="12.75" customHeight="1">
      <c r="AH1185" s="77"/>
    </row>
    <row r="1186" spans="34:34" ht="12.75" customHeight="1">
      <c r="AH1186" s="77"/>
    </row>
    <row r="1187" spans="34:34" ht="12.75" customHeight="1">
      <c r="AH1187" s="77"/>
    </row>
    <row r="1188" spans="34:34" ht="12.75" customHeight="1">
      <c r="AH1188" s="77"/>
    </row>
    <row r="1189" spans="34:34" ht="12.75" customHeight="1">
      <c r="AH1189" s="77"/>
    </row>
    <row r="1190" spans="34:34" ht="12.75" customHeight="1">
      <c r="AH1190" s="77"/>
    </row>
    <row r="1191" spans="34:34" ht="12.75" customHeight="1">
      <c r="AH1191" s="77"/>
    </row>
    <row r="1192" spans="34:34" ht="12.75" customHeight="1">
      <c r="AH1192" s="77"/>
    </row>
    <row r="1193" spans="34:34" ht="12.75" customHeight="1">
      <c r="AH1193" s="77"/>
    </row>
    <row r="1194" spans="34:34" ht="12.75" customHeight="1">
      <c r="AH1194" s="77"/>
    </row>
    <row r="1195" spans="34:34" ht="12.75" customHeight="1">
      <c r="AH1195" s="77"/>
    </row>
    <row r="1196" spans="34:34" ht="12.75" customHeight="1">
      <c r="AH1196" s="77"/>
    </row>
    <row r="1197" spans="34:34" ht="12.75" customHeight="1">
      <c r="AH1197" s="77"/>
    </row>
    <row r="1198" spans="34:34" ht="12.75" customHeight="1">
      <c r="AH1198" s="77"/>
    </row>
    <row r="1199" spans="34:34" ht="12.75" customHeight="1">
      <c r="AH1199" s="77"/>
    </row>
    <row r="1200" spans="34:34" ht="12.75" customHeight="1">
      <c r="AH1200" s="77"/>
    </row>
    <row r="1201" spans="1:34" ht="12.75" customHeight="1">
      <c r="AH1201" s="77"/>
    </row>
    <row r="1202" spans="1:34" ht="12.75" customHeight="1">
      <c r="AH1202" s="77"/>
    </row>
    <row r="1203" spans="1:34" ht="12.75" customHeight="1">
      <c r="Y1203" s="235" t="s">
        <v>368</v>
      </c>
      <c r="Z1203" s="236"/>
      <c r="AA1203" s="236"/>
      <c r="AB1203" s="236"/>
      <c r="AC1203" s="237"/>
      <c r="AH1203" s="77"/>
    </row>
    <row r="1204" spans="1:34" ht="12.75" customHeight="1">
      <c r="B1204" s="64" t="s">
        <v>369</v>
      </c>
      <c r="D1204" s="11" t="s">
        <v>10</v>
      </c>
      <c r="F1204" s="64" t="s">
        <v>370</v>
      </c>
      <c r="P1204" s="64" t="s">
        <v>371</v>
      </c>
      <c r="R1204" s="11" t="s">
        <v>10</v>
      </c>
      <c r="S1204" s="64" t="s">
        <v>372</v>
      </c>
      <c r="V1204" s="11" t="s">
        <v>10</v>
      </c>
      <c r="W1204" s="64" t="s">
        <v>373</v>
      </c>
      <c r="AH1204" s="77"/>
    </row>
    <row r="1205" spans="1:34" ht="12.75" customHeight="1">
      <c r="B1205" s="64" t="s">
        <v>331</v>
      </c>
      <c r="D1205" s="11" t="s">
        <v>10</v>
      </c>
      <c r="F1205" s="64" t="s">
        <v>374</v>
      </c>
      <c r="S1205" s="64" t="s">
        <v>375</v>
      </c>
      <c r="V1205" s="11" t="s">
        <v>10</v>
      </c>
      <c r="W1205" s="64" t="s">
        <v>376</v>
      </c>
      <c r="AH1205" s="77"/>
    </row>
    <row r="1206" spans="1:34" ht="12.75" customHeight="1">
      <c r="B1206" s="64" t="s">
        <v>377</v>
      </c>
      <c r="D1206" s="11" t="s">
        <v>10</v>
      </c>
      <c r="F1206" s="64" t="s">
        <v>378</v>
      </c>
      <c r="P1206" s="62"/>
      <c r="S1206" s="64" t="s">
        <v>379</v>
      </c>
      <c r="V1206" s="11" t="s">
        <v>10</v>
      </c>
      <c r="W1206" s="64" t="s">
        <v>380</v>
      </c>
      <c r="AH1206" s="77"/>
    </row>
    <row r="1207" spans="1:34" ht="12.75" customHeight="1">
      <c r="B1207" s="64" t="s">
        <v>381</v>
      </c>
      <c r="D1207" s="11" t="s">
        <v>10</v>
      </c>
      <c r="F1207" s="78">
        <v>3</v>
      </c>
      <c r="G1207" s="78">
        <v>3</v>
      </c>
      <c r="H1207" s="78">
        <v>2</v>
      </c>
      <c r="I1207" s="78">
        <v>7</v>
      </c>
      <c r="J1207" s="78">
        <v>0</v>
      </c>
      <c r="K1207" s="78">
        <v>4</v>
      </c>
      <c r="L1207" s="78">
        <v>0</v>
      </c>
      <c r="M1207" s="78">
        <v>2</v>
      </c>
      <c r="N1207" s="78">
        <v>0</v>
      </c>
      <c r="O1207" s="78">
        <v>1</v>
      </c>
      <c r="P1207" s="11">
        <v>1</v>
      </c>
      <c r="Q1207" s="79"/>
      <c r="S1207" s="64" t="s">
        <v>382</v>
      </c>
      <c r="V1207" s="11" t="s">
        <v>10</v>
      </c>
      <c r="W1207" s="64" t="s">
        <v>383</v>
      </c>
      <c r="AH1207" s="77"/>
    </row>
    <row r="1208" spans="1:34" ht="12.75" customHeight="1">
      <c r="P1208" s="59"/>
      <c r="AH1208" s="77"/>
    </row>
    <row r="1209" spans="1:34" ht="12.75" customHeight="1">
      <c r="B1209" s="196" t="s">
        <v>334</v>
      </c>
      <c r="C1209" s="194"/>
      <c r="D1209" s="194"/>
      <c r="E1209" s="194"/>
      <c r="F1209" s="194"/>
      <c r="G1209" s="194"/>
      <c r="H1209" s="194"/>
      <c r="I1209" s="194"/>
      <c r="J1209" s="194"/>
      <c r="K1209" s="194"/>
      <c r="L1209" s="194"/>
      <c r="M1209" s="194"/>
      <c r="N1209" s="194"/>
      <c r="O1209" s="194"/>
      <c r="P1209" s="194"/>
      <c r="Q1209" s="194"/>
      <c r="R1209" s="194"/>
      <c r="S1209" s="194"/>
      <c r="T1209" s="194"/>
      <c r="U1209" s="194"/>
      <c r="V1209" s="194"/>
      <c r="W1209" s="194"/>
      <c r="X1209" s="194"/>
      <c r="Y1209" s="194"/>
      <c r="Z1209" s="194"/>
      <c r="AA1209" s="194"/>
      <c r="AB1209" s="194"/>
      <c r="AC1209" s="194"/>
      <c r="AD1209" s="194"/>
      <c r="AH1209" s="77"/>
    </row>
    <row r="1210" spans="1:34" ht="12.75" customHeight="1">
      <c r="B1210" s="225" t="s">
        <v>525</v>
      </c>
      <c r="C1210" s="194"/>
      <c r="D1210" s="194"/>
      <c r="E1210" s="194"/>
      <c r="F1210" s="194"/>
      <c r="G1210" s="194"/>
      <c r="H1210" s="194"/>
      <c r="I1210" s="194"/>
      <c r="J1210" s="194"/>
      <c r="K1210" s="194"/>
      <c r="L1210" s="194"/>
      <c r="M1210" s="194"/>
      <c r="N1210" s="194"/>
      <c r="O1210" s="194"/>
      <c r="P1210" s="194"/>
      <c r="Q1210" s="194"/>
      <c r="R1210" s="194"/>
      <c r="S1210" s="194"/>
      <c r="T1210" s="194"/>
      <c r="U1210" s="194"/>
      <c r="V1210" s="194"/>
      <c r="W1210" s="194"/>
      <c r="X1210" s="194"/>
      <c r="Y1210" s="194"/>
      <c r="Z1210" s="194"/>
      <c r="AA1210" s="194"/>
      <c r="AB1210" s="194"/>
      <c r="AC1210" s="194"/>
      <c r="AD1210" s="194"/>
      <c r="AH1210" s="77"/>
    </row>
    <row r="1211" spans="1:34" ht="12.75" customHeight="1">
      <c r="AH1211" s="77"/>
    </row>
    <row r="1212" spans="1:34" ht="12.75" customHeight="1">
      <c r="B1212" s="64" t="s">
        <v>385</v>
      </c>
      <c r="D1212" s="11" t="s">
        <v>10</v>
      </c>
      <c r="F1212" s="78"/>
      <c r="G1212" s="78"/>
      <c r="H1212" s="78"/>
      <c r="I1212" s="78"/>
      <c r="J1212" s="78"/>
      <c r="K1212" s="78"/>
      <c r="L1212" s="78"/>
      <c r="M1212" s="91"/>
      <c r="N1212" s="91"/>
      <c r="O1212" s="91"/>
      <c r="P1212" s="91"/>
      <c r="Q1212" s="91"/>
      <c r="R1212" s="91"/>
      <c r="S1212" s="91"/>
      <c r="T1212" s="91"/>
      <c r="U1212" s="91"/>
      <c r="V1212" s="91"/>
      <c r="W1212" s="91"/>
      <c r="X1212" s="91"/>
      <c r="Y1212" s="91"/>
      <c r="Z1212" s="91"/>
      <c r="AA1212" s="91"/>
      <c r="AB1212" s="91"/>
      <c r="AC1212" s="91"/>
      <c r="AD1212" s="91"/>
      <c r="AH1212" s="77"/>
    </row>
    <row r="1213" spans="1:34" ht="12.75" customHeight="1">
      <c r="B1213" s="64" t="s">
        <v>387</v>
      </c>
      <c r="D1213" s="11" t="s">
        <v>10</v>
      </c>
      <c r="F1213" s="78"/>
      <c r="G1213" s="78"/>
      <c r="H1213" s="78"/>
      <c r="I1213" s="78"/>
      <c r="J1213" s="78"/>
      <c r="K1213" s="78"/>
      <c r="L1213" s="78"/>
      <c r="M1213" s="78"/>
      <c r="N1213" s="78"/>
      <c r="O1213" s="78"/>
      <c r="P1213" s="78"/>
      <c r="Q1213" s="78"/>
      <c r="R1213" s="78"/>
      <c r="S1213" s="78"/>
      <c r="T1213" s="78"/>
      <c r="U1213" s="78"/>
      <c r="V1213" s="91"/>
      <c r="W1213" s="91"/>
      <c r="X1213" s="91"/>
      <c r="Y1213" s="91"/>
      <c r="AH1213" s="77"/>
    </row>
    <row r="1214" spans="1:34" ht="12.75" customHeight="1">
      <c r="B1214" s="114"/>
      <c r="C1214" s="114"/>
      <c r="D1214" s="114"/>
      <c r="E1214" s="114"/>
      <c r="F1214" s="114"/>
      <c r="G1214" s="114"/>
      <c r="H1214" s="114"/>
      <c r="I1214" s="114"/>
      <c r="J1214" s="114"/>
      <c r="K1214" s="114"/>
      <c r="L1214" s="114"/>
      <c r="M1214" s="114"/>
      <c r="N1214" s="114"/>
      <c r="O1214" s="114"/>
      <c r="P1214" s="114"/>
      <c r="Q1214" s="114"/>
      <c r="R1214" s="114"/>
      <c r="S1214" s="114"/>
      <c r="T1214" s="114"/>
      <c r="U1214" s="114"/>
      <c r="V1214" s="114"/>
      <c r="W1214" s="114"/>
      <c r="X1214" s="114"/>
      <c r="Y1214" s="114"/>
      <c r="Z1214" s="114"/>
      <c r="AA1214" s="114"/>
      <c r="AB1214" s="114"/>
      <c r="AC1214" s="114"/>
      <c r="AD1214" s="114"/>
      <c r="AE1214" s="114"/>
      <c r="AH1214" s="77"/>
    </row>
    <row r="1215" spans="1:34" ht="12.75" customHeight="1">
      <c r="A1215" s="115"/>
      <c r="B1215" s="38" t="s">
        <v>389</v>
      </c>
      <c r="AE1215" s="116"/>
      <c r="AH1215" s="77"/>
    </row>
    <row r="1216" spans="1:34" ht="12.75" customHeight="1">
      <c r="A1216" s="115"/>
      <c r="B1216" s="11" t="s">
        <v>111</v>
      </c>
      <c r="C1216" s="64" t="s">
        <v>340</v>
      </c>
      <c r="D1216" s="11" t="s">
        <v>10</v>
      </c>
      <c r="F1216" s="95"/>
      <c r="G1216" s="95"/>
      <c r="H1216" s="95"/>
      <c r="I1216" s="95"/>
      <c r="J1216" s="95"/>
      <c r="K1216" s="95"/>
      <c r="L1216" s="95"/>
      <c r="M1216" s="95"/>
      <c r="N1216" s="95"/>
      <c r="O1216" s="95"/>
      <c r="P1216" s="95"/>
      <c r="Q1216" s="95"/>
      <c r="R1216" s="95"/>
      <c r="S1216" s="95"/>
      <c r="T1216" s="95"/>
      <c r="U1216" s="95"/>
      <c r="AE1216" s="115"/>
      <c r="AH1216" s="77"/>
    </row>
    <row r="1217" spans="1:34" ht="12.75" customHeight="1">
      <c r="A1217" s="115"/>
      <c r="B1217" s="11" t="s">
        <v>115</v>
      </c>
      <c r="C1217" s="64" t="s">
        <v>391</v>
      </c>
      <c r="D1217" s="11" t="s">
        <v>10</v>
      </c>
      <c r="F1217" s="78"/>
      <c r="G1217" s="78"/>
      <c r="H1217" s="78"/>
      <c r="I1217" s="78"/>
      <c r="J1217" s="78"/>
      <c r="K1217" s="78"/>
      <c r="L1217" s="91"/>
      <c r="M1217" s="91"/>
      <c r="N1217" s="91"/>
      <c r="O1217" s="91"/>
      <c r="P1217" s="91"/>
      <c r="Q1217" s="91"/>
      <c r="R1217" s="91"/>
      <c r="S1217" s="91"/>
      <c r="T1217" s="91"/>
      <c r="U1217" s="91"/>
      <c r="V1217" s="91"/>
      <c r="W1217" s="91"/>
      <c r="X1217" s="91"/>
      <c r="Y1217" s="91"/>
      <c r="Z1217" s="91"/>
      <c r="AA1217" s="91"/>
      <c r="AB1217" s="91"/>
      <c r="AC1217" s="91"/>
      <c r="AD1217" s="91"/>
      <c r="AE1217" s="115"/>
      <c r="AH1217" s="77"/>
    </row>
    <row r="1218" spans="1:34" ht="12.75" customHeight="1">
      <c r="A1218" s="115"/>
      <c r="B1218" s="11" t="s">
        <v>118</v>
      </c>
      <c r="C1218" s="64" t="s">
        <v>285</v>
      </c>
      <c r="D1218" s="11" t="s">
        <v>10</v>
      </c>
      <c r="F1218" s="78"/>
      <c r="G1218" s="64" t="s">
        <v>393</v>
      </c>
      <c r="M1218" s="55"/>
      <c r="N1218" s="64" t="s">
        <v>394</v>
      </c>
      <c r="AE1218" s="115"/>
      <c r="AH1218" s="77"/>
    </row>
    <row r="1219" spans="1:34" ht="12.75" customHeight="1">
      <c r="A1219" s="115"/>
      <c r="B1219" s="11" t="s">
        <v>121</v>
      </c>
      <c r="C1219" s="64" t="s">
        <v>396</v>
      </c>
      <c r="D1219" s="11" t="s">
        <v>10</v>
      </c>
      <c r="F1219" s="225" t="s">
        <v>397</v>
      </c>
      <c r="G1219" s="239"/>
      <c r="H1219" s="95"/>
      <c r="I1219" s="95"/>
      <c r="J1219" s="240" t="s">
        <v>398</v>
      </c>
      <c r="K1219" s="194"/>
      <c r="L1219" s="239"/>
      <c r="M1219" s="95"/>
      <c r="N1219" s="95"/>
      <c r="O1219" s="240" t="s">
        <v>399</v>
      </c>
      <c r="P1219" s="194"/>
      <c r="Q1219" s="239"/>
      <c r="R1219" s="78"/>
      <c r="S1219" s="78"/>
      <c r="T1219" s="78"/>
      <c r="U1219" s="78"/>
      <c r="V1219" s="240" t="s">
        <v>359</v>
      </c>
      <c r="W1219" s="194"/>
      <c r="X1219" s="239"/>
      <c r="Y1219" s="78"/>
      <c r="Z1219" s="78"/>
      <c r="AA1219" s="91"/>
      <c r="AE1219" s="115"/>
      <c r="AH1219" s="77"/>
    </row>
    <row r="1220" spans="1:34" ht="12.75" customHeight="1">
      <c r="A1220" s="115"/>
      <c r="B1220" s="11" t="s">
        <v>124</v>
      </c>
      <c r="C1220" s="64" t="s">
        <v>403</v>
      </c>
      <c r="D1220" s="11" t="s">
        <v>10</v>
      </c>
      <c r="F1220" s="78"/>
      <c r="G1220" s="78"/>
      <c r="H1220" s="78"/>
      <c r="I1220" s="78"/>
      <c r="J1220" s="78"/>
      <c r="K1220" s="78"/>
      <c r="L1220" s="78"/>
      <c r="M1220" s="78"/>
      <c r="N1220" s="78"/>
      <c r="O1220" s="78"/>
      <c r="P1220" s="78"/>
      <c r="Q1220" s="78"/>
      <c r="R1220" s="242" t="s">
        <v>404</v>
      </c>
      <c r="S1220" s="243"/>
      <c r="T1220" s="243"/>
      <c r="U1220" s="244"/>
      <c r="V1220" s="78">
        <v>3</v>
      </c>
      <c r="W1220" s="78">
        <v>3</v>
      </c>
      <c r="X1220" s="240" t="s">
        <v>405</v>
      </c>
      <c r="Y1220" s="194"/>
      <c r="Z1220" s="194"/>
      <c r="AA1220" s="239"/>
      <c r="AB1220" s="78">
        <v>2</v>
      </c>
      <c r="AC1220" s="78">
        <v>7</v>
      </c>
      <c r="AE1220" s="115"/>
      <c r="AH1220" s="77"/>
    </row>
    <row r="1221" spans="1:34" ht="12.75" customHeight="1">
      <c r="A1221" s="115"/>
      <c r="B1221" s="11" t="s">
        <v>127</v>
      </c>
      <c r="C1221" s="64" t="s">
        <v>125</v>
      </c>
      <c r="D1221" s="11" t="s">
        <v>10</v>
      </c>
      <c r="F1221" s="55">
        <v>1</v>
      </c>
      <c r="G1221" s="64" t="s">
        <v>406</v>
      </c>
      <c r="K1221" s="64" t="s">
        <v>407</v>
      </c>
      <c r="O1221" s="64" t="s">
        <v>408</v>
      </c>
      <c r="S1221" s="64" t="s">
        <v>409</v>
      </c>
      <c r="W1221" s="64" t="s">
        <v>410</v>
      </c>
      <c r="Z1221" s="64" t="s">
        <v>411</v>
      </c>
      <c r="AE1221" s="115"/>
      <c r="AH1221" s="77"/>
    </row>
    <row r="1222" spans="1:34" ht="12.75" customHeight="1">
      <c r="A1222" s="115"/>
      <c r="B1222" s="11" t="s">
        <v>130</v>
      </c>
      <c r="C1222" s="64" t="s">
        <v>128</v>
      </c>
      <c r="D1222" s="11" t="s">
        <v>10</v>
      </c>
      <c r="F1222" s="95"/>
      <c r="G1222" s="95"/>
      <c r="AE1222" s="115"/>
      <c r="AH1222" s="77"/>
    </row>
    <row r="1223" spans="1:34" ht="12.75" customHeight="1">
      <c r="A1223" s="115"/>
      <c r="B1223" s="11" t="s">
        <v>134</v>
      </c>
      <c r="C1223" s="64" t="s">
        <v>345</v>
      </c>
      <c r="D1223" s="11" t="s">
        <v>10</v>
      </c>
      <c r="F1223" s="246"/>
      <c r="G1223" s="223"/>
      <c r="H1223" s="223"/>
      <c r="I1223" s="223"/>
      <c r="J1223" s="223"/>
      <c r="K1223" s="223"/>
      <c r="L1223" s="223"/>
      <c r="M1223" s="223"/>
      <c r="N1223" s="223"/>
      <c r="O1223" s="223"/>
      <c r="P1223" s="223"/>
      <c r="Q1223" s="223"/>
      <c r="R1223" s="223"/>
      <c r="S1223" s="223"/>
      <c r="T1223" s="223"/>
      <c r="U1223" s="223"/>
      <c r="V1223" s="223"/>
      <c r="W1223" s="223"/>
      <c r="X1223" s="223"/>
      <c r="Y1223" s="223"/>
      <c r="Z1223" s="223"/>
      <c r="AA1223" s="223"/>
      <c r="AB1223" s="223"/>
      <c r="AC1223" s="223"/>
      <c r="AD1223" s="224"/>
      <c r="AE1223" s="115"/>
      <c r="AH1223" s="77"/>
    </row>
    <row r="1224" spans="1:34" ht="12.75" customHeight="1">
      <c r="A1224" s="115"/>
      <c r="B1224" s="11"/>
      <c r="F1224" s="64" t="s">
        <v>414</v>
      </c>
      <c r="L1224" s="246" t="s">
        <v>102</v>
      </c>
      <c r="M1224" s="223"/>
      <c r="N1224" s="223"/>
      <c r="O1224" s="223"/>
      <c r="P1224" s="223"/>
      <c r="Q1224" s="223"/>
      <c r="R1224" s="223"/>
      <c r="S1224" s="224"/>
      <c r="T1224" s="64" t="s">
        <v>415</v>
      </c>
      <c r="X1224" s="246" t="s">
        <v>106</v>
      </c>
      <c r="Y1224" s="223"/>
      <c r="Z1224" s="223"/>
      <c r="AA1224" s="223"/>
      <c r="AB1224" s="223"/>
      <c r="AC1224" s="223"/>
      <c r="AD1224" s="224"/>
      <c r="AE1224" s="115"/>
      <c r="AH1224" s="77"/>
    </row>
    <row r="1225" spans="1:34" ht="12.75" customHeight="1">
      <c r="A1225" s="115"/>
      <c r="B1225" s="11"/>
      <c r="F1225" s="64" t="s">
        <v>416</v>
      </c>
      <c r="L1225" s="246" t="s">
        <v>104</v>
      </c>
      <c r="M1225" s="223"/>
      <c r="N1225" s="223"/>
      <c r="O1225" s="223"/>
      <c r="P1225" s="223"/>
      <c r="Q1225" s="223"/>
      <c r="R1225" s="223"/>
      <c r="S1225" s="224"/>
      <c r="T1225" s="64" t="s">
        <v>417</v>
      </c>
      <c r="X1225" s="246" t="s">
        <v>418</v>
      </c>
      <c r="Y1225" s="223"/>
      <c r="Z1225" s="223"/>
      <c r="AA1225" s="223"/>
      <c r="AB1225" s="223"/>
      <c r="AC1225" s="223"/>
      <c r="AD1225" s="224"/>
      <c r="AE1225" s="115"/>
      <c r="AH1225" s="77"/>
    </row>
    <row r="1226" spans="1:34" ht="12.75" customHeight="1">
      <c r="A1226" s="115"/>
      <c r="B1226" s="11" t="s">
        <v>137</v>
      </c>
      <c r="C1226" s="64" t="s">
        <v>419</v>
      </c>
      <c r="D1226" s="11" t="s">
        <v>10</v>
      </c>
      <c r="F1226" s="91"/>
      <c r="G1226" s="64" t="s">
        <v>111</v>
      </c>
      <c r="J1226" s="64" t="s">
        <v>115</v>
      </c>
      <c r="M1226" s="64" t="s">
        <v>118</v>
      </c>
      <c r="P1226" s="64" t="s">
        <v>420</v>
      </c>
      <c r="AE1226" s="115"/>
      <c r="AH1226" s="77"/>
    </row>
    <row r="1227" spans="1:34" ht="12.75" customHeight="1">
      <c r="A1227" s="115"/>
      <c r="B1227" s="11" t="s">
        <v>145</v>
      </c>
      <c r="C1227" s="64" t="s">
        <v>421</v>
      </c>
      <c r="D1227" s="11" t="s">
        <v>10</v>
      </c>
      <c r="F1227" s="225" t="s">
        <v>397</v>
      </c>
      <c r="G1227" s="194"/>
      <c r="H1227" s="95"/>
      <c r="I1227" s="95"/>
      <c r="J1227" s="240" t="s">
        <v>422</v>
      </c>
      <c r="K1227" s="194"/>
      <c r="L1227" s="194"/>
      <c r="M1227" s="78"/>
      <c r="N1227" s="78"/>
      <c r="O1227" s="240" t="s">
        <v>399</v>
      </c>
      <c r="P1227" s="194"/>
      <c r="Q1227" s="194"/>
      <c r="R1227" s="78"/>
      <c r="S1227" s="78"/>
      <c r="T1227" s="78"/>
      <c r="U1227" s="78"/>
      <c r="V1227" s="11"/>
      <c r="AE1227" s="115"/>
      <c r="AH1227" s="77"/>
    </row>
    <row r="1228" spans="1:34" ht="12.75" customHeight="1">
      <c r="A1228" s="115"/>
      <c r="B1228" s="11" t="s">
        <v>424</v>
      </c>
      <c r="C1228" s="64" t="s">
        <v>425</v>
      </c>
      <c r="D1228" s="11" t="s">
        <v>10</v>
      </c>
      <c r="F1228" s="91"/>
      <c r="G1228" s="91"/>
      <c r="H1228" s="91"/>
      <c r="I1228" s="91"/>
      <c r="AE1228" s="115"/>
      <c r="AH1228" s="77"/>
    </row>
    <row r="1229" spans="1:34" ht="12.75" customHeight="1">
      <c r="A1229" s="115"/>
      <c r="B1229" s="11" t="s">
        <v>427</v>
      </c>
      <c r="C1229" s="64" t="s">
        <v>428</v>
      </c>
      <c r="D1229" s="11" t="s">
        <v>10</v>
      </c>
      <c r="F1229" s="91"/>
      <c r="G1229" s="64" t="s">
        <v>429</v>
      </c>
      <c r="P1229" s="64" t="s">
        <v>430</v>
      </c>
      <c r="X1229" s="64" t="s">
        <v>431</v>
      </c>
      <c r="AE1229" s="115"/>
      <c r="AH1229" s="77"/>
    </row>
    <row r="1230" spans="1:34" ht="12.75" customHeight="1">
      <c r="A1230" s="115"/>
      <c r="B1230" s="11"/>
      <c r="D1230" s="11"/>
      <c r="G1230" s="64" t="s">
        <v>432</v>
      </c>
      <c r="P1230" s="64" t="s">
        <v>433</v>
      </c>
      <c r="X1230" s="64" t="s">
        <v>411</v>
      </c>
      <c r="AE1230" s="115"/>
      <c r="AH1230" s="77"/>
    </row>
    <row r="1231" spans="1:34" ht="12.75" customHeight="1">
      <c r="A1231" s="115"/>
      <c r="B1231" s="11" t="s">
        <v>434</v>
      </c>
      <c r="C1231" s="64" t="s">
        <v>435</v>
      </c>
      <c r="D1231" s="11" t="s">
        <v>10</v>
      </c>
      <c r="F1231" s="78"/>
      <c r="G1231" s="78"/>
      <c r="H1231" s="78"/>
      <c r="I1231" s="78"/>
      <c r="J1231" s="78"/>
      <c r="K1231" s="78"/>
      <c r="L1231" s="78"/>
      <c r="M1231" s="78"/>
      <c r="N1231" s="78"/>
      <c r="O1231" s="78"/>
      <c r="P1231" s="78"/>
      <c r="Q1231" s="78"/>
      <c r="R1231" s="78"/>
      <c r="S1231" s="78"/>
      <c r="T1231" s="78"/>
      <c r="U1231" s="78"/>
      <c r="AE1231" s="115"/>
      <c r="AH1231" s="77"/>
    </row>
    <row r="1232" spans="1:34" ht="12.75" customHeight="1">
      <c r="A1232" s="115"/>
      <c r="B1232" s="11" t="s">
        <v>436</v>
      </c>
      <c r="C1232" s="64" t="s">
        <v>437</v>
      </c>
      <c r="D1232" s="11" t="s">
        <v>10</v>
      </c>
      <c r="F1232" s="78">
        <v>4</v>
      </c>
      <c r="G1232" s="64" t="s">
        <v>438</v>
      </c>
      <c r="L1232" s="64" t="s">
        <v>439</v>
      </c>
      <c r="T1232" s="64" t="s">
        <v>440</v>
      </c>
      <c r="Y1232" s="64" t="s">
        <v>441</v>
      </c>
      <c r="AE1232" s="115"/>
      <c r="AH1232" s="77"/>
    </row>
    <row r="1233" spans="1:34" ht="12.75" customHeight="1">
      <c r="A1233" s="115"/>
      <c r="B1233" s="117"/>
      <c r="C1233" s="62"/>
      <c r="D1233" s="62"/>
      <c r="E1233" s="62"/>
      <c r="F1233" s="62"/>
      <c r="G1233" s="62"/>
      <c r="H1233" s="62"/>
      <c r="I1233" s="62"/>
      <c r="J1233" s="62"/>
      <c r="K1233" s="62"/>
      <c r="L1233" s="62"/>
      <c r="M1233" s="62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118"/>
      <c r="AH1233" s="77"/>
    </row>
    <row r="1234" spans="1:34" ht="12.75" customHeight="1">
      <c r="A1234" s="115"/>
      <c r="B1234" s="38" t="s">
        <v>442</v>
      </c>
      <c r="AE1234" s="115"/>
      <c r="AH1234" s="77"/>
    </row>
    <row r="1235" spans="1:34" ht="12.75" customHeight="1">
      <c r="A1235" s="115"/>
      <c r="B1235" s="11" t="s">
        <v>111</v>
      </c>
      <c r="C1235" s="64" t="s">
        <v>340</v>
      </c>
      <c r="F1235" s="95"/>
      <c r="G1235" s="95"/>
      <c r="H1235" s="95"/>
      <c r="I1235" s="95"/>
      <c r="J1235" s="95"/>
      <c r="K1235" s="95"/>
      <c r="L1235" s="95"/>
      <c r="M1235" s="95"/>
      <c r="N1235" s="95"/>
      <c r="O1235" s="95"/>
      <c r="P1235" s="95"/>
      <c r="Q1235" s="95"/>
      <c r="R1235" s="95"/>
      <c r="S1235" s="95"/>
      <c r="T1235" s="95"/>
      <c r="U1235" s="95"/>
      <c r="V1235" s="3"/>
      <c r="W1235" s="3"/>
      <c r="X1235" s="3"/>
      <c r="Y1235" s="3"/>
      <c r="Z1235" s="3"/>
      <c r="AA1235" s="3"/>
      <c r="AE1235" s="115"/>
      <c r="AH1235" s="77"/>
    </row>
    <row r="1236" spans="1:34" ht="12.75" customHeight="1">
      <c r="A1236" s="115"/>
      <c r="B1236" s="11" t="s">
        <v>115</v>
      </c>
      <c r="C1236" s="64" t="s">
        <v>391</v>
      </c>
      <c r="F1236" s="78"/>
      <c r="G1236" s="78"/>
      <c r="H1236" s="78"/>
      <c r="I1236" s="78"/>
      <c r="J1236" s="78"/>
      <c r="K1236" s="78"/>
      <c r="L1236" s="78"/>
      <c r="M1236" s="78"/>
      <c r="N1236" s="78"/>
      <c r="O1236" s="78"/>
      <c r="P1236" s="78"/>
      <c r="Q1236" s="91"/>
      <c r="R1236" s="91"/>
      <c r="S1236" s="91"/>
      <c r="T1236" s="91"/>
      <c r="U1236" s="91"/>
      <c r="V1236" s="91"/>
      <c r="W1236" s="91"/>
      <c r="X1236" s="91"/>
      <c r="Y1236" s="91"/>
      <c r="Z1236" s="91"/>
      <c r="AA1236" s="91"/>
      <c r="AB1236" s="91"/>
      <c r="AC1236" s="91"/>
      <c r="AD1236" s="91"/>
      <c r="AE1236" s="115"/>
      <c r="AH1236" s="77"/>
    </row>
    <row r="1237" spans="1:34" ht="12.75" customHeight="1">
      <c r="A1237" s="115"/>
      <c r="B1237" s="11" t="s">
        <v>118</v>
      </c>
      <c r="C1237" s="64" t="s">
        <v>396</v>
      </c>
      <c r="F1237" s="225" t="s">
        <v>397</v>
      </c>
      <c r="G1237" s="239"/>
      <c r="H1237" s="91"/>
      <c r="I1237" s="91"/>
      <c r="J1237" s="240" t="s">
        <v>398</v>
      </c>
      <c r="K1237" s="194"/>
      <c r="L1237" s="239"/>
      <c r="M1237" s="91"/>
      <c r="N1237" s="91"/>
      <c r="O1237" s="240" t="s">
        <v>399</v>
      </c>
      <c r="P1237" s="194"/>
      <c r="Q1237" s="239"/>
      <c r="R1237" s="91"/>
      <c r="S1237" s="91"/>
      <c r="T1237" s="91"/>
      <c r="U1237" s="91"/>
      <c r="V1237" s="240" t="s">
        <v>359</v>
      </c>
      <c r="W1237" s="194"/>
      <c r="X1237" s="239"/>
      <c r="Y1237" s="91"/>
      <c r="Z1237" s="91"/>
      <c r="AA1237" s="91"/>
      <c r="AE1237" s="115"/>
      <c r="AH1237" s="77"/>
    </row>
    <row r="1238" spans="1:34" ht="12.75" customHeight="1">
      <c r="A1238" s="115"/>
      <c r="B1238" s="11" t="s">
        <v>121</v>
      </c>
      <c r="C1238" s="64" t="s">
        <v>128</v>
      </c>
      <c r="F1238" s="91"/>
      <c r="G1238" s="91"/>
      <c r="AE1238" s="115"/>
      <c r="AH1238" s="77"/>
    </row>
    <row r="1239" spans="1:34" ht="12.75" customHeight="1">
      <c r="A1239" s="115"/>
      <c r="B1239" s="11" t="s">
        <v>124</v>
      </c>
      <c r="C1239" s="64" t="s">
        <v>345</v>
      </c>
      <c r="F1239" s="246"/>
      <c r="G1239" s="223"/>
      <c r="H1239" s="223"/>
      <c r="I1239" s="223"/>
      <c r="J1239" s="223"/>
      <c r="K1239" s="223"/>
      <c r="L1239" s="223"/>
      <c r="M1239" s="223"/>
      <c r="N1239" s="223"/>
      <c r="O1239" s="223"/>
      <c r="P1239" s="223"/>
      <c r="Q1239" s="223"/>
      <c r="R1239" s="223"/>
      <c r="S1239" s="223"/>
      <c r="T1239" s="223"/>
      <c r="U1239" s="223"/>
      <c r="V1239" s="223"/>
      <c r="W1239" s="223"/>
      <c r="X1239" s="223"/>
      <c r="Y1239" s="223"/>
      <c r="Z1239" s="223"/>
      <c r="AA1239" s="223"/>
      <c r="AB1239" s="223"/>
      <c r="AC1239" s="223"/>
      <c r="AD1239" s="224"/>
      <c r="AE1239" s="115"/>
      <c r="AH1239" s="77"/>
    </row>
    <row r="1240" spans="1:34" ht="12.75" customHeight="1">
      <c r="A1240" s="115"/>
      <c r="F1240" s="64" t="s">
        <v>414</v>
      </c>
      <c r="L1240" s="246"/>
      <c r="M1240" s="223"/>
      <c r="N1240" s="223"/>
      <c r="O1240" s="223"/>
      <c r="P1240" s="223"/>
      <c r="Q1240" s="223"/>
      <c r="R1240" s="223"/>
      <c r="S1240" s="224"/>
      <c r="T1240" s="64" t="s">
        <v>415</v>
      </c>
      <c r="X1240" s="246"/>
      <c r="Y1240" s="223"/>
      <c r="Z1240" s="223"/>
      <c r="AA1240" s="223"/>
      <c r="AB1240" s="223"/>
      <c r="AC1240" s="223"/>
      <c r="AD1240" s="224"/>
      <c r="AE1240" s="115"/>
      <c r="AH1240" s="77"/>
    </row>
    <row r="1241" spans="1:34" ht="12.75" customHeight="1">
      <c r="A1241" s="115"/>
      <c r="F1241" s="64" t="s">
        <v>416</v>
      </c>
      <c r="L1241" s="246"/>
      <c r="M1241" s="223"/>
      <c r="N1241" s="223"/>
      <c r="O1241" s="223"/>
      <c r="P1241" s="223"/>
      <c r="Q1241" s="223"/>
      <c r="R1241" s="223"/>
      <c r="S1241" s="224"/>
      <c r="T1241" s="64" t="s">
        <v>417</v>
      </c>
      <c r="X1241" s="246"/>
      <c r="Y1241" s="223"/>
      <c r="Z1241" s="223"/>
      <c r="AA1241" s="223"/>
      <c r="AB1241" s="223"/>
      <c r="AC1241" s="223"/>
      <c r="AD1241" s="224"/>
      <c r="AE1241" s="115"/>
      <c r="AH1241" s="77"/>
    </row>
    <row r="1242" spans="1:34" ht="12.75" customHeight="1">
      <c r="A1242" s="115"/>
      <c r="B1242" s="117"/>
      <c r="C1242" s="62"/>
      <c r="D1242" s="62"/>
      <c r="E1242" s="62"/>
      <c r="F1242" s="62"/>
      <c r="G1242" s="62"/>
      <c r="H1242" s="62"/>
      <c r="I1242" s="62"/>
      <c r="J1242" s="62"/>
      <c r="K1242" s="62"/>
      <c r="L1242" s="62"/>
      <c r="M1242" s="62"/>
      <c r="N1242" s="62"/>
      <c r="O1242" s="62"/>
      <c r="P1242" s="62"/>
      <c r="Q1242" s="62"/>
      <c r="R1242" s="62"/>
      <c r="S1242" s="62"/>
      <c r="T1242" s="62"/>
      <c r="U1242" s="62"/>
      <c r="V1242" s="62"/>
      <c r="W1242" s="62"/>
      <c r="X1242" s="62"/>
      <c r="Y1242" s="62"/>
      <c r="Z1242" s="62"/>
      <c r="AA1242" s="62"/>
      <c r="AB1242" s="62"/>
      <c r="AC1242" s="62"/>
      <c r="AD1242" s="62"/>
      <c r="AE1242" s="118"/>
      <c r="AH1242" s="77"/>
    </row>
    <row r="1243" spans="1:34" ht="12.75" customHeight="1">
      <c r="A1243" s="115"/>
      <c r="B1243" s="38" t="s">
        <v>448</v>
      </c>
      <c r="AE1243" s="115"/>
      <c r="AH1243" s="77"/>
    </row>
    <row r="1244" spans="1:34" ht="12.75" customHeight="1">
      <c r="A1244" s="115"/>
      <c r="B1244" s="11" t="s">
        <v>111</v>
      </c>
      <c r="C1244" s="64" t="s">
        <v>340</v>
      </c>
      <c r="F1244" s="55"/>
      <c r="G1244" s="55"/>
      <c r="H1244" s="55"/>
      <c r="I1244" s="55"/>
      <c r="J1244" s="55"/>
      <c r="K1244" s="55"/>
      <c r="L1244" s="55"/>
      <c r="M1244" s="55"/>
      <c r="N1244" s="55"/>
      <c r="O1244" s="55"/>
      <c r="P1244" s="55"/>
      <c r="Q1244" s="55"/>
      <c r="R1244" s="55"/>
      <c r="S1244" s="55"/>
      <c r="T1244" s="55"/>
      <c r="U1244" s="55"/>
      <c r="AE1244" s="115"/>
      <c r="AH1244" s="77"/>
    </row>
    <row r="1245" spans="1:34" ht="12.75" customHeight="1">
      <c r="A1245" s="115"/>
      <c r="B1245" s="11" t="s">
        <v>115</v>
      </c>
      <c r="C1245" s="64" t="s">
        <v>391</v>
      </c>
      <c r="F1245" s="78"/>
      <c r="G1245" s="78"/>
      <c r="H1245" s="78"/>
      <c r="I1245" s="78"/>
      <c r="J1245" s="78"/>
      <c r="K1245" s="78"/>
      <c r="L1245" s="78"/>
      <c r="M1245" s="78"/>
      <c r="N1245" s="78"/>
      <c r="O1245" s="78"/>
      <c r="P1245" s="91"/>
      <c r="Q1245" s="91"/>
      <c r="R1245" s="91"/>
      <c r="S1245" s="91"/>
      <c r="T1245" s="91"/>
      <c r="U1245" s="91"/>
      <c r="V1245" s="91"/>
      <c r="W1245" s="91"/>
      <c r="X1245" s="91"/>
      <c r="Y1245" s="91"/>
      <c r="Z1245" s="91"/>
      <c r="AA1245" s="91"/>
      <c r="AB1245" s="91"/>
      <c r="AC1245" s="91"/>
      <c r="AD1245" s="91"/>
      <c r="AE1245" s="115"/>
      <c r="AH1245" s="77"/>
    </row>
    <row r="1246" spans="1:34" ht="12.75" customHeight="1">
      <c r="A1246" s="115"/>
      <c r="B1246" s="11" t="s">
        <v>118</v>
      </c>
      <c r="C1246" s="64" t="s">
        <v>396</v>
      </c>
      <c r="F1246" s="225" t="s">
        <v>397</v>
      </c>
      <c r="G1246" s="239"/>
      <c r="H1246" s="55"/>
      <c r="I1246" s="55"/>
      <c r="J1246" s="240" t="s">
        <v>398</v>
      </c>
      <c r="K1246" s="194"/>
      <c r="L1246" s="239"/>
      <c r="M1246" s="55"/>
      <c r="N1246" s="55"/>
      <c r="O1246" s="240" t="s">
        <v>399</v>
      </c>
      <c r="P1246" s="194"/>
      <c r="Q1246" s="239"/>
      <c r="R1246" s="91"/>
      <c r="S1246" s="91"/>
      <c r="T1246" s="91"/>
      <c r="U1246" s="91"/>
      <c r="V1246" s="240" t="s">
        <v>359</v>
      </c>
      <c r="W1246" s="194"/>
      <c r="X1246" s="239"/>
      <c r="Y1246" s="91"/>
      <c r="Z1246" s="91"/>
      <c r="AA1246" s="91"/>
      <c r="AE1246" s="115"/>
      <c r="AH1246" s="77"/>
    </row>
    <row r="1247" spans="1:34" ht="12.75" customHeight="1">
      <c r="A1247" s="115"/>
      <c r="B1247" s="11" t="s">
        <v>121</v>
      </c>
      <c r="C1247" s="64" t="s">
        <v>128</v>
      </c>
      <c r="F1247" s="91"/>
      <c r="G1247" s="91"/>
      <c r="AE1247" s="115"/>
      <c r="AH1247" s="77"/>
    </row>
    <row r="1248" spans="1:34" ht="12.75" customHeight="1">
      <c r="A1248" s="115"/>
      <c r="B1248" s="11" t="s">
        <v>124</v>
      </c>
      <c r="C1248" s="64" t="s">
        <v>345</v>
      </c>
      <c r="F1248" s="246"/>
      <c r="G1248" s="223"/>
      <c r="H1248" s="223"/>
      <c r="I1248" s="223"/>
      <c r="J1248" s="223"/>
      <c r="K1248" s="223"/>
      <c r="L1248" s="223"/>
      <c r="M1248" s="223"/>
      <c r="N1248" s="223"/>
      <c r="O1248" s="223"/>
      <c r="P1248" s="223"/>
      <c r="Q1248" s="223"/>
      <c r="R1248" s="223"/>
      <c r="S1248" s="223"/>
      <c r="T1248" s="223"/>
      <c r="U1248" s="223"/>
      <c r="V1248" s="223"/>
      <c r="W1248" s="223"/>
      <c r="X1248" s="223"/>
      <c r="Y1248" s="223"/>
      <c r="Z1248" s="223"/>
      <c r="AA1248" s="223"/>
      <c r="AB1248" s="223"/>
      <c r="AC1248" s="223"/>
      <c r="AD1248" s="224"/>
      <c r="AE1248" s="115"/>
      <c r="AH1248" s="77"/>
    </row>
    <row r="1249" spans="1:34" ht="12.75" customHeight="1">
      <c r="A1249" s="115"/>
      <c r="F1249" s="64" t="s">
        <v>414</v>
      </c>
      <c r="L1249" s="246" t="s">
        <v>102</v>
      </c>
      <c r="M1249" s="223"/>
      <c r="N1249" s="223"/>
      <c r="O1249" s="223"/>
      <c r="P1249" s="223"/>
      <c r="Q1249" s="223"/>
      <c r="R1249" s="223"/>
      <c r="S1249" s="224"/>
      <c r="T1249" s="64" t="s">
        <v>415</v>
      </c>
      <c r="X1249" s="246" t="s">
        <v>106</v>
      </c>
      <c r="Y1249" s="223"/>
      <c r="Z1249" s="223"/>
      <c r="AA1249" s="223"/>
      <c r="AB1249" s="223"/>
      <c r="AC1249" s="223"/>
      <c r="AD1249" s="224"/>
      <c r="AE1249" s="115"/>
      <c r="AH1249" s="77"/>
    </row>
    <row r="1250" spans="1:34" ht="12.75" customHeight="1">
      <c r="A1250" s="115"/>
      <c r="F1250" s="64" t="s">
        <v>416</v>
      </c>
      <c r="L1250" s="246" t="s">
        <v>104</v>
      </c>
      <c r="M1250" s="223"/>
      <c r="N1250" s="223"/>
      <c r="O1250" s="223"/>
      <c r="P1250" s="223"/>
      <c r="Q1250" s="223"/>
      <c r="R1250" s="223"/>
      <c r="S1250" s="224"/>
      <c r="T1250" s="64" t="s">
        <v>417</v>
      </c>
      <c r="X1250" s="246" t="s">
        <v>418</v>
      </c>
      <c r="Y1250" s="223"/>
      <c r="Z1250" s="223"/>
      <c r="AA1250" s="223"/>
      <c r="AB1250" s="223"/>
      <c r="AC1250" s="223"/>
      <c r="AD1250" s="224"/>
      <c r="AE1250" s="115"/>
      <c r="AH1250" s="77"/>
    </row>
    <row r="1251" spans="1:34" ht="12.75" customHeight="1">
      <c r="A1251" s="115"/>
      <c r="B1251" s="117"/>
      <c r="C1251" s="62"/>
      <c r="D1251" s="62"/>
      <c r="E1251" s="62"/>
      <c r="F1251" s="62"/>
      <c r="G1251" s="62"/>
      <c r="H1251" s="62"/>
      <c r="I1251" s="62"/>
      <c r="J1251" s="62"/>
      <c r="K1251" s="62"/>
      <c r="L1251" s="62"/>
      <c r="M1251" s="62"/>
      <c r="N1251" s="62"/>
      <c r="O1251" s="62"/>
      <c r="P1251" s="62"/>
      <c r="Q1251" s="62"/>
      <c r="R1251" s="62"/>
      <c r="S1251" s="62"/>
      <c r="T1251" s="62"/>
      <c r="U1251" s="62"/>
      <c r="V1251" s="62"/>
      <c r="W1251" s="62"/>
      <c r="X1251" s="62"/>
      <c r="Y1251" s="62"/>
      <c r="Z1251" s="62"/>
      <c r="AA1251" s="62"/>
      <c r="AB1251" s="62"/>
      <c r="AC1251" s="62"/>
      <c r="AD1251" s="62"/>
      <c r="AE1251" s="118"/>
      <c r="AH1251" s="77"/>
    </row>
    <row r="1252" spans="1:34" ht="12.75" customHeight="1">
      <c r="A1252" s="115"/>
      <c r="B1252" s="38" t="s">
        <v>456</v>
      </c>
      <c r="AE1252" s="115"/>
      <c r="AH1252" s="77"/>
    </row>
    <row r="1253" spans="1:34" ht="12.75" customHeight="1">
      <c r="A1253" s="115"/>
      <c r="B1253" s="11" t="s">
        <v>111</v>
      </c>
      <c r="C1253" s="64" t="s">
        <v>340</v>
      </c>
      <c r="F1253" s="95"/>
      <c r="G1253" s="95"/>
      <c r="H1253" s="95"/>
      <c r="I1253" s="95"/>
      <c r="J1253" s="95"/>
      <c r="K1253" s="95"/>
      <c r="L1253" s="95"/>
      <c r="M1253" s="95"/>
      <c r="N1253" s="95"/>
      <c r="O1253" s="95"/>
      <c r="P1253" s="95"/>
      <c r="Q1253" s="95"/>
      <c r="R1253" s="95"/>
      <c r="S1253" s="95"/>
      <c r="T1253" s="95"/>
      <c r="U1253" s="95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5"/>
      <c r="AH1253" s="77"/>
    </row>
    <row r="1254" spans="1:34" ht="12.75" customHeight="1">
      <c r="A1254" s="115"/>
      <c r="B1254" s="11" t="s">
        <v>115</v>
      </c>
      <c r="C1254" s="64" t="s">
        <v>391</v>
      </c>
      <c r="F1254" s="78"/>
      <c r="G1254" s="78"/>
      <c r="H1254" s="78"/>
      <c r="I1254" s="78"/>
      <c r="J1254" s="78"/>
      <c r="K1254" s="78"/>
      <c r="L1254" s="78"/>
      <c r="M1254" s="78"/>
      <c r="N1254" s="78"/>
      <c r="O1254" s="78"/>
      <c r="P1254" s="78"/>
      <c r="Q1254" s="78"/>
      <c r="R1254" s="78"/>
      <c r="S1254" s="78"/>
      <c r="T1254" s="78"/>
      <c r="U1254" s="78"/>
      <c r="V1254" s="78"/>
      <c r="W1254" s="78"/>
      <c r="X1254" s="78"/>
      <c r="Y1254" s="78"/>
      <c r="Z1254" s="78"/>
      <c r="AA1254" s="78"/>
      <c r="AB1254" s="78"/>
      <c r="AC1254" s="78"/>
      <c r="AD1254" s="78"/>
      <c r="AE1254" s="115"/>
      <c r="AH1254" s="77"/>
    </row>
    <row r="1255" spans="1:34" ht="12.75" customHeight="1">
      <c r="A1255" s="115"/>
      <c r="B1255" s="11" t="s">
        <v>118</v>
      </c>
      <c r="C1255" s="64" t="s">
        <v>396</v>
      </c>
      <c r="F1255" s="225" t="s">
        <v>397</v>
      </c>
      <c r="G1255" s="239"/>
      <c r="H1255" s="78"/>
      <c r="I1255" s="78"/>
      <c r="J1255" s="240" t="s">
        <v>398</v>
      </c>
      <c r="K1255" s="194"/>
      <c r="L1255" s="239"/>
      <c r="M1255" s="78"/>
      <c r="N1255" s="78"/>
      <c r="O1255" s="240" t="s">
        <v>399</v>
      </c>
      <c r="P1255" s="194"/>
      <c r="Q1255" s="239"/>
      <c r="R1255" s="78"/>
      <c r="S1255" s="78"/>
      <c r="T1255" s="78"/>
      <c r="U1255" s="78"/>
      <c r="V1255" s="240" t="s">
        <v>359</v>
      </c>
      <c r="W1255" s="194"/>
      <c r="X1255" s="239"/>
      <c r="Y1255" s="78"/>
      <c r="Z1255" s="78"/>
      <c r="AA1255" s="78"/>
      <c r="AB1255" s="11"/>
      <c r="AC1255" s="11"/>
      <c r="AD1255" s="11"/>
      <c r="AE1255" s="115"/>
      <c r="AH1255" s="77"/>
    </row>
    <row r="1256" spans="1:34" ht="12.75" customHeight="1">
      <c r="A1256" s="115"/>
      <c r="B1256" s="11" t="s">
        <v>121</v>
      </c>
      <c r="C1256" s="64" t="s">
        <v>128</v>
      </c>
      <c r="F1256" s="78"/>
      <c r="G1256" s="78"/>
      <c r="AE1256" s="115"/>
      <c r="AH1256" s="77"/>
    </row>
    <row r="1257" spans="1:34" ht="12.75" customHeight="1">
      <c r="A1257" s="115"/>
      <c r="B1257" s="11" t="s">
        <v>124</v>
      </c>
      <c r="C1257" s="64" t="s">
        <v>345</v>
      </c>
      <c r="F1257" s="246"/>
      <c r="G1257" s="223"/>
      <c r="H1257" s="223"/>
      <c r="I1257" s="223"/>
      <c r="J1257" s="223"/>
      <c r="K1257" s="223"/>
      <c r="L1257" s="223"/>
      <c r="M1257" s="223"/>
      <c r="N1257" s="223"/>
      <c r="O1257" s="223"/>
      <c r="P1257" s="223"/>
      <c r="Q1257" s="223"/>
      <c r="R1257" s="223"/>
      <c r="S1257" s="223"/>
      <c r="T1257" s="223"/>
      <c r="U1257" s="223"/>
      <c r="V1257" s="223"/>
      <c r="W1257" s="223"/>
      <c r="X1257" s="223"/>
      <c r="Y1257" s="223"/>
      <c r="Z1257" s="223"/>
      <c r="AA1257" s="223"/>
      <c r="AB1257" s="223"/>
      <c r="AC1257" s="223"/>
      <c r="AD1257" s="224"/>
      <c r="AE1257" s="115"/>
      <c r="AH1257" s="77"/>
    </row>
    <row r="1258" spans="1:34" ht="12.75" customHeight="1">
      <c r="A1258" s="115"/>
      <c r="F1258" s="64" t="s">
        <v>414</v>
      </c>
      <c r="L1258" s="246" t="s">
        <v>102</v>
      </c>
      <c r="M1258" s="223"/>
      <c r="N1258" s="223"/>
      <c r="O1258" s="223"/>
      <c r="P1258" s="223"/>
      <c r="Q1258" s="223"/>
      <c r="R1258" s="223"/>
      <c r="S1258" s="224"/>
      <c r="T1258" s="64" t="s">
        <v>415</v>
      </c>
      <c r="X1258" s="246" t="s">
        <v>106</v>
      </c>
      <c r="Y1258" s="223"/>
      <c r="Z1258" s="223"/>
      <c r="AA1258" s="223"/>
      <c r="AB1258" s="223"/>
      <c r="AC1258" s="223"/>
      <c r="AD1258" s="224"/>
      <c r="AE1258" s="115"/>
      <c r="AH1258" s="77"/>
    </row>
    <row r="1259" spans="1:34" ht="12.75" customHeight="1">
      <c r="A1259" s="115"/>
      <c r="F1259" s="64" t="s">
        <v>416</v>
      </c>
      <c r="L1259" s="246" t="s">
        <v>104</v>
      </c>
      <c r="M1259" s="223"/>
      <c r="N1259" s="223"/>
      <c r="O1259" s="223"/>
      <c r="P1259" s="223"/>
      <c r="Q1259" s="223"/>
      <c r="R1259" s="223"/>
      <c r="S1259" s="224"/>
      <c r="T1259" s="64" t="s">
        <v>417</v>
      </c>
      <c r="X1259" s="246" t="s">
        <v>418</v>
      </c>
      <c r="Y1259" s="223"/>
      <c r="Z1259" s="223"/>
      <c r="AA1259" s="223"/>
      <c r="AB1259" s="223"/>
      <c r="AC1259" s="223"/>
      <c r="AD1259" s="224"/>
      <c r="AE1259" s="115"/>
      <c r="AH1259" s="77"/>
    </row>
    <row r="1260" spans="1:34" ht="12.75" customHeight="1">
      <c r="A1260" s="115"/>
      <c r="B1260" s="117"/>
      <c r="C1260" s="62"/>
      <c r="D1260" s="62"/>
      <c r="E1260" s="62"/>
      <c r="F1260" s="62"/>
      <c r="G1260" s="62"/>
      <c r="H1260" s="62"/>
      <c r="I1260" s="62"/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118"/>
      <c r="AH1260" s="77"/>
    </row>
    <row r="1261" spans="1:34" ht="12.75" customHeight="1">
      <c r="A1261" s="115"/>
      <c r="B1261" s="38" t="s">
        <v>457</v>
      </c>
      <c r="AE1261" s="115"/>
      <c r="AH1261" s="77"/>
    </row>
    <row r="1262" spans="1:34" ht="12.75" customHeight="1">
      <c r="A1262" s="115"/>
      <c r="B1262" s="11" t="s">
        <v>111</v>
      </c>
      <c r="C1262" s="64" t="s">
        <v>340</v>
      </c>
      <c r="F1262" s="78"/>
      <c r="G1262" s="78"/>
      <c r="H1262" s="78"/>
      <c r="I1262" s="78"/>
      <c r="J1262" s="78"/>
      <c r="K1262" s="78"/>
      <c r="L1262" s="78"/>
      <c r="M1262" s="78"/>
      <c r="N1262" s="78"/>
      <c r="O1262" s="78"/>
      <c r="P1262" s="78"/>
      <c r="Q1262" s="78"/>
      <c r="R1262" s="78"/>
      <c r="S1262" s="78"/>
      <c r="T1262" s="78"/>
      <c r="U1262" s="78"/>
      <c r="V1262" s="91"/>
      <c r="W1262" s="11"/>
      <c r="X1262" s="11"/>
      <c r="Y1262" s="11"/>
      <c r="Z1262" s="11"/>
      <c r="AA1262" s="11"/>
      <c r="AB1262" s="11"/>
      <c r="AC1262" s="11"/>
      <c r="AD1262" s="11"/>
      <c r="AE1262" s="115"/>
      <c r="AH1262" s="77"/>
    </row>
    <row r="1263" spans="1:34" ht="12.75" customHeight="1">
      <c r="A1263" s="115"/>
      <c r="B1263" s="11" t="s">
        <v>115</v>
      </c>
      <c r="C1263" s="64" t="s">
        <v>391</v>
      </c>
      <c r="F1263" s="78"/>
      <c r="G1263" s="78"/>
      <c r="H1263" s="78"/>
      <c r="I1263" s="78"/>
      <c r="J1263" s="78"/>
      <c r="K1263" s="78"/>
      <c r="L1263" s="78"/>
      <c r="M1263" s="78"/>
      <c r="N1263" s="78"/>
      <c r="O1263" s="78"/>
      <c r="P1263" s="78"/>
      <c r="Q1263" s="78"/>
      <c r="R1263" s="78"/>
      <c r="S1263" s="78"/>
      <c r="T1263" s="78"/>
      <c r="U1263" s="78"/>
      <c r="V1263" s="78"/>
      <c r="W1263" s="78"/>
      <c r="X1263" s="78"/>
      <c r="Y1263" s="78"/>
      <c r="Z1263" s="78"/>
      <c r="AA1263" s="78"/>
      <c r="AB1263" s="78"/>
      <c r="AC1263" s="78"/>
      <c r="AD1263" s="78"/>
      <c r="AE1263" s="115"/>
      <c r="AH1263" s="77"/>
    </row>
    <row r="1264" spans="1:34" ht="12.75" customHeight="1">
      <c r="A1264" s="115"/>
      <c r="B1264" s="11" t="s">
        <v>118</v>
      </c>
      <c r="C1264" s="64" t="s">
        <v>396</v>
      </c>
      <c r="F1264" s="225" t="s">
        <v>397</v>
      </c>
      <c r="G1264" s="239"/>
      <c r="H1264" s="78"/>
      <c r="I1264" s="78"/>
      <c r="J1264" s="240" t="s">
        <v>398</v>
      </c>
      <c r="K1264" s="194"/>
      <c r="L1264" s="239"/>
      <c r="M1264" s="78"/>
      <c r="N1264" s="78"/>
      <c r="O1264" s="240" t="s">
        <v>399</v>
      </c>
      <c r="P1264" s="194"/>
      <c r="Q1264" s="239"/>
      <c r="R1264" s="78"/>
      <c r="S1264" s="78"/>
      <c r="T1264" s="78"/>
      <c r="U1264" s="78"/>
      <c r="V1264" s="240" t="s">
        <v>359</v>
      </c>
      <c r="W1264" s="194"/>
      <c r="X1264" s="239"/>
      <c r="Y1264" s="78"/>
      <c r="Z1264" s="78"/>
      <c r="AA1264" s="78"/>
      <c r="AB1264" s="11"/>
      <c r="AC1264" s="11"/>
      <c r="AD1264" s="11"/>
      <c r="AE1264" s="115"/>
      <c r="AH1264" s="77"/>
    </row>
    <row r="1265" spans="1:34" ht="12.75" customHeight="1">
      <c r="A1265" s="115"/>
      <c r="B1265" s="11" t="s">
        <v>121</v>
      </c>
      <c r="C1265" s="64" t="s">
        <v>128</v>
      </c>
      <c r="F1265" s="78"/>
      <c r="G1265" s="78"/>
      <c r="AE1265" s="115"/>
      <c r="AH1265" s="77"/>
    </row>
    <row r="1266" spans="1:34" ht="12.75" customHeight="1">
      <c r="A1266" s="115"/>
      <c r="B1266" s="11" t="s">
        <v>124</v>
      </c>
      <c r="C1266" s="64" t="s">
        <v>345</v>
      </c>
      <c r="F1266" s="246"/>
      <c r="G1266" s="223"/>
      <c r="H1266" s="223"/>
      <c r="I1266" s="223"/>
      <c r="J1266" s="223"/>
      <c r="K1266" s="223"/>
      <c r="L1266" s="223"/>
      <c r="M1266" s="223"/>
      <c r="N1266" s="223"/>
      <c r="O1266" s="223"/>
      <c r="P1266" s="223"/>
      <c r="Q1266" s="223"/>
      <c r="R1266" s="223"/>
      <c r="S1266" s="223"/>
      <c r="T1266" s="223"/>
      <c r="U1266" s="223"/>
      <c r="V1266" s="223"/>
      <c r="W1266" s="223"/>
      <c r="X1266" s="223"/>
      <c r="Y1266" s="223"/>
      <c r="Z1266" s="223"/>
      <c r="AA1266" s="223"/>
      <c r="AB1266" s="223"/>
      <c r="AC1266" s="223"/>
      <c r="AD1266" s="224"/>
      <c r="AE1266" s="115"/>
      <c r="AH1266" s="77"/>
    </row>
    <row r="1267" spans="1:34" ht="12.75" customHeight="1">
      <c r="A1267" s="115"/>
      <c r="F1267" s="64" t="s">
        <v>414</v>
      </c>
      <c r="L1267" s="246" t="s">
        <v>102</v>
      </c>
      <c r="M1267" s="223"/>
      <c r="N1267" s="223"/>
      <c r="O1267" s="223"/>
      <c r="P1267" s="223"/>
      <c r="Q1267" s="223"/>
      <c r="R1267" s="223"/>
      <c r="S1267" s="224"/>
      <c r="T1267" s="64" t="s">
        <v>415</v>
      </c>
      <c r="X1267" s="246" t="s">
        <v>106</v>
      </c>
      <c r="Y1267" s="223"/>
      <c r="Z1267" s="223"/>
      <c r="AA1267" s="223"/>
      <c r="AB1267" s="223"/>
      <c r="AC1267" s="223"/>
      <c r="AD1267" s="224"/>
      <c r="AE1267" s="115"/>
      <c r="AH1267" s="77"/>
    </row>
    <row r="1268" spans="1:34" ht="12.75" customHeight="1">
      <c r="A1268" s="115"/>
      <c r="F1268" s="64" t="s">
        <v>416</v>
      </c>
      <c r="L1268" s="246" t="s">
        <v>104</v>
      </c>
      <c r="M1268" s="223"/>
      <c r="N1268" s="223"/>
      <c r="O1268" s="223"/>
      <c r="P1268" s="223"/>
      <c r="Q1268" s="223"/>
      <c r="R1268" s="223"/>
      <c r="S1268" s="224"/>
      <c r="T1268" s="64" t="s">
        <v>417</v>
      </c>
      <c r="X1268" s="246" t="s">
        <v>418</v>
      </c>
      <c r="Y1268" s="223"/>
      <c r="Z1268" s="223"/>
      <c r="AA1268" s="223"/>
      <c r="AB1268" s="223"/>
      <c r="AC1268" s="223"/>
      <c r="AD1268" s="224"/>
      <c r="AE1268" s="115"/>
      <c r="AH1268" s="77"/>
    </row>
    <row r="1269" spans="1:34" ht="12.75" customHeight="1">
      <c r="A1269" s="115"/>
      <c r="B1269" s="117"/>
      <c r="C1269" s="62"/>
      <c r="D1269" s="62"/>
      <c r="E1269" s="62"/>
      <c r="F1269" s="62"/>
      <c r="G1269" s="62"/>
      <c r="H1269" s="62"/>
      <c r="I1269" s="62"/>
      <c r="J1269" s="62"/>
      <c r="K1269" s="62"/>
      <c r="L1269" s="62"/>
      <c r="M1269" s="62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118"/>
      <c r="AH1269" s="77"/>
    </row>
    <row r="1270" spans="1:34" ht="12.75" customHeight="1">
      <c r="A1270" s="115"/>
      <c r="B1270" s="64" t="s">
        <v>472</v>
      </c>
      <c r="AE1270" s="115"/>
      <c r="AH1270" s="77"/>
    </row>
    <row r="1271" spans="1:34" ht="12.75" customHeight="1">
      <c r="A1271" s="115"/>
      <c r="B1271" s="11" t="s">
        <v>111</v>
      </c>
      <c r="C1271" s="64" t="s">
        <v>340</v>
      </c>
      <c r="F1271" s="95"/>
      <c r="G1271" s="95"/>
      <c r="H1271" s="95"/>
      <c r="I1271" s="95"/>
      <c r="J1271" s="95"/>
      <c r="K1271" s="95"/>
      <c r="L1271" s="95"/>
      <c r="M1271" s="95"/>
      <c r="N1271" s="95"/>
      <c r="O1271" s="95"/>
      <c r="P1271" s="95"/>
      <c r="Q1271" s="95"/>
      <c r="R1271" s="95"/>
      <c r="S1271" s="95"/>
      <c r="T1271" s="95"/>
      <c r="U1271" s="95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5"/>
      <c r="AH1271" s="77"/>
    </row>
    <row r="1272" spans="1:34" ht="12.75" customHeight="1">
      <c r="A1272" s="115"/>
      <c r="B1272" s="11" t="s">
        <v>115</v>
      </c>
      <c r="C1272" s="64" t="s">
        <v>391</v>
      </c>
      <c r="F1272" s="78"/>
      <c r="G1272" s="78"/>
      <c r="H1272" s="78"/>
      <c r="I1272" s="78"/>
      <c r="J1272" s="78"/>
      <c r="K1272" s="78"/>
      <c r="L1272" s="78"/>
      <c r="M1272" s="78"/>
      <c r="N1272" s="78"/>
      <c r="O1272" s="78"/>
      <c r="P1272" s="78"/>
      <c r="Q1272" s="91"/>
      <c r="R1272" s="91"/>
      <c r="S1272" s="91"/>
      <c r="T1272" s="91"/>
      <c r="U1272" s="91"/>
      <c r="V1272" s="78"/>
      <c r="W1272" s="78"/>
      <c r="X1272" s="78"/>
      <c r="Y1272" s="78"/>
      <c r="Z1272" s="78"/>
      <c r="AA1272" s="78"/>
      <c r="AB1272" s="78"/>
      <c r="AC1272" s="78"/>
      <c r="AD1272" s="78"/>
      <c r="AE1272" s="115"/>
      <c r="AH1272" s="77"/>
    </row>
    <row r="1273" spans="1:34" ht="12.75" customHeight="1">
      <c r="A1273" s="115"/>
      <c r="B1273" s="11" t="s">
        <v>118</v>
      </c>
      <c r="C1273" s="64" t="s">
        <v>396</v>
      </c>
      <c r="F1273" s="225" t="s">
        <v>397</v>
      </c>
      <c r="G1273" s="239"/>
      <c r="H1273" s="78"/>
      <c r="I1273" s="78"/>
      <c r="J1273" s="240" t="s">
        <v>398</v>
      </c>
      <c r="K1273" s="194"/>
      <c r="L1273" s="239"/>
      <c r="M1273" s="78"/>
      <c r="N1273" s="78"/>
      <c r="O1273" s="240" t="s">
        <v>399</v>
      </c>
      <c r="P1273" s="194"/>
      <c r="Q1273" s="239"/>
      <c r="R1273" s="78"/>
      <c r="S1273" s="78"/>
      <c r="T1273" s="78"/>
      <c r="U1273" s="78"/>
      <c r="V1273" s="240" t="s">
        <v>359</v>
      </c>
      <c r="W1273" s="194"/>
      <c r="X1273" s="239"/>
      <c r="Y1273" s="78"/>
      <c r="Z1273" s="78"/>
      <c r="AA1273" s="78"/>
      <c r="AB1273" s="11"/>
      <c r="AC1273" s="11"/>
      <c r="AD1273" s="11"/>
      <c r="AE1273" s="115"/>
      <c r="AH1273" s="77"/>
    </row>
    <row r="1274" spans="1:34" ht="12.75" customHeight="1">
      <c r="A1274" s="115"/>
      <c r="B1274" s="11" t="s">
        <v>121</v>
      </c>
      <c r="C1274" s="64" t="s">
        <v>128</v>
      </c>
      <c r="F1274" s="78"/>
      <c r="G1274" s="78"/>
      <c r="AE1274" s="115"/>
      <c r="AH1274" s="77"/>
    </row>
    <row r="1275" spans="1:34" ht="12.75" customHeight="1">
      <c r="A1275" s="115"/>
      <c r="B1275" s="11" t="s">
        <v>124</v>
      </c>
      <c r="C1275" s="64" t="s">
        <v>345</v>
      </c>
      <c r="F1275" s="246"/>
      <c r="G1275" s="223"/>
      <c r="H1275" s="223"/>
      <c r="I1275" s="223"/>
      <c r="J1275" s="223"/>
      <c r="K1275" s="223"/>
      <c r="L1275" s="223"/>
      <c r="M1275" s="223"/>
      <c r="N1275" s="223"/>
      <c r="O1275" s="223"/>
      <c r="P1275" s="223"/>
      <c r="Q1275" s="223"/>
      <c r="R1275" s="223"/>
      <c r="S1275" s="223"/>
      <c r="T1275" s="223"/>
      <c r="U1275" s="223"/>
      <c r="V1275" s="223"/>
      <c r="W1275" s="223"/>
      <c r="X1275" s="223"/>
      <c r="Y1275" s="223"/>
      <c r="Z1275" s="223"/>
      <c r="AA1275" s="223"/>
      <c r="AB1275" s="223"/>
      <c r="AC1275" s="223"/>
      <c r="AD1275" s="224"/>
      <c r="AE1275" s="115"/>
      <c r="AH1275" s="77"/>
    </row>
    <row r="1276" spans="1:34" ht="12.75" customHeight="1">
      <c r="A1276" s="115"/>
      <c r="F1276" s="64" t="s">
        <v>414</v>
      </c>
      <c r="L1276" s="246" t="s">
        <v>102</v>
      </c>
      <c r="M1276" s="223"/>
      <c r="N1276" s="223"/>
      <c r="O1276" s="223"/>
      <c r="P1276" s="223"/>
      <c r="Q1276" s="223"/>
      <c r="R1276" s="223"/>
      <c r="S1276" s="224"/>
      <c r="T1276" s="64" t="s">
        <v>415</v>
      </c>
      <c r="X1276" s="246" t="s">
        <v>106</v>
      </c>
      <c r="Y1276" s="223"/>
      <c r="Z1276" s="223"/>
      <c r="AA1276" s="223"/>
      <c r="AB1276" s="223"/>
      <c r="AC1276" s="223"/>
      <c r="AD1276" s="224"/>
      <c r="AE1276" s="115"/>
      <c r="AH1276" s="77"/>
    </row>
    <row r="1277" spans="1:34" ht="12.75" customHeight="1">
      <c r="A1277" s="115"/>
      <c r="F1277" s="64" t="s">
        <v>416</v>
      </c>
      <c r="L1277" s="246" t="s">
        <v>104</v>
      </c>
      <c r="M1277" s="223"/>
      <c r="N1277" s="223"/>
      <c r="O1277" s="223"/>
      <c r="P1277" s="223"/>
      <c r="Q1277" s="223"/>
      <c r="R1277" s="223"/>
      <c r="S1277" s="224"/>
      <c r="T1277" s="64" t="s">
        <v>417</v>
      </c>
      <c r="X1277" s="246" t="s">
        <v>418</v>
      </c>
      <c r="Y1277" s="223"/>
      <c r="Z1277" s="223"/>
      <c r="AA1277" s="223"/>
      <c r="AB1277" s="223"/>
      <c r="AC1277" s="223"/>
      <c r="AD1277" s="224"/>
      <c r="AE1277" s="115"/>
      <c r="AH1277" s="77"/>
    </row>
    <row r="1278" spans="1:34" ht="12.75" customHeight="1">
      <c r="A1278" s="115"/>
      <c r="B1278" s="119"/>
      <c r="C1278" s="114"/>
      <c r="D1278" s="114"/>
      <c r="E1278" s="114"/>
      <c r="F1278" s="114"/>
      <c r="G1278" s="114"/>
      <c r="H1278" s="114"/>
      <c r="I1278" s="114"/>
      <c r="J1278" s="114"/>
      <c r="K1278" s="114"/>
      <c r="L1278" s="114"/>
      <c r="M1278" s="114"/>
      <c r="N1278" s="114"/>
      <c r="O1278" s="114"/>
      <c r="P1278" s="114"/>
      <c r="Q1278" s="114"/>
      <c r="R1278" s="114"/>
      <c r="S1278" s="114"/>
      <c r="T1278" s="114"/>
      <c r="U1278" s="114"/>
      <c r="V1278" s="114"/>
      <c r="W1278" s="114"/>
      <c r="X1278" s="114"/>
      <c r="Y1278" s="114"/>
      <c r="Z1278" s="114"/>
      <c r="AA1278" s="114"/>
      <c r="AB1278" s="114"/>
      <c r="AC1278" s="114"/>
      <c r="AD1278" s="114"/>
      <c r="AE1278" s="120"/>
      <c r="AH1278" s="77"/>
    </row>
    <row r="1279" spans="1:34" ht="12.75" customHeight="1">
      <c r="AH1279" s="77"/>
    </row>
    <row r="1280" spans="1:34" ht="12.75" customHeight="1">
      <c r="U1280" s="3" t="s">
        <v>526</v>
      </c>
      <c r="AH1280" s="77"/>
    </row>
    <row r="1281" spans="3:34" ht="12.75" customHeight="1">
      <c r="C1281" s="225" t="s">
        <v>480</v>
      </c>
      <c r="D1281" s="194"/>
      <c r="E1281" s="194"/>
      <c r="F1281" s="194"/>
      <c r="G1281" s="194"/>
      <c r="AH1281" s="77"/>
    </row>
    <row r="1282" spans="3:34" ht="12.75" customHeight="1">
      <c r="C1282" s="225" t="s">
        <v>494</v>
      </c>
      <c r="D1282" s="194"/>
      <c r="E1282" s="194"/>
      <c r="F1282" s="194"/>
      <c r="G1282" s="194"/>
      <c r="W1282" s="64" t="s">
        <v>481</v>
      </c>
      <c r="AH1282" s="77"/>
    </row>
    <row r="1283" spans="3:34" ht="12.75" customHeight="1">
      <c r="C1283" s="225" t="s">
        <v>365</v>
      </c>
      <c r="D1283" s="194"/>
      <c r="E1283" s="194"/>
      <c r="F1283" s="194"/>
      <c r="G1283" s="194"/>
      <c r="AH1283" s="77"/>
    </row>
    <row r="1284" spans="3:34" ht="12.75" customHeight="1">
      <c r="C1284" s="225" t="s">
        <v>527</v>
      </c>
      <c r="D1284" s="194"/>
      <c r="E1284" s="194"/>
      <c r="F1284" s="194"/>
      <c r="G1284" s="194"/>
      <c r="AH1284" s="77"/>
    </row>
    <row r="1285" spans="3:34" ht="12.75" customHeight="1">
      <c r="C1285" s="11"/>
      <c r="D1285" s="11"/>
      <c r="E1285" s="11"/>
      <c r="F1285" s="11"/>
      <c r="G1285" s="11"/>
      <c r="AH1285" s="77"/>
    </row>
    <row r="1286" spans="3:34" ht="12.75" customHeight="1">
      <c r="AH1286" s="77"/>
    </row>
    <row r="1287" spans="3:34" ht="12.75" customHeight="1">
      <c r="AH1287" s="77"/>
    </row>
    <row r="1288" spans="3:34" ht="12.75" customHeight="1">
      <c r="C1288" s="225" t="s">
        <v>501</v>
      </c>
      <c r="D1288" s="194"/>
      <c r="E1288" s="194"/>
      <c r="F1288" s="194"/>
      <c r="G1288" s="194"/>
      <c r="V1288" s="64" t="s">
        <v>528</v>
      </c>
      <c r="W1288" s="3"/>
      <c r="AH1288" s="77"/>
    </row>
  </sheetData>
  <mergeCells count="878">
    <mergeCell ref="Y1203:AC1203"/>
    <mergeCell ref="B1209:AD1209"/>
    <mergeCell ref="B1210:AD1210"/>
    <mergeCell ref="X1258:AD1258"/>
    <mergeCell ref="X1259:AD1259"/>
    <mergeCell ref="F1255:G1255"/>
    <mergeCell ref="J1255:L1255"/>
    <mergeCell ref="O1255:Q1255"/>
    <mergeCell ref="V1255:X1255"/>
    <mergeCell ref="F1257:AD1257"/>
    <mergeCell ref="L1258:S1258"/>
    <mergeCell ref="L1259:S1259"/>
    <mergeCell ref="X1249:AD1249"/>
    <mergeCell ref="X1250:AD1250"/>
    <mergeCell ref="F1246:G1246"/>
    <mergeCell ref="J1246:L1246"/>
    <mergeCell ref="O1246:Q1246"/>
    <mergeCell ref="V1246:X1246"/>
    <mergeCell ref="F1248:AD1248"/>
    <mergeCell ref="L1249:S1249"/>
    <mergeCell ref="L1250:S1250"/>
    <mergeCell ref="L1225:S1225"/>
    <mergeCell ref="X1225:AD1225"/>
    <mergeCell ref="F1227:G1227"/>
    <mergeCell ref="L1149:S1149"/>
    <mergeCell ref="X1149:AD1149"/>
    <mergeCell ref="L1150:S1150"/>
    <mergeCell ref="X1150:AD1150"/>
    <mergeCell ref="F1155:G1155"/>
    <mergeCell ref="C1164:G1164"/>
    <mergeCell ref="C1165:G1165"/>
    <mergeCell ref="C1166:G1166"/>
    <mergeCell ref="C1170:G1170"/>
    <mergeCell ref="L1159:S1159"/>
    <mergeCell ref="X1159:AD1159"/>
    <mergeCell ref="C1163:G1163"/>
    <mergeCell ref="F1157:AD1157"/>
    <mergeCell ref="L1158:S1158"/>
    <mergeCell ref="X1158:AD1158"/>
    <mergeCell ref="O1128:Q1128"/>
    <mergeCell ref="F1137:G1137"/>
    <mergeCell ref="J1137:L1137"/>
    <mergeCell ref="O1137:Q1137"/>
    <mergeCell ref="V1137:X1137"/>
    <mergeCell ref="F1139:AD1139"/>
    <mergeCell ref="L1140:S1140"/>
    <mergeCell ref="X1140:AD1140"/>
    <mergeCell ref="L1141:S1141"/>
    <mergeCell ref="X1141:AD1141"/>
    <mergeCell ref="F1128:G1128"/>
    <mergeCell ref="J1128:L1128"/>
    <mergeCell ref="F1146:G1146"/>
    <mergeCell ref="J1146:L1146"/>
    <mergeCell ref="O1146:Q1146"/>
    <mergeCell ref="V1146:X1146"/>
    <mergeCell ref="F1148:AD1148"/>
    <mergeCell ref="L1131:S1131"/>
    <mergeCell ref="X1131:AD1131"/>
    <mergeCell ref="L1132:S1132"/>
    <mergeCell ref="X1132:AD1132"/>
    <mergeCell ref="C1034:G1034"/>
    <mergeCell ref="C1038:G1038"/>
    <mergeCell ref="B1091:AD1091"/>
    <mergeCell ref="L1106:S1106"/>
    <mergeCell ref="X1106:AD1106"/>
    <mergeCell ref="X1107:AD1107"/>
    <mergeCell ref="J1155:L1155"/>
    <mergeCell ref="O1155:Q1155"/>
    <mergeCell ref="V1155:X1155"/>
    <mergeCell ref="V1119:X1119"/>
    <mergeCell ref="F1121:AD1121"/>
    <mergeCell ref="L1122:S1122"/>
    <mergeCell ref="X1122:AD1122"/>
    <mergeCell ref="L1123:S1123"/>
    <mergeCell ref="X1123:AD1123"/>
    <mergeCell ref="L1107:S1107"/>
    <mergeCell ref="F1109:G1109"/>
    <mergeCell ref="J1109:L1109"/>
    <mergeCell ref="O1109:Q1109"/>
    <mergeCell ref="F1119:G1119"/>
    <mergeCell ref="J1119:L1119"/>
    <mergeCell ref="O1119:Q1119"/>
    <mergeCell ref="V1128:X1128"/>
    <mergeCell ref="F1130:AD1130"/>
    <mergeCell ref="V1101:X1101"/>
    <mergeCell ref="R1102:U1102"/>
    <mergeCell ref="X1102:AA1102"/>
    <mergeCell ref="F1105:AD1105"/>
    <mergeCell ref="B1092:AD1092"/>
    <mergeCell ref="F1101:G1101"/>
    <mergeCell ref="J1101:L1101"/>
    <mergeCell ref="O1101:Q1101"/>
    <mergeCell ref="Y1085:AC1085"/>
    <mergeCell ref="C946:G946"/>
    <mergeCell ref="C950:G950"/>
    <mergeCell ref="Y953:AC953"/>
    <mergeCell ref="B960:AD960"/>
    <mergeCell ref="B961:AD961"/>
    <mergeCell ref="F970:G970"/>
    <mergeCell ref="J970:L970"/>
    <mergeCell ref="X975:AD975"/>
    <mergeCell ref="X976:AD976"/>
    <mergeCell ref="O970:Q970"/>
    <mergeCell ref="V970:X970"/>
    <mergeCell ref="R971:U971"/>
    <mergeCell ref="X971:AA971"/>
    <mergeCell ref="F974:AD974"/>
    <mergeCell ref="L975:S975"/>
    <mergeCell ref="L976:S976"/>
    <mergeCell ref="F978:G978"/>
    <mergeCell ref="J978:L978"/>
    <mergeCell ref="O978:Q978"/>
    <mergeCell ref="L1027:S1027"/>
    <mergeCell ref="X1027:AD1027"/>
    <mergeCell ref="L1028:S1028"/>
    <mergeCell ref="X1028:AD1028"/>
    <mergeCell ref="C1032:G1032"/>
    <mergeCell ref="C1033:G1033"/>
    <mergeCell ref="X991:AD991"/>
    <mergeCell ref="L992:S992"/>
    <mergeCell ref="X992:AD992"/>
    <mergeCell ref="F997:G997"/>
    <mergeCell ref="J997:L997"/>
    <mergeCell ref="C1281:G1281"/>
    <mergeCell ref="C1282:G1282"/>
    <mergeCell ref="C1283:G1283"/>
    <mergeCell ref="C1284:G1284"/>
    <mergeCell ref="C1288:G1288"/>
    <mergeCell ref="O1015:Q1015"/>
    <mergeCell ref="V1015:X1015"/>
    <mergeCell ref="F1008:AD1008"/>
    <mergeCell ref="L1009:S1009"/>
    <mergeCell ref="X1009:AD1009"/>
    <mergeCell ref="L1010:S1010"/>
    <mergeCell ref="X1010:AD1010"/>
    <mergeCell ref="F1015:G1015"/>
    <mergeCell ref="J1015:L1015"/>
    <mergeCell ref="O1024:Q1024"/>
    <mergeCell ref="V1024:X1024"/>
    <mergeCell ref="F1017:AD1017"/>
    <mergeCell ref="L1018:S1018"/>
    <mergeCell ref="X1018:AD1018"/>
    <mergeCell ref="L1019:S1019"/>
    <mergeCell ref="X1019:AD1019"/>
    <mergeCell ref="F1024:G1024"/>
    <mergeCell ref="J1024:L1024"/>
    <mergeCell ref="F1026:AD1026"/>
    <mergeCell ref="J1227:L1227"/>
    <mergeCell ref="O1227:Q1227"/>
    <mergeCell ref="X1240:AD1240"/>
    <mergeCell ref="X1241:AD1241"/>
    <mergeCell ref="F1237:G1237"/>
    <mergeCell ref="J1237:L1237"/>
    <mergeCell ref="O1237:Q1237"/>
    <mergeCell ref="V1237:X1237"/>
    <mergeCell ref="F1239:AD1239"/>
    <mergeCell ref="L1240:S1240"/>
    <mergeCell ref="L1241:S1241"/>
    <mergeCell ref="F1219:G1219"/>
    <mergeCell ref="J1219:L1219"/>
    <mergeCell ref="O1219:Q1219"/>
    <mergeCell ref="V1219:X1219"/>
    <mergeCell ref="R1220:U1220"/>
    <mergeCell ref="X1220:AA1220"/>
    <mergeCell ref="F1223:AD1223"/>
    <mergeCell ref="L1224:S1224"/>
    <mergeCell ref="X1224:AD1224"/>
    <mergeCell ref="X1276:AD1276"/>
    <mergeCell ref="X1277:AD1277"/>
    <mergeCell ref="F1273:G1273"/>
    <mergeCell ref="J1273:L1273"/>
    <mergeCell ref="O1273:Q1273"/>
    <mergeCell ref="V1273:X1273"/>
    <mergeCell ref="F1275:AD1275"/>
    <mergeCell ref="L1276:S1276"/>
    <mergeCell ref="L1277:S1277"/>
    <mergeCell ref="X1267:AD1267"/>
    <mergeCell ref="X1268:AD1268"/>
    <mergeCell ref="F1264:G1264"/>
    <mergeCell ref="J1264:L1264"/>
    <mergeCell ref="O1264:Q1264"/>
    <mergeCell ref="V1264:X1264"/>
    <mergeCell ref="F1266:AD1266"/>
    <mergeCell ref="L1267:S1267"/>
    <mergeCell ref="L1268:S1268"/>
    <mergeCell ref="F938:AD938"/>
    <mergeCell ref="L939:S939"/>
    <mergeCell ref="X939:AD939"/>
    <mergeCell ref="L940:S940"/>
    <mergeCell ref="X940:AD940"/>
    <mergeCell ref="C944:G944"/>
    <mergeCell ref="C945:G945"/>
    <mergeCell ref="O1006:Q1006"/>
    <mergeCell ref="V1006:X1006"/>
    <mergeCell ref="F999:AD999"/>
    <mergeCell ref="L1000:S1000"/>
    <mergeCell ref="X1000:AD1000"/>
    <mergeCell ref="L1001:S1001"/>
    <mergeCell ref="X1001:AD1001"/>
    <mergeCell ref="F1006:G1006"/>
    <mergeCell ref="J1006:L1006"/>
    <mergeCell ref="F988:G988"/>
    <mergeCell ref="J988:L988"/>
    <mergeCell ref="O988:Q988"/>
    <mergeCell ref="V988:X988"/>
    <mergeCell ref="O997:Q997"/>
    <mergeCell ref="V997:X997"/>
    <mergeCell ref="F990:AD990"/>
    <mergeCell ref="L991:S991"/>
    <mergeCell ref="F900:G900"/>
    <mergeCell ref="J900:L900"/>
    <mergeCell ref="O900:Q900"/>
    <mergeCell ref="V900:X900"/>
    <mergeCell ref="O909:Q909"/>
    <mergeCell ref="V909:X909"/>
    <mergeCell ref="F902:AD902"/>
    <mergeCell ref="L903:S903"/>
    <mergeCell ref="X903:AD903"/>
    <mergeCell ref="L904:S904"/>
    <mergeCell ref="X904:AD904"/>
    <mergeCell ref="F909:G909"/>
    <mergeCell ref="J909:L909"/>
    <mergeCell ref="X888:AD888"/>
    <mergeCell ref="O882:Q882"/>
    <mergeCell ref="V882:X882"/>
    <mergeCell ref="R883:U883"/>
    <mergeCell ref="X883:AA883"/>
    <mergeCell ref="F886:AD886"/>
    <mergeCell ref="L887:S887"/>
    <mergeCell ref="L888:S888"/>
    <mergeCell ref="F890:G890"/>
    <mergeCell ref="J890:L890"/>
    <mergeCell ref="O890:Q890"/>
    <mergeCell ref="O936:Q936"/>
    <mergeCell ref="V936:X936"/>
    <mergeCell ref="F929:AD929"/>
    <mergeCell ref="L930:S930"/>
    <mergeCell ref="X930:AD930"/>
    <mergeCell ref="L931:S931"/>
    <mergeCell ref="X931:AD931"/>
    <mergeCell ref="F936:G936"/>
    <mergeCell ref="J936:L936"/>
    <mergeCell ref="O927:Q927"/>
    <mergeCell ref="V927:X927"/>
    <mergeCell ref="F920:AD920"/>
    <mergeCell ref="L921:S921"/>
    <mergeCell ref="X921:AD921"/>
    <mergeCell ref="L922:S922"/>
    <mergeCell ref="X922:AD922"/>
    <mergeCell ref="F927:G927"/>
    <mergeCell ref="J927:L927"/>
    <mergeCell ref="F850:AD850"/>
    <mergeCell ref="L851:S851"/>
    <mergeCell ref="X851:AD851"/>
    <mergeCell ref="L852:S852"/>
    <mergeCell ref="X852:AD852"/>
    <mergeCell ref="C856:G856"/>
    <mergeCell ref="C857:G857"/>
    <mergeCell ref="O918:Q918"/>
    <mergeCell ref="V918:X918"/>
    <mergeCell ref="F911:AD911"/>
    <mergeCell ref="L912:S912"/>
    <mergeCell ref="X912:AD912"/>
    <mergeCell ref="L913:S913"/>
    <mergeCell ref="X913:AD913"/>
    <mergeCell ref="F918:G918"/>
    <mergeCell ref="J918:L918"/>
    <mergeCell ref="C858:G858"/>
    <mergeCell ref="C862:G862"/>
    <mergeCell ref="Y865:AC865"/>
    <mergeCell ref="B872:AD872"/>
    <mergeCell ref="B873:AD873"/>
    <mergeCell ref="F882:G882"/>
    <mergeCell ref="J882:L882"/>
    <mergeCell ref="X887:AD887"/>
    <mergeCell ref="O839:Q839"/>
    <mergeCell ref="V839:X839"/>
    <mergeCell ref="F832:AD832"/>
    <mergeCell ref="L833:S833"/>
    <mergeCell ref="X833:AD833"/>
    <mergeCell ref="L834:S834"/>
    <mergeCell ref="X834:AD834"/>
    <mergeCell ref="F839:G839"/>
    <mergeCell ref="J839:L839"/>
    <mergeCell ref="O830:Q830"/>
    <mergeCell ref="V830:X830"/>
    <mergeCell ref="F823:AD823"/>
    <mergeCell ref="L824:S824"/>
    <mergeCell ref="X824:AD824"/>
    <mergeCell ref="L825:S825"/>
    <mergeCell ref="X825:AD825"/>
    <mergeCell ref="F830:G830"/>
    <mergeCell ref="J830:L830"/>
    <mergeCell ref="O821:Q821"/>
    <mergeCell ref="V821:X821"/>
    <mergeCell ref="F814:AD814"/>
    <mergeCell ref="L815:S815"/>
    <mergeCell ref="X815:AD815"/>
    <mergeCell ref="L816:S816"/>
    <mergeCell ref="X816:AD816"/>
    <mergeCell ref="F821:G821"/>
    <mergeCell ref="J821:L821"/>
    <mergeCell ref="O848:Q848"/>
    <mergeCell ref="V848:X848"/>
    <mergeCell ref="F841:AD841"/>
    <mergeCell ref="L842:S842"/>
    <mergeCell ref="X842:AD842"/>
    <mergeCell ref="L843:S843"/>
    <mergeCell ref="X843:AD843"/>
    <mergeCell ref="F848:G848"/>
    <mergeCell ref="J848:L848"/>
    <mergeCell ref="Y777:AC777"/>
    <mergeCell ref="B784:AD784"/>
    <mergeCell ref="B785:AD785"/>
    <mergeCell ref="F794:G794"/>
    <mergeCell ref="J794:L794"/>
    <mergeCell ref="F802:G802"/>
    <mergeCell ref="J802:L802"/>
    <mergeCell ref="O802:Q802"/>
    <mergeCell ref="F812:G812"/>
    <mergeCell ref="J812:L812"/>
    <mergeCell ref="O812:Q812"/>
    <mergeCell ref="V812:X812"/>
    <mergeCell ref="X799:AD799"/>
    <mergeCell ref="X800:AD800"/>
    <mergeCell ref="O794:Q794"/>
    <mergeCell ref="V794:X794"/>
    <mergeCell ref="R795:U795"/>
    <mergeCell ref="X795:AA795"/>
    <mergeCell ref="F798:AD798"/>
    <mergeCell ref="L799:S799"/>
    <mergeCell ref="L800:S800"/>
    <mergeCell ref="F762:AD762"/>
    <mergeCell ref="L763:S763"/>
    <mergeCell ref="X763:AD763"/>
    <mergeCell ref="L764:S764"/>
    <mergeCell ref="X764:AD764"/>
    <mergeCell ref="C768:G768"/>
    <mergeCell ref="C769:G769"/>
    <mergeCell ref="C770:G770"/>
    <mergeCell ref="C774:G774"/>
    <mergeCell ref="O760:Q760"/>
    <mergeCell ref="V760:X760"/>
    <mergeCell ref="F753:AD753"/>
    <mergeCell ref="L754:S754"/>
    <mergeCell ref="X754:AD754"/>
    <mergeCell ref="L755:S755"/>
    <mergeCell ref="X755:AD755"/>
    <mergeCell ref="F760:G760"/>
    <mergeCell ref="J760:L760"/>
    <mergeCell ref="O751:Q751"/>
    <mergeCell ref="V751:X751"/>
    <mergeCell ref="F744:AD744"/>
    <mergeCell ref="L745:S745"/>
    <mergeCell ref="X745:AD745"/>
    <mergeCell ref="L746:S746"/>
    <mergeCell ref="X746:AD746"/>
    <mergeCell ref="F751:G751"/>
    <mergeCell ref="J751:L751"/>
    <mergeCell ref="O742:Q742"/>
    <mergeCell ref="V742:X742"/>
    <mergeCell ref="F735:AD735"/>
    <mergeCell ref="L736:S736"/>
    <mergeCell ref="X736:AD736"/>
    <mergeCell ref="L737:S737"/>
    <mergeCell ref="X737:AD737"/>
    <mergeCell ref="F742:G742"/>
    <mergeCell ref="J742:L742"/>
    <mergeCell ref="F714:G714"/>
    <mergeCell ref="J714:L714"/>
    <mergeCell ref="O714:Q714"/>
    <mergeCell ref="F724:G724"/>
    <mergeCell ref="J724:L724"/>
    <mergeCell ref="O724:Q724"/>
    <mergeCell ref="V724:X724"/>
    <mergeCell ref="O733:Q733"/>
    <mergeCell ref="V733:X733"/>
    <mergeCell ref="F726:AD726"/>
    <mergeCell ref="L727:S727"/>
    <mergeCell ref="X727:AD727"/>
    <mergeCell ref="L728:S728"/>
    <mergeCell ref="X728:AD728"/>
    <mergeCell ref="F733:G733"/>
    <mergeCell ref="J733:L733"/>
    <mergeCell ref="Y689:AC689"/>
    <mergeCell ref="B696:AD696"/>
    <mergeCell ref="B697:AD697"/>
    <mergeCell ref="F706:G706"/>
    <mergeCell ref="V706:X706"/>
    <mergeCell ref="X711:AD711"/>
    <mergeCell ref="X712:AD712"/>
    <mergeCell ref="J706:L706"/>
    <mergeCell ref="O706:Q706"/>
    <mergeCell ref="R707:U707"/>
    <mergeCell ref="X707:AA707"/>
    <mergeCell ref="F710:AD710"/>
    <mergeCell ref="L711:S711"/>
    <mergeCell ref="L712:S712"/>
    <mergeCell ref="F662:AD662"/>
    <mergeCell ref="L663:S663"/>
    <mergeCell ref="X663:AD663"/>
    <mergeCell ref="L664:S664"/>
    <mergeCell ref="X664:AD664"/>
    <mergeCell ref="F669:G669"/>
    <mergeCell ref="C678:G678"/>
    <mergeCell ref="C679:G679"/>
    <mergeCell ref="C682:G682"/>
    <mergeCell ref="L673:S673"/>
    <mergeCell ref="X673:AD673"/>
    <mergeCell ref="C677:G677"/>
    <mergeCell ref="L621:S621"/>
    <mergeCell ref="F623:G623"/>
    <mergeCell ref="J623:L623"/>
    <mergeCell ref="O623:Q623"/>
    <mergeCell ref="F633:G633"/>
    <mergeCell ref="J633:L633"/>
    <mergeCell ref="O633:Q633"/>
    <mergeCell ref="V642:X642"/>
    <mergeCell ref="F644:AD644"/>
    <mergeCell ref="L645:S645"/>
    <mergeCell ref="X645:AD645"/>
    <mergeCell ref="L646:S646"/>
    <mergeCell ref="X646:AD646"/>
    <mergeCell ref="V633:X633"/>
    <mergeCell ref="F635:AD635"/>
    <mergeCell ref="L636:S636"/>
    <mergeCell ref="X636:AD636"/>
    <mergeCell ref="L637:S637"/>
    <mergeCell ref="X637:AD637"/>
    <mergeCell ref="F642:G642"/>
    <mergeCell ref="J642:L642"/>
    <mergeCell ref="F619:AD619"/>
    <mergeCell ref="L620:S620"/>
    <mergeCell ref="X620:AD620"/>
    <mergeCell ref="X621:AD621"/>
    <mergeCell ref="J669:L669"/>
    <mergeCell ref="O669:Q669"/>
    <mergeCell ref="V669:X669"/>
    <mergeCell ref="F671:AD671"/>
    <mergeCell ref="L672:S672"/>
    <mergeCell ref="X672:AD672"/>
    <mergeCell ref="O642:Q642"/>
    <mergeCell ref="F651:G651"/>
    <mergeCell ref="J651:L651"/>
    <mergeCell ref="O651:Q651"/>
    <mergeCell ref="V651:X651"/>
    <mergeCell ref="F653:AD653"/>
    <mergeCell ref="L654:S654"/>
    <mergeCell ref="X654:AD654"/>
    <mergeCell ref="L655:S655"/>
    <mergeCell ref="X655:AD655"/>
    <mergeCell ref="F660:G660"/>
    <mergeCell ref="J660:L660"/>
    <mergeCell ref="O660:Q660"/>
    <mergeCell ref="V660:X660"/>
    <mergeCell ref="L482:S482"/>
    <mergeCell ref="X482:AD482"/>
    <mergeCell ref="L483:S483"/>
    <mergeCell ref="X483:AD483"/>
    <mergeCell ref="F488:G488"/>
    <mergeCell ref="J488:L488"/>
    <mergeCell ref="V615:X615"/>
    <mergeCell ref="R616:U616"/>
    <mergeCell ref="X616:AA616"/>
    <mergeCell ref="B605:AD605"/>
    <mergeCell ref="B606:AD606"/>
    <mergeCell ref="F615:G615"/>
    <mergeCell ref="J615:L615"/>
    <mergeCell ref="O615:Q615"/>
    <mergeCell ref="Y598:AC598"/>
    <mergeCell ref="C525:G525"/>
    <mergeCell ref="C528:G528"/>
    <mergeCell ref="X501:AD501"/>
    <mergeCell ref="F506:G506"/>
    <mergeCell ref="J506:L506"/>
    <mergeCell ref="C438:G438"/>
    <mergeCell ref="C441:G441"/>
    <mergeCell ref="Y444:AC444"/>
    <mergeCell ref="B451:AD451"/>
    <mergeCell ref="B452:AD452"/>
    <mergeCell ref="F461:G461"/>
    <mergeCell ref="J461:L461"/>
    <mergeCell ref="X466:AD466"/>
    <mergeCell ref="X467:AD467"/>
    <mergeCell ref="O461:Q461"/>
    <mergeCell ref="V461:X461"/>
    <mergeCell ref="R462:U462"/>
    <mergeCell ref="X462:AA462"/>
    <mergeCell ref="F465:AD465"/>
    <mergeCell ref="L466:S466"/>
    <mergeCell ref="L467:S467"/>
    <mergeCell ref="F469:G469"/>
    <mergeCell ref="J469:L469"/>
    <mergeCell ref="F517:AD517"/>
    <mergeCell ref="L518:S518"/>
    <mergeCell ref="X518:AD518"/>
    <mergeCell ref="L519:S519"/>
    <mergeCell ref="X519:AD519"/>
    <mergeCell ref="C523:G523"/>
    <mergeCell ref="C524:G524"/>
    <mergeCell ref="O515:Q515"/>
    <mergeCell ref="V515:X515"/>
    <mergeCell ref="F508:AD508"/>
    <mergeCell ref="L509:S509"/>
    <mergeCell ref="X509:AD509"/>
    <mergeCell ref="L510:S510"/>
    <mergeCell ref="X510:AD510"/>
    <mergeCell ref="F515:G515"/>
    <mergeCell ref="J515:L515"/>
    <mergeCell ref="O506:Q506"/>
    <mergeCell ref="V506:X506"/>
    <mergeCell ref="F499:AD499"/>
    <mergeCell ref="L500:S500"/>
    <mergeCell ref="X500:AD500"/>
    <mergeCell ref="L501:S501"/>
    <mergeCell ref="F430:AD430"/>
    <mergeCell ref="L431:S431"/>
    <mergeCell ref="X431:AD431"/>
    <mergeCell ref="L432:S432"/>
    <mergeCell ref="X432:AD432"/>
    <mergeCell ref="C436:G436"/>
    <mergeCell ref="C437:G437"/>
    <mergeCell ref="O497:Q497"/>
    <mergeCell ref="V497:X497"/>
    <mergeCell ref="F490:AD490"/>
    <mergeCell ref="L491:S491"/>
    <mergeCell ref="X491:AD491"/>
    <mergeCell ref="L492:S492"/>
    <mergeCell ref="X492:AD492"/>
    <mergeCell ref="F497:G497"/>
    <mergeCell ref="J497:L497"/>
    <mergeCell ref="O469:Q469"/>
    <mergeCell ref="F479:G479"/>
    <mergeCell ref="J479:L479"/>
    <mergeCell ref="O479:Q479"/>
    <mergeCell ref="V479:X479"/>
    <mergeCell ref="O488:Q488"/>
    <mergeCell ref="V488:X488"/>
    <mergeCell ref="F481:AD481"/>
    <mergeCell ref="F382:G382"/>
    <mergeCell ref="J382:L382"/>
    <mergeCell ref="O382:Q382"/>
    <mergeCell ref="F392:G392"/>
    <mergeCell ref="J392:L392"/>
    <mergeCell ref="O392:Q392"/>
    <mergeCell ref="V392:X392"/>
    <mergeCell ref="O401:Q401"/>
    <mergeCell ref="V401:X401"/>
    <mergeCell ref="F394:AD394"/>
    <mergeCell ref="L395:S395"/>
    <mergeCell ref="X395:AD395"/>
    <mergeCell ref="L396:S396"/>
    <mergeCell ref="X396:AD396"/>
    <mergeCell ref="F401:G401"/>
    <mergeCell ref="J401:L401"/>
    <mergeCell ref="X379:AD379"/>
    <mergeCell ref="X380:AD380"/>
    <mergeCell ref="J374:L374"/>
    <mergeCell ref="O374:Q374"/>
    <mergeCell ref="R375:U375"/>
    <mergeCell ref="X375:AA375"/>
    <mergeCell ref="F378:AD378"/>
    <mergeCell ref="L379:S379"/>
    <mergeCell ref="L380:S380"/>
    <mergeCell ref="O428:Q428"/>
    <mergeCell ref="V428:X428"/>
    <mergeCell ref="F421:AD421"/>
    <mergeCell ref="L422:S422"/>
    <mergeCell ref="X422:AD422"/>
    <mergeCell ref="L423:S423"/>
    <mergeCell ref="X423:AD423"/>
    <mergeCell ref="F428:G428"/>
    <mergeCell ref="J428:L428"/>
    <mergeCell ref="O419:Q419"/>
    <mergeCell ref="V419:X419"/>
    <mergeCell ref="F412:AD412"/>
    <mergeCell ref="L413:S413"/>
    <mergeCell ref="X413:AD413"/>
    <mergeCell ref="L414:S414"/>
    <mergeCell ref="X414:AD414"/>
    <mergeCell ref="F419:G419"/>
    <mergeCell ref="J419:L419"/>
    <mergeCell ref="F339:AD339"/>
    <mergeCell ref="L340:S340"/>
    <mergeCell ref="X340:AD340"/>
    <mergeCell ref="L341:S341"/>
    <mergeCell ref="X341:AD341"/>
    <mergeCell ref="C345:G345"/>
    <mergeCell ref="C346:G346"/>
    <mergeCell ref="O410:Q410"/>
    <mergeCell ref="V410:X410"/>
    <mergeCell ref="F403:AD403"/>
    <mergeCell ref="L404:S404"/>
    <mergeCell ref="X404:AD404"/>
    <mergeCell ref="L405:S405"/>
    <mergeCell ref="X405:AD405"/>
    <mergeCell ref="F410:G410"/>
    <mergeCell ref="J410:L410"/>
    <mergeCell ref="C347:G347"/>
    <mergeCell ref="C348:G348"/>
    <mergeCell ref="C353:G353"/>
    <mergeCell ref="Y357:AC357"/>
    <mergeCell ref="B364:AD364"/>
    <mergeCell ref="B365:AD365"/>
    <mergeCell ref="F374:G374"/>
    <mergeCell ref="V374:X374"/>
    <mergeCell ref="F301:G301"/>
    <mergeCell ref="J301:L301"/>
    <mergeCell ref="O301:Q301"/>
    <mergeCell ref="V301:X301"/>
    <mergeCell ref="O310:Q310"/>
    <mergeCell ref="V310:X310"/>
    <mergeCell ref="F303:AD303"/>
    <mergeCell ref="L304:S304"/>
    <mergeCell ref="X304:AD304"/>
    <mergeCell ref="L305:S305"/>
    <mergeCell ref="X305:AD305"/>
    <mergeCell ref="F310:G310"/>
    <mergeCell ref="J310:L310"/>
    <mergeCell ref="X289:AD289"/>
    <mergeCell ref="O283:Q283"/>
    <mergeCell ref="V283:X283"/>
    <mergeCell ref="R284:U284"/>
    <mergeCell ref="X284:AA284"/>
    <mergeCell ref="F287:AD287"/>
    <mergeCell ref="L288:S288"/>
    <mergeCell ref="L289:S289"/>
    <mergeCell ref="F291:G291"/>
    <mergeCell ref="J291:L291"/>
    <mergeCell ref="O291:Q291"/>
    <mergeCell ref="O337:Q337"/>
    <mergeCell ref="V337:X337"/>
    <mergeCell ref="F330:AD330"/>
    <mergeCell ref="L331:S331"/>
    <mergeCell ref="X331:AD331"/>
    <mergeCell ref="L332:S332"/>
    <mergeCell ref="X332:AD332"/>
    <mergeCell ref="F337:G337"/>
    <mergeCell ref="J337:L337"/>
    <mergeCell ref="O328:Q328"/>
    <mergeCell ref="V328:X328"/>
    <mergeCell ref="F321:AD321"/>
    <mergeCell ref="L322:S322"/>
    <mergeCell ref="X322:AD322"/>
    <mergeCell ref="L323:S323"/>
    <mergeCell ref="X323:AD323"/>
    <mergeCell ref="F328:G328"/>
    <mergeCell ref="J328:L328"/>
    <mergeCell ref="F251:AD251"/>
    <mergeCell ref="L252:S252"/>
    <mergeCell ref="X252:AD252"/>
    <mergeCell ref="L253:S253"/>
    <mergeCell ref="X253:AD253"/>
    <mergeCell ref="C257:G257"/>
    <mergeCell ref="C258:G258"/>
    <mergeCell ref="O319:Q319"/>
    <mergeCell ref="V319:X319"/>
    <mergeCell ref="F312:AD312"/>
    <mergeCell ref="L313:S313"/>
    <mergeCell ref="X313:AD313"/>
    <mergeCell ref="L314:S314"/>
    <mergeCell ref="X314:AD314"/>
    <mergeCell ref="F319:G319"/>
    <mergeCell ref="J319:L319"/>
    <mergeCell ref="C259:G259"/>
    <mergeCell ref="C263:G263"/>
    <mergeCell ref="Y266:AC266"/>
    <mergeCell ref="B273:AD273"/>
    <mergeCell ref="B274:AD274"/>
    <mergeCell ref="F283:G283"/>
    <mergeCell ref="J283:L283"/>
    <mergeCell ref="X288:AD288"/>
    <mergeCell ref="F213:G213"/>
    <mergeCell ref="J213:L213"/>
    <mergeCell ref="O213:Q213"/>
    <mergeCell ref="V213:X213"/>
    <mergeCell ref="O222:Q222"/>
    <mergeCell ref="V222:X222"/>
    <mergeCell ref="F215:AD215"/>
    <mergeCell ref="L216:S216"/>
    <mergeCell ref="X216:AD216"/>
    <mergeCell ref="L217:S217"/>
    <mergeCell ref="X217:AD217"/>
    <mergeCell ref="F222:G222"/>
    <mergeCell ref="J222:L222"/>
    <mergeCell ref="X201:AD201"/>
    <mergeCell ref="O195:Q195"/>
    <mergeCell ref="V195:X195"/>
    <mergeCell ref="R196:U196"/>
    <mergeCell ref="X196:AA196"/>
    <mergeCell ref="F199:AD199"/>
    <mergeCell ref="L200:S200"/>
    <mergeCell ref="L201:S201"/>
    <mergeCell ref="F203:G203"/>
    <mergeCell ref="J203:L203"/>
    <mergeCell ref="O203:Q203"/>
    <mergeCell ref="O249:Q249"/>
    <mergeCell ref="V249:X249"/>
    <mergeCell ref="F242:AD242"/>
    <mergeCell ref="L243:S243"/>
    <mergeCell ref="X243:AD243"/>
    <mergeCell ref="L244:S244"/>
    <mergeCell ref="X244:AD244"/>
    <mergeCell ref="F249:G249"/>
    <mergeCell ref="J249:L249"/>
    <mergeCell ref="O240:Q240"/>
    <mergeCell ref="V240:X240"/>
    <mergeCell ref="F233:AD233"/>
    <mergeCell ref="L234:S234"/>
    <mergeCell ref="X234:AD234"/>
    <mergeCell ref="L235:S235"/>
    <mergeCell ref="X235:AD235"/>
    <mergeCell ref="F240:G240"/>
    <mergeCell ref="J240:L240"/>
    <mergeCell ref="F163:AD163"/>
    <mergeCell ref="L164:S164"/>
    <mergeCell ref="X164:AD164"/>
    <mergeCell ref="L165:S165"/>
    <mergeCell ref="X165:AD165"/>
    <mergeCell ref="C169:G169"/>
    <mergeCell ref="C170:G170"/>
    <mergeCell ref="O231:Q231"/>
    <mergeCell ref="V231:X231"/>
    <mergeCell ref="F224:AD224"/>
    <mergeCell ref="L225:S225"/>
    <mergeCell ref="X225:AD225"/>
    <mergeCell ref="L226:S226"/>
    <mergeCell ref="X226:AD226"/>
    <mergeCell ref="F231:G231"/>
    <mergeCell ref="J231:L231"/>
    <mergeCell ref="C171:G171"/>
    <mergeCell ref="C175:G175"/>
    <mergeCell ref="Y178:AC178"/>
    <mergeCell ref="B185:AD185"/>
    <mergeCell ref="B186:AD186"/>
    <mergeCell ref="F195:G195"/>
    <mergeCell ref="J195:L195"/>
    <mergeCell ref="X200:AD200"/>
    <mergeCell ref="F125:G125"/>
    <mergeCell ref="J125:L125"/>
    <mergeCell ref="O125:Q125"/>
    <mergeCell ref="V125:X125"/>
    <mergeCell ref="O134:Q134"/>
    <mergeCell ref="V134:X134"/>
    <mergeCell ref="F127:AD127"/>
    <mergeCell ref="L128:S128"/>
    <mergeCell ref="X128:AD128"/>
    <mergeCell ref="L129:S129"/>
    <mergeCell ref="X129:AD129"/>
    <mergeCell ref="F134:G134"/>
    <mergeCell ref="J134:L134"/>
    <mergeCell ref="X113:AD113"/>
    <mergeCell ref="O107:Q107"/>
    <mergeCell ref="V107:X107"/>
    <mergeCell ref="R108:U108"/>
    <mergeCell ref="X108:AA108"/>
    <mergeCell ref="F111:AD111"/>
    <mergeCell ref="L112:S112"/>
    <mergeCell ref="L113:S113"/>
    <mergeCell ref="F115:G115"/>
    <mergeCell ref="J115:L115"/>
    <mergeCell ref="O115:Q115"/>
    <mergeCell ref="O161:Q161"/>
    <mergeCell ref="V161:X161"/>
    <mergeCell ref="F154:AD154"/>
    <mergeCell ref="L155:S155"/>
    <mergeCell ref="X155:AD155"/>
    <mergeCell ref="L156:S156"/>
    <mergeCell ref="X156:AD156"/>
    <mergeCell ref="F161:G161"/>
    <mergeCell ref="J161:L161"/>
    <mergeCell ref="O152:Q152"/>
    <mergeCell ref="V152:X152"/>
    <mergeCell ref="F145:AD145"/>
    <mergeCell ref="L146:S146"/>
    <mergeCell ref="X146:AD146"/>
    <mergeCell ref="L147:S147"/>
    <mergeCell ref="X147:AD147"/>
    <mergeCell ref="F152:G152"/>
    <mergeCell ref="J152:L152"/>
    <mergeCell ref="F74:AD74"/>
    <mergeCell ref="L75:S75"/>
    <mergeCell ref="X75:AD75"/>
    <mergeCell ref="L76:S76"/>
    <mergeCell ref="X76:AD76"/>
    <mergeCell ref="C80:G80"/>
    <mergeCell ref="C81:G81"/>
    <mergeCell ref="O143:Q143"/>
    <mergeCell ref="V143:X143"/>
    <mergeCell ref="F136:AD136"/>
    <mergeCell ref="L137:S137"/>
    <mergeCell ref="X137:AD137"/>
    <mergeCell ref="L138:S138"/>
    <mergeCell ref="X138:AD138"/>
    <mergeCell ref="F143:G143"/>
    <mergeCell ref="J143:L143"/>
    <mergeCell ref="C82:G82"/>
    <mergeCell ref="C86:G86"/>
    <mergeCell ref="Y90:AC90"/>
    <mergeCell ref="B97:AD97"/>
    <mergeCell ref="B98:AD98"/>
    <mergeCell ref="F107:G107"/>
    <mergeCell ref="J107:L107"/>
    <mergeCell ref="X112:AD112"/>
    <mergeCell ref="O72:Q72"/>
    <mergeCell ref="V72:X72"/>
    <mergeCell ref="F65:AD65"/>
    <mergeCell ref="L66:S66"/>
    <mergeCell ref="X66:AD66"/>
    <mergeCell ref="L67:S67"/>
    <mergeCell ref="X67:AD67"/>
    <mergeCell ref="F72:G72"/>
    <mergeCell ref="J72:L72"/>
    <mergeCell ref="F56:AD56"/>
    <mergeCell ref="X57:AD57"/>
    <mergeCell ref="L57:S57"/>
    <mergeCell ref="L58:S58"/>
    <mergeCell ref="X58:AD58"/>
    <mergeCell ref="F63:G63"/>
    <mergeCell ref="J63:L63"/>
    <mergeCell ref="O63:Q63"/>
    <mergeCell ref="V63:X63"/>
    <mergeCell ref="F47:AD47"/>
    <mergeCell ref="L48:S48"/>
    <mergeCell ref="X48:AD48"/>
    <mergeCell ref="L49:S49"/>
    <mergeCell ref="X49:AD49"/>
    <mergeCell ref="AL53:AM53"/>
    <mergeCell ref="AO53:AR53"/>
    <mergeCell ref="AI53:AJ53"/>
    <mergeCell ref="F54:G54"/>
    <mergeCell ref="J54:L54"/>
    <mergeCell ref="O54:Q54"/>
    <mergeCell ref="V54:X54"/>
    <mergeCell ref="O45:Q45"/>
    <mergeCell ref="V45:X45"/>
    <mergeCell ref="AI45:AJ45"/>
    <mergeCell ref="AL45:AM45"/>
    <mergeCell ref="AO45:AR45"/>
    <mergeCell ref="F38:AD38"/>
    <mergeCell ref="L39:S39"/>
    <mergeCell ref="X39:AD39"/>
    <mergeCell ref="L40:S40"/>
    <mergeCell ref="X40:AD40"/>
    <mergeCell ref="F45:G45"/>
    <mergeCell ref="J45:L45"/>
    <mergeCell ref="R19:U19"/>
    <mergeCell ref="X19:AA19"/>
    <mergeCell ref="F22:AD22"/>
    <mergeCell ref="L23:S23"/>
    <mergeCell ref="L24:S24"/>
    <mergeCell ref="AL18:AM18"/>
    <mergeCell ref="AO18:AR18"/>
    <mergeCell ref="AL36:AM36"/>
    <mergeCell ref="AO36:AR36"/>
    <mergeCell ref="X23:AD23"/>
    <mergeCell ref="X24:AD24"/>
    <mergeCell ref="F36:G36"/>
    <mergeCell ref="J36:L36"/>
    <mergeCell ref="O36:Q36"/>
    <mergeCell ref="V36:X36"/>
    <mergeCell ref="AI36:AJ36"/>
    <mergeCell ref="F26:G26"/>
    <mergeCell ref="J26:L26"/>
    <mergeCell ref="O26:Q26"/>
    <mergeCell ref="AI26:AJ26"/>
    <mergeCell ref="AL26:AM26"/>
    <mergeCell ref="AO26:AR26"/>
    <mergeCell ref="AI27:AJ27"/>
    <mergeCell ref="Y1:AC1"/>
    <mergeCell ref="B8:AD8"/>
    <mergeCell ref="B9:AD9"/>
    <mergeCell ref="AS17:AT17"/>
    <mergeCell ref="F18:G18"/>
    <mergeCell ref="J18:L18"/>
    <mergeCell ref="O18:Q18"/>
    <mergeCell ref="V18:X18"/>
    <mergeCell ref="AI18:AJ18"/>
  </mergeCells>
  <printOptions horizontalCentered="1"/>
  <pageMargins left="0.70866141732283472" right="0.70866141732283472" top="0.55118110236220474" bottom="0.15748031496062992" header="0" footer="0"/>
  <pageSetup scale="8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93"/>
  <sheetViews>
    <sheetView showZeros="0" tabSelected="1" view="pageLayout" zoomScale="70" zoomScaleNormal="70" zoomScalePageLayoutView="70" workbookViewId="0">
      <selection activeCell="M21" sqref="M21"/>
    </sheetView>
  </sheetViews>
  <sheetFormatPr defaultColWidth="12.5703125" defaultRowHeight="15" customHeight="1"/>
  <cols>
    <col min="1" max="1" width="3.42578125" customWidth="1"/>
    <col min="2" max="2" width="8.5703125" customWidth="1"/>
    <col min="3" max="3" width="18.42578125" customWidth="1"/>
    <col min="4" max="4" width="3.42578125" customWidth="1"/>
    <col min="5" max="5" width="3.5703125" customWidth="1"/>
    <col min="6" max="6" width="3.85546875" customWidth="1"/>
    <col min="7" max="7" width="3.7109375" customWidth="1"/>
    <col min="8" max="8" width="4" customWidth="1"/>
    <col min="9" max="9" width="4.140625" customWidth="1"/>
    <col min="10" max="11" width="4" customWidth="1"/>
    <col min="12" max="12" width="4.28515625" customWidth="1"/>
    <col min="13" max="13" width="5.28515625" customWidth="1"/>
    <col min="14" max="14" width="3.85546875" customWidth="1"/>
    <col min="15" max="15" width="3.7109375" customWidth="1"/>
    <col min="16" max="16" width="4.42578125" customWidth="1"/>
    <col min="17" max="17" width="4.28515625" customWidth="1"/>
    <col min="18" max="19" width="4" customWidth="1"/>
    <col min="20" max="20" width="4.140625" customWidth="1"/>
    <col min="21" max="21" width="3.5703125" customWidth="1"/>
    <col min="22" max="22" width="4.28515625" customWidth="1"/>
    <col min="23" max="23" width="2.85546875" customWidth="1"/>
    <col min="24" max="24" width="3.5703125" customWidth="1"/>
    <col min="25" max="25" width="4.42578125" customWidth="1"/>
    <col min="26" max="26" width="4.28515625" customWidth="1"/>
    <col min="27" max="27" width="3.85546875" customWidth="1"/>
    <col min="28" max="28" width="3.7109375" customWidth="1"/>
    <col min="29" max="29" width="4.140625" customWidth="1"/>
    <col min="30" max="30" width="3.42578125" customWidth="1"/>
    <col min="31" max="31" width="4.140625" customWidth="1"/>
    <col min="32" max="32" width="3.42578125" customWidth="1"/>
    <col min="33" max="33" width="8.5703125" customWidth="1"/>
    <col min="34" max="34" width="18.42578125" customWidth="1"/>
    <col min="35" max="35" width="25" customWidth="1"/>
    <col min="36" max="36" width="5.5703125" customWidth="1"/>
    <col min="37" max="38" width="5.7109375" customWidth="1"/>
    <col min="39" max="39" width="7.85546875" customWidth="1"/>
    <col min="40" max="40" width="3.28515625" customWidth="1"/>
    <col min="41" max="41" width="3" customWidth="1"/>
    <col min="42" max="42" width="2.42578125" customWidth="1"/>
    <col min="43" max="43" width="2.85546875" customWidth="1"/>
    <col min="44" max="44" width="3" customWidth="1"/>
    <col min="45" max="45" width="2.42578125" customWidth="1"/>
    <col min="46" max="46" width="2.85546875" customWidth="1"/>
    <col min="47" max="47" width="3" customWidth="1"/>
    <col min="48" max="48" width="2.42578125" customWidth="1"/>
    <col min="49" max="49" width="3.28515625" customWidth="1"/>
    <col min="50" max="50" width="3" customWidth="1"/>
    <col min="51" max="51" width="3.28515625" customWidth="1"/>
    <col min="52" max="52" width="2.85546875" customWidth="1"/>
    <col min="53" max="53" width="2.42578125" customWidth="1"/>
    <col min="54" max="56" width="3" customWidth="1"/>
    <col min="57" max="79" width="8.5703125" customWidth="1"/>
  </cols>
  <sheetData>
    <row r="1" spans="1:79" ht="8.25" customHeight="1" thickBot="1">
      <c r="A1" s="168"/>
      <c r="B1" s="169"/>
      <c r="C1" s="170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AB1" s="169"/>
      <c r="AC1" s="169"/>
      <c r="AD1" s="171"/>
      <c r="AF1" s="295"/>
      <c r="AG1" s="295"/>
      <c r="AH1" s="294"/>
      <c r="AI1" s="295"/>
      <c r="AJ1" s="300"/>
    </row>
    <row r="2" spans="1:79" s="165" customFormat="1" ht="12.75" customHeight="1">
      <c r="A2" s="191"/>
      <c r="B2" s="183"/>
      <c r="C2" s="17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254" t="s">
        <v>529</v>
      </c>
      <c r="Y2" s="255"/>
      <c r="Z2" s="255"/>
      <c r="AA2" s="256"/>
      <c r="AB2" s="183"/>
      <c r="AC2" s="183"/>
      <c r="AD2" s="193"/>
      <c r="AF2" s="295"/>
      <c r="AG2" s="295"/>
      <c r="AH2" s="294"/>
      <c r="AI2" s="295"/>
      <c r="AJ2" s="300"/>
    </row>
    <row r="3" spans="1:79" s="165" customFormat="1" ht="3" customHeight="1">
      <c r="A3" s="191"/>
      <c r="B3" s="183"/>
      <c r="C3" s="17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77"/>
      <c r="Y3" s="192"/>
      <c r="Z3" s="192"/>
      <c r="AA3" s="192"/>
      <c r="AB3" s="183"/>
      <c r="AC3" s="183"/>
      <c r="AD3" s="193"/>
      <c r="AF3" s="295"/>
      <c r="AG3" s="295"/>
      <c r="AH3" s="294"/>
      <c r="AI3" s="295"/>
      <c r="AJ3" s="300"/>
    </row>
    <row r="4" spans="1:79" ht="12.75" customHeight="1">
      <c r="A4" s="172" t="s">
        <v>332</v>
      </c>
      <c r="B4" s="173"/>
      <c r="C4" s="173"/>
      <c r="D4" s="174" t="s">
        <v>10</v>
      </c>
      <c r="E4" s="173" t="s">
        <v>102</v>
      </c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 t="s">
        <v>530</v>
      </c>
      <c r="U4" s="173" t="s">
        <v>372</v>
      </c>
      <c r="V4" s="173"/>
      <c r="W4" s="173" t="s">
        <v>10</v>
      </c>
      <c r="X4" s="173" t="s">
        <v>373</v>
      </c>
      <c r="Y4" s="173"/>
      <c r="Z4" s="173"/>
      <c r="AA4" s="173"/>
      <c r="AB4" s="173"/>
      <c r="AC4" s="173"/>
      <c r="AD4" s="175"/>
      <c r="AE4" s="69"/>
      <c r="AF4" s="294" t="s">
        <v>332</v>
      </c>
      <c r="AG4" s="294"/>
      <c r="AH4" s="294"/>
      <c r="AI4" s="295"/>
      <c r="AJ4" s="300"/>
    </row>
    <row r="5" spans="1:79" ht="12.75" customHeight="1">
      <c r="A5" s="172" t="s">
        <v>331</v>
      </c>
      <c r="B5" s="173"/>
      <c r="C5" s="173"/>
      <c r="D5" s="174" t="s">
        <v>10</v>
      </c>
      <c r="E5" s="173" t="s">
        <v>104</v>
      </c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 t="s">
        <v>375</v>
      </c>
      <c r="V5" s="173"/>
      <c r="W5" s="173" t="s">
        <v>10</v>
      </c>
      <c r="X5" s="173" t="s">
        <v>332</v>
      </c>
      <c r="Y5" s="173"/>
      <c r="Z5" s="173"/>
      <c r="AA5" s="173"/>
      <c r="AB5" s="173"/>
      <c r="AC5" s="173"/>
      <c r="AD5" s="175"/>
      <c r="AE5" s="69"/>
      <c r="AF5" s="294" t="s">
        <v>331</v>
      </c>
      <c r="AG5" s="294"/>
      <c r="AH5" s="294"/>
      <c r="AI5" s="295"/>
      <c r="AJ5" s="300"/>
    </row>
    <row r="6" spans="1:79" ht="12.75" customHeight="1">
      <c r="A6" s="172" t="s">
        <v>330</v>
      </c>
      <c r="B6" s="173"/>
      <c r="C6" s="173"/>
      <c r="D6" s="174" t="s">
        <v>10</v>
      </c>
      <c r="E6" s="173" t="s">
        <v>106</v>
      </c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 t="s">
        <v>379</v>
      </c>
      <c r="V6" s="173"/>
      <c r="W6" s="173" t="s">
        <v>10</v>
      </c>
      <c r="X6" s="173" t="s">
        <v>331</v>
      </c>
      <c r="Y6" s="173"/>
      <c r="Z6" s="173"/>
      <c r="AA6" s="173"/>
      <c r="AB6" s="173"/>
      <c r="AC6" s="173"/>
      <c r="AD6" s="175"/>
      <c r="AE6" s="69"/>
      <c r="AF6" s="294" t="s">
        <v>330</v>
      </c>
      <c r="AG6" s="294"/>
      <c r="AH6" s="294"/>
      <c r="AI6" s="295"/>
      <c r="AJ6" s="300"/>
    </row>
    <row r="7" spans="1:79" ht="12.75" customHeight="1">
      <c r="A7" s="172"/>
      <c r="B7" s="173"/>
      <c r="C7" s="173"/>
      <c r="D7" s="174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5"/>
      <c r="AE7" s="69"/>
      <c r="AF7" s="294"/>
      <c r="AG7" s="294"/>
      <c r="AH7" s="294"/>
      <c r="AI7" s="295"/>
      <c r="AJ7" s="300"/>
    </row>
    <row r="8" spans="1:79" ht="12.75" customHeight="1">
      <c r="A8" s="172" t="s">
        <v>381</v>
      </c>
      <c r="B8" s="173"/>
      <c r="C8" s="173"/>
      <c r="D8" s="174" t="s">
        <v>10</v>
      </c>
      <c r="E8" s="108">
        <v>3</v>
      </c>
      <c r="F8" s="108">
        <v>3</v>
      </c>
      <c r="G8" s="108">
        <v>2</v>
      </c>
      <c r="H8" s="108">
        <v>7</v>
      </c>
      <c r="I8" s="315" t="s">
        <v>461</v>
      </c>
      <c r="J8" s="108">
        <v>4</v>
      </c>
      <c r="K8" s="108">
        <v>0</v>
      </c>
      <c r="L8" s="108">
        <v>1</v>
      </c>
      <c r="M8" s="108">
        <v>1</v>
      </c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5"/>
      <c r="AE8" s="69"/>
      <c r="AF8" s="294" t="s">
        <v>381</v>
      </c>
      <c r="AG8" s="294"/>
      <c r="AH8" s="294"/>
      <c r="AI8" s="295"/>
      <c r="AJ8" s="300"/>
    </row>
    <row r="9" spans="1:79" ht="12.75" customHeight="1">
      <c r="A9" s="172"/>
      <c r="B9" s="173"/>
      <c r="C9" s="173"/>
      <c r="D9" s="174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5"/>
      <c r="AE9" s="69"/>
      <c r="AF9" s="294"/>
      <c r="AG9" s="294"/>
      <c r="AH9" s="294"/>
      <c r="AI9" s="295"/>
      <c r="AJ9" s="300"/>
    </row>
    <row r="10" spans="1:79" ht="12.75" customHeight="1">
      <c r="A10" s="260" t="s">
        <v>531</v>
      </c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2"/>
      <c r="AE10" s="1"/>
      <c r="AF10" s="295"/>
      <c r="AG10" s="295"/>
      <c r="AH10" s="295"/>
      <c r="AI10" s="295"/>
      <c r="AJ10" s="300"/>
    </row>
    <row r="11" spans="1:79" ht="12" customHeight="1">
      <c r="A11" s="176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8"/>
      <c r="AE11" s="1"/>
      <c r="AF11" s="295"/>
      <c r="AG11" s="295"/>
      <c r="AH11" s="295"/>
      <c r="AI11" s="295"/>
      <c r="AJ11" s="18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</row>
    <row r="12" spans="1:79" ht="12.75" customHeight="1">
      <c r="A12" s="263" t="s">
        <v>1204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  <c r="X12" s="264"/>
      <c r="Y12" s="264"/>
      <c r="Z12" s="264"/>
      <c r="AA12" s="264"/>
      <c r="AB12" s="264"/>
      <c r="AC12" s="264"/>
      <c r="AD12" s="178"/>
      <c r="AE12" s="1"/>
      <c r="AF12" s="295"/>
      <c r="AG12" s="295"/>
      <c r="AH12" s="295"/>
      <c r="AI12" s="295"/>
      <c r="AJ12" s="18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</row>
    <row r="13" spans="1:79" ht="12.75" customHeight="1">
      <c r="A13" s="172"/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5"/>
      <c r="AE13" s="69"/>
      <c r="AF13" s="294"/>
      <c r="AG13" s="294"/>
      <c r="AH13" s="294"/>
      <c r="AI13" s="295"/>
      <c r="AJ13" s="300"/>
    </row>
    <row r="14" spans="1:79" ht="12.75" customHeight="1">
      <c r="A14" s="172" t="s">
        <v>385</v>
      </c>
      <c r="B14" s="173"/>
      <c r="C14" s="173"/>
      <c r="D14" s="174" t="s">
        <v>10</v>
      </c>
      <c r="E14" s="123" t="str">
        <f t="shared" ref="E14:AC14" si="0">MID($AI14,COLUMNS($AI14:AI14),1)</f>
        <v>B</v>
      </c>
      <c r="F14" s="123" t="str">
        <f t="shared" si="0"/>
        <v>U</v>
      </c>
      <c r="G14" s="123" t="str">
        <f t="shared" si="0"/>
        <v>D</v>
      </c>
      <c r="H14" s="123" t="str">
        <f t="shared" si="0"/>
        <v>I</v>
      </c>
      <c r="I14" s="123" t="str">
        <f t="shared" si="0"/>
        <v>A</v>
      </c>
      <c r="J14" s="123" t="str">
        <f t="shared" si="0"/>
        <v>N</v>
      </c>
      <c r="K14" s="123" t="str">
        <f t="shared" si="0"/>
        <v>T</v>
      </c>
      <c r="L14" s="123" t="str">
        <f t="shared" si="0"/>
        <v>O</v>
      </c>
      <c r="M14" s="123" t="str">
        <f t="shared" si="0"/>
        <v/>
      </c>
      <c r="N14" s="123" t="str">
        <f t="shared" si="0"/>
        <v/>
      </c>
      <c r="O14" s="123" t="str">
        <f t="shared" si="0"/>
        <v/>
      </c>
      <c r="P14" s="123" t="str">
        <f t="shared" si="0"/>
        <v/>
      </c>
      <c r="Q14" s="123" t="str">
        <f t="shared" si="0"/>
        <v/>
      </c>
      <c r="R14" s="123" t="str">
        <f t="shared" si="0"/>
        <v/>
      </c>
      <c r="S14" s="123" t="str">
        <f t="shared" si="0"/>
        <v/>
      </c>
      <c r="T14" s="123" t="str">
        <f t="shared" si="0"/>
        <v/>
      </c>
      <c r="U14" s="123" t="str">
        <f t="shared" si="0"/>
        <v/>
      </c>
      <c r="V14" s="123" t="str">
        <f t="shared" si="0"/>
        <v/>
      </c>
      <c r="W14" s="123" t="str">
        <f t="shared" si="0"/>
        <v/>
      </c>
      <c r="X14" s="123" t="str">
        <f t="shared" si="0"/>
        <v/>
      </c>
      <c r="Y14" s="123" t="str">
        <f t="shared" si="0"/>
        <v/>
      </c>
      <c r="Z14" s="123" t="str">
        <f t="shared" si="0"/>
        <v/>
      </c>
      <c r="AA14" s="123" t="str">
        <f t="shared" si="0"/>
        <v/>
      </c>
      <c r="AB14" s="123" t="str">
        <f t="shared" si="0"/>
        <v/>
      </c>
      <c r="AC14" s="123" t="str">
        <f t="shared" si="0"/>
        <v/>
      </c>
      <c r="AD14" s="175"/>
      <c r="AE14" s="69"/>
      <c r="AF14" s="294" t="s">
        <v>385</v>
      </c>
      <c r="AG14" s="294"/>
      <c r="AH14" s="294"/>
      <c r="AI14" s="295" t="str">
        <f>'ISIAN DATA'!E6</f>
        <v>BUDIANTO</v>
      </c>
      <c r="AJ14" s="300"/>
    </row>
    <row r="15" spans="1:79" ht="12.75" customHeight="1">
      <c r="A15" s="172" t="s">
        <v>387</v>
      </c>
      <c r="B15" s="173"/>
      <c r="C15" s="173"/>
      <c r="D15" s="174" t="s">
        <v>10</v>
      </c>
      <c r="E15" s="123" t="str">
        <f t="shared" ref="E15:W15" si="1">MID($AI15,COLUMNS($AI15:AI15),1)</f>
        <v>3</v>
      </c>
      <c r="F15" s="123" t="str">
        <f t="shared" si="1"/>
        <v>3</v>
      </c>
      <c r="G15" s="123" t="str">
        <f t="shared" si="1"/>
        <v>2</v>
      </c>
      <c r="H15" s="123" t="str">
        <f t="shared" si="1"/>
        <v>7</v>
      </c>
      <c r="I15" s="123" t="str">
        <f t="shared" si="1"/>
        <v>0</v>
      </c>
      <c r="J15" s="123" t="str">
        <f t="shared" si="1"/>
        <v>4</v>
      </c>
      <c r="K15" s="123" t="str">
        <f t="shared" si="1"/>
        <v>2</v>
      </c>
      <c r="L15" s="123" t="str">
        <f t="shared" si="1"/>
        <v>3</v>
      </c>
      <c r="M15" s="123" t="str">
        <f t="shared" si="1"/>
        <v>1</v>
      </c>
      <c r="N15" s="123" t="str">
        <f t="shared" si="1"/>
        <v>1</v>
      </c>
      <c r="O15" s="123" t="str">
        <f t="shared" si="1"/>
        <v>2</v>
      </c>
      <c r="P15" s="123" t="str">
        <f t="shared" si="1"/>
        <v>1</v>
      </c>
      <c r="Q15" s="123" t="str">
        <f t="shared" si="1"/>
        <v>0</v>
      </c>
      <c r="R15" s="123" t="str">
        <f t="shared" si="1"/>
        <v>0</v>
      </c>
      <c r="S15" s="123" t="str">
        <f t="shared" si="1"/>
        <v>0</v>
      </c>
      <c r="T15" s="123" t="str">
        <f t="shared" si="1"/>
        <v>5</v>
      </c>
      <c r="U15" s="123" t="str">
        <f t="shared" si="1"/>
        <v/>
      </c>
      <c r="V15" s="123" t="str">
        <f t="shared" si="1"/>
        <v/>
      </c>
      <c r="W15" s="123" t="str">
        <f t="shared" si="1"/>
        <v/>
      </c>
      <c r="X15" s="180"/>
      <c r="Y15" s="180"/>
      <c r="Z15" s="180"/>
      <c r="AA15" s="180"/>
      <c r="AB15" s="173"/>
      <c r="AC15" s="173"/>
      <c r="AD15" s="175"/>
      <c r="AE15" s="69"/>
      <c r="AF15" s="294" t="s">
        <v>387</v>
      </c>
      <c r="AG15" s="294"/>
      <c r="AH15" s="294"/>
      <c r="AI15" s="295" t="str">
        <f>'ISIAN DATA'!E7</f>
        <v>3327042311210005</v>
      </c>
      <c r="AJ15" s="300"/>
    </row>
    <row r="16" spans="1:79" ht="12.75" customHeight="1" thickBot="1">
      <c r="A16" s="172"/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5"/>
      <c r="AE16" s="69"/>
      <c r="AF16" s="294"/>
      <c r="AG16" s="294"/>
      <c r="AH16" s="294"/>
      <c r="AI16" s="295">
        <f>'ISIAN DATA'!E8</f>
        <v>0</v>
      </c>
      <c r="AJ16" s="300"/>
    </row>
    <row r="17" spans="1:40" ht="12.75" customHeight="1">
      <c r="A17" s="181" t="s">
        <v>532</v>
      </c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 t="s">
        <v>574</v>
      </c>
      <c r="V17" s="121"/>
      <c r="W17" s="121"/>
      <c r="X17" s="121"/>
      <c r="Y17" s="121"/>
      <c r="Z17" s="121"/>
      <c r="AA17" s="121"/>
      <c r="AB17" s="121"/>
      <c r="AC17" s="121"/>
      <c r="AD17" s="182"/>
      <c r="AE17" s="121"/>
      <c r="AF17" s="298" t="s">
        <v>532</v>
      </c>
      <c r="AG17" s="294"/>
      <c r="AH17" s="294"/>
      <c r="AI17" s="295">
        <f>'ISIAN DATA'!E9</f>
        <v>0</v>
      </c>
      <c r="AJ17" s="300"/>
    </row>
    <row r="18" spans="1:40" ht="12.75" customHeight="1">
      <c r="A18" s="172"/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5"/>
      <c r="AE18" s="69"/>
      <c r="AF18" s="294"/>
      <c r="AG18" s="294"/>
      <c r="AH18" s="294"/>
      <c r="AI18" s="295">
        <f>'ISIAN DATA'!E10</f>
        <v>0</v>
      </c>
      <c r="AJ18" s="300"/>
    </row>
    <row r="19" spans="1:40" ht="12.75" customHeight="1">
      <c r="A19" s="172" t="s">
        <v>111</v>
      </c>
      <c r="B19" s="173" t="s">
        <v>533</v>
      </c>
      <c r="C19" s="173"/>
      <c r="D19" s="174" t="s">
        <v>10</v>
      </c>
      <c r="E19" s="108" t="str">
        <f t="shared" ref="E19:AC19" si="2">MID($AI19,COLUMNS($AI19:AI19),1)</f>
        <v>K</v>
      </c>
      <c r="F19" s="108" t="str">
        <f t="shared" si="2"/>
        <v>H</v>
      </c>
      <c r="G19" s="108" t="str">
        <f t="shared" si="2"/>
        <v>A</v>
      </c>
      <c r="H19" s="108" t="str">
        <f t="shared" si="2"/>
        <v>L</v>
      </c>
      <c r="I19" s="108" t="str">
        <f t="shared" si="2"/>
        <v>I</v>
      </c>
      <c r="J19" s="108" t="str">
        <f t="shared" si="2"/>
        <v>F</v>
      </c>
      <c r="K19" s="108" t="str">
        <f t="shared" si="2"/>
        <v>A</v>
      </c>
      <c r="L19" s="108" t="str">
        <f t="shared" si="2"/>
        <v xml:space="preserve"> </v>
      </c>
      <c r="M19" s="108" t="str">
        <f t="shared" si="2"/>
        <v>S</v>
      </c>
      <c r="N19" s="108" t="str">
        <f t="shared" si="2"/>
        <v>Y</v>
      </c>
      <c r="O19" s="108" t="str">
        <f t="shared" si="2"/>
        <v>A</v>
      </c>
      <c r="P19" s="108" t="str">
        <f t="shared" si="2"/>
        <v>K</v>
      </c>
      <c r="Q19" s="108" t="str">
        <f t="shared" si="2"/>
        <v>I</v>
      </c>
      <c r="R19" s="108" t="str">
        <f t="shared" si="2"/>
        <v>L</v>
      </c>
      <c r="S19" s="108" t="str">
        <f t="shared" si="2"/>
        <v>A</v>
      </c>
      <c r="T19" s="108" t="str">
        <f t="shared" si="2"/>
        <v xml:space="preserve"> </v>
      </c>
      <c r="U19" s="108" t="str">
        <f t="shared" si="2"/>
        <v>R</v>
      </c>
      <c r="V19" s="108" t="str">
        <f t="shared" si="2"/>
        <v>A</v>
      </c>
      <c r="W19" s="108" t="str">
        <f t="shared" si="2"/>
        <v>M</v>
      </c>
      <c r="X19" s="108" t="str">
        <f t="shared" si="2"/>
        <v>A</v>
      </c>
      <c r="Y19" s="108" t="str">
        <f t="shared" si="2"/>
        <v>D</v>
      </c>
      <c r="Z19" s="108" t="str">
        <f t="shared" si="2"/>
        <v>H</v>
      </c>
      <c r="AA19" s="108" t="str">
        <f t="shared" si="2"/>
        <v>A</v>
      </c>
      <c r="AB19" s="108" t="str">
        <f t="shared" si="2"/>
        <v>N</v>
      </c>
      <c r="AC19" s="108" t="str">
        <f t="shared" si="2"/>
        <v>I</v>
      </c>
      <c r="AD19" s="175"/>
      <c r="AE19" s="69"/>
      <c r="AF19" s="294" t="s">
        <v>111</v>
      </c>
      <c r="AG19" s="294" t="s">
        <v>533</v>
      </c>
      <c r="AH19" s="294"/>
      <c r="AI19" s="295" t="str">
        <f>'ISIAN DATA'!E11</f>
        <v>KHALIFA SYAKILA RAMADHANI</v>
      </c>
      <c r="AJ19" s="300"/>
    </row>
    <row r="20" spans="1:40" ht="12.75" customHeight="1">
      <c r="A20" s="172" t="s">
        <v>115</v>
      </c>
      <c r="B20" s="173" t="s">
        <v>285</v>
      </c>
      <c r="C20" s="173"/>
      <c r="D20" s="174" t="s">
        <v>10</v>
      </c>
      <c r="E20" s="108">
        <f>AI20</f>
        <v>2</v>
      </c>
      <c r="F20" s="173" t="s">
        <v>534</v>
      </c>
      <c r="G20" s="173"/>
      <c r="H20" s="173"/>
      <c r="I20" s="173"/>
      <c r="J20" s="173" t="s">
        <v>394</v>
      </c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5"/>
      <c r="AE20" s="69"/>
      <c r="AF20" s="294" t="s">
        <v>115</v>
      </c>
      <c r="AG20" s="299" t="s">
        <v>285</v>
      </c>
      <c r="AH20" s="294"/>
      <c r="AI20" s="295">
        <f>'ISIAN DATA'!E12</f>
        <v>2</v>
      </c>
      <c r="AJ20" s="300"/>
    </row>
    <row r="21" spans="1:40" ht="12.75" customHeight="1">
      <c r="A21" s="172" t="s">
        <v>118</v>
      </c>
      <c r="B21" s="173" t="s">
        <v>535</v>
      </c>
      <c r="C21" s="173"/>
      <c r="D21" s="174" t="s">
        <v>10</v>
      </c>
      <c r="E21" s="108">
        <v>2</v>
      </c>
      <c r="F21" s="173" t="s">
        <v>536</v>
      </c>
      <c r="G21" s="173"/>
      <c r="H21" s="173"/>
      <c r="I21" s="173"/>
      <c r="J21" s="173" t="s">
        <v>537</v>
      </c>
      <c r="K21" s="173"/>
      <c r="L21" s="173"/>
      <c r="M21" s="173"/>
      <c r="N21" s="173" t="s">
        <v>538</v>
      </c>
      <c r="O21" s="173"/>
      <c r="P21" s="173"/>
      <c r="Q21" s="173"/>
      <c r="R21" s="173" t="s">
        <v>539</v>
      </c>
      <c r="S21" s="173"/>
      <c r="T21" s="173"/>
      <c r="U21" s="173"/>
      <c r="V21" s="173"/>
      <c r="W21" s="173" t="s">
        <v>540</v>
      </c>
      <c r="X21" s="173"/>
      <c r="Y21" s="173"/>
      <c r="Z21" s="173"/>
      <c r="AA21" s="173"/>
      <c r="AB21" s="173"/>
      <c r="AC21" s="173"/>
      <c r="AD21" s="175"/>
      <c r="AE21" s="69"/>
      <c r="AF21" s="294" t="s">
        <v>118</v>
      </c>
      <c r="AG21" s="299" t="s">
        <v>535</v>
      </c>
      <c r="AH21" s="294"/>
      <c r="AI21" s="295">
        <f>'ISIAN DATA'!E13</f>
        <v>0</v>
      </c>
      <c r="AJ21" s="300"/>
    </row>
    <row r="22" spans="1:40" ht="12.75" customHeight="1">
      <c r="A22" s="172" t="s">
        <v>121</v>
      </c>
      <c r="B22" s="173" t="s">
        <v>541</v>
      </c>
      <c r="C22" s="173"/>
      <c r="D22" s="174" t="s">
        <v>10</v>
      </c>
      <c r="E22" s="108" t="str">
        <f t="shared" ref="E22:T22" si="3">MID($AI22,COLUMNS($AI22:AI22),1)</f>
        <v>P</v>
      </c>
      <c r="F22" s="108" t="str">
        <f t="shared" si="3"/>
        <v>E</v>
      </c>
      <c r="G22" s="108" t="str">
        <f t="shared" si="3"/>
        <v>M</v>
      </c>
      <c r="H22" s="108" t="str">
        <f t="shared" si="3"/>
        <v>A</v>
      </c>
      <c r="I22" s="108" t="str">
        <f t="shared" si="3"/>
        <v>L</v>
      </c>
      <c r="J22" s="108" t="str">
        <f t="shared" si="3"/>
        <v>A</v>
      </c>
      <c r="K22" s="108" t="str">
        <f t="shared" si="3"/>
        <v>N</v>
      </c>
      <c r="L22" s="108" t="str">
        <f t="shared" si="3"/>
        <v>G</v>
      </c>
      <c r="M22" s="108" t="str">
        <f t="shared" si="3"/>
        <v/>
      </c>
      <c r="N22" s="108" t="str">
        <f t="shared" si="3"/>
        <v/>
      </c>
      <c r="O22" s="108" t="str">
        <f t="shared" si="3"/>
        <v/>
      </c>
      <c r="P22" s="108" t="str">
        <f t="shared" si="3"/>
        <v/>
      </c>
      <c r="Q22" s="108" t="str">
        <f t="shared" si="3"/>
        <v/>
      </c>
      <c r="R22" s="108" t="str">
        <f t="shared" si="3"/>
        <v/>
      </c>
      <c r="S22" s="108" t="str">
        <f t="shared" si="3"/>
        <v/>
      </c>
      <c r="T22" s="108" t="str">
        <f t="shared" si="3"/>
        <v/>
      </c>
      <c r="U22" s="173"/>
      <c r="V22" s="173"/>
      <c r="W22" s="173"/>
      <c r="X22" s="173"/>
      <c r="Y22" s="173"/>
      <c r="Z22" s="173"/>
      <c r="AA22" s="173"/>
      <c r="AB22" s="173"/>
      <c r="AC22" s="173"/>
      <c r="AD22" s="175"/>
      <c r="AE22" s="69"/>
      <c r="AF22" s="294" t="s">
        <v>121</v>
      </c>
      <c r="AG22" s="294" t="s">
        <v>541</v>
      </c>
      <c r="AH22" s="294"/>
      <c r="AI22" s="295" t="str">
        <f>'ISIAN DATA'!E14</f>
        <v>PEMALANG</v>
      </c>
      <c r="AJ22" s="300"/>
    </row>
    <row r="23" spans="1:40" ht="12.75" customHeight="1">
      <c r="A23" s="172" t="s">
        <v>124</v>
      </c>
      <c r="B23" s="173" t="s">
        <v>542</v>
      </c>
      <c r="C23" s="173"/>
      <c r="D23" s="174" t="s">
        <v>10</v>
      </c>
      <c r="E23" s="108" t="str">
        <f t="shared" ref="E23:L23" si="4">MID($AI23,COLUMNS($AI23:AI23),1)</f>
        <v>0</v>
      </c>
      <c r="F23" s="108" t="str">
        <f t="shared" si="4"/>
        <v/>
      </c>
      <c r="G23" s="108" t="str">
        <f t="shared" si="4"/>
        <v/>
      </c>
      <c r="H23" s="108" t="str">
        <f t="shared" si="4"/>
        <v/>
      </c>
      <c r="I23" s="108" t="str">
        <f t="shared" si="4"/>
        <v/>
      </c>
      <c r="J23" s="108" t="str">
        <f t="shared" si="4"/>
        <v/>
      </c>
      <c r="K23" s="108" t="str">
        <f t="shared" si="4"/>
        <v/>
      </c>
      <c r="L23" s="108" t="str">
        <f t="shared" si="4"/>
        <v/>
      </c>
      <c r="M23" s="174" t="s">
        <v>470</v>
      </c>
      <c r="N23" s="174" t="s">
        <v>397</v>
      </c>
      <c r="O23" s="174"/>
      <c r="P23" s="108" t="str">
        <f t="shared" ref="P23:Q23" si="5">MID($AJ$24,COLUMNS($AJ$24:AJ24),1)</f>
        <v>0</v>
      </c>
      <c r="Q23" s="108" t="str">
        <f t="shared" si="5"/>
        <v>3</v>
      </c>
      <c r="R23" s="174"/>
      <c r="S23" s="174" t="s">
        <v>422</v>
      </c>
      <c r="T23" s="174"/>
      <c r="U23" s="108" t="str">
        <f t="shared" ref="U23:V23" si="6">MID($AK$24,COLUMNS($AK$24:AK24),1)</f>
        <v>0</v>
      </c>
      <c r="V23" s="108" t="str">
        <f t="shared" si="6"/>
        <v>4</v>
      </c>
      <c r="W23" s="174"/>
      <c r="X23" s="174" t="s">
        <v>543</v>
      </c>
      <c r="Y23" s="174"/>
      <c r="Z23" s="108" t="str">
        <f t="shared" ref="Z23:AC23" si="7">MID($AL$24,COLUMNS($AL$24:AL24),1)</f>
        <v>2</v>
      </c>
      <c r="AA23" s="108" t="str">
        <f t="shared" si="7"/>
        <v>0</v>
      </c>
      <c r="AB23" s="108" t="str">
        <f t="shared" si="7"/>
        <v>2</v>
      </c>
      <c r="AC23" s="108" t="str">
        <f t="shared" si="7"/>
        <v>2</v>
      </c>
      <c r="AD23" s="175"/>
      <c r="AE23" s="69"/>
      <c r="AF23" s="294" t="s">
        <v>124</v>
      </c>
      <c r="AG23" s="294" t="s">
        <v>542</v>
      </c>
      <c r="AH23" s="294"/>
      <c r="AI23" s="295">
        <f>'ISIAN DATA'!E15</f>
        <v>0</v>
      </c>
      <c r="AJ23" s="173" t="s">
        <v>575</v>
      </c>
      <c r="AK23" s="69" t="s">
        <v>576</v>
      </c>
      <c r="AL23" s="69" t="s">
        <v>577</v>
      </c>
      <c r="AM23" s="69" t="s">
        <v>578</v>
      </c>
      <c r="AN23" s="3"/>
    </row>
    <row r="24" spans="1:40" ht="12.75" customHeight="1">
      <c r="A24" s="172" t="s">
        <v>127</v>
      </c>
      <c r="B24" s="173" t="s">
        <v>425</v>
      </c>
      <c r="C24" s="173"/>
      <c r="D24" s="174" t="s">
        <v>10</v>
      </c>
      <c r="E24" s="108" t="str">
        <f t="shared" ref="E24:H24" si="8">MID($AI24,COLUMNS($AI24:AI24),1)</f>
        <v>0</v>
      </c>
      <c r="F24" s="108" t="str">
        <f t="shared" si="8"/>
        <v>9</v>
      </c>
      <c r="G24" s="108" t="str">
        <f t="shared" si="8"/>
        <v>0</v>
      </c>
      <c r="H24" s="108" t="str">
        <f t="shared" si="8"/>
        <v>0</v>
      </c>
      <c r="I24" s="173" t="s">
        <v>544</v>
      </c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5"/>
      <c r="AE24" s="69"/>
      <c r="AF24" s="294" t="s">
        <v>127</v>
      </c>
      <c r="AG24" s="294" t="s">
        <v>425</v>
      </c>
      <c r="AH24" s="294"/>
      <c r="AI24" s="295" t="str">
        <f>'ISIAN DATA'!E16</f>
        <v>0900</v>
      </c>
      <c r="AJ24" s="295" t="str">
        <f>'ISIAN DATA'!F16</f>
        <v>03</v>
      </c>
      <c r="AK24" s="295" t="str">
        <f>'ISIAN DATA'!G16</f>
        <v>04</v>
      </c>
      <c r="AL24" s="295" t="str">
        <f>'ISIAN DATA'!H16</f>
        <v>2022</v>
      </c>
      <c r="AM24" s="295">
        <f ca="1">'ISIAN DATA'!I16</f>
        <v>4</v>
      </c>
      <c r="AN24" s="3"/>
    </row>
    <row r="25" spans="1:40" ht="12.75" customHeight="1">
      <c r="A25" s="172" t="s">
        <v>130</v>
      </c>
      <c r="B25" s="173" t="s">
        <v>545</v>
      </c>
      <c r="C25" s="173"/>
      <c r="D25" s="174" t="s">
        <v>10</v>
      </c>
      <c r="E25" s="108">
        <v>1</v>
      </c>
      <c r="F25" s="173" t="s">
        <v>546</v>
      </c>
      <c r="G25" s="173"/>
      <c r="H25" s="173"/>
      <c r="I25" s="173"/>
      <c r="J25" s="173" t="s">
        <v>547</v>
      </c>
      <c r="K25" s="173"/>
      <c r="L25" s="173"/>
      <c r="M25" s="173"/>
      <c r="N25" s="173" t="s">
        <v>548</v>
      </c>
      <c r="O25" s="173"/>
      <c r="P25" s="173"/>
      <c r="Q25" s="173"/>
      <c r="R25" s="173" t="s">
        <v>549</v>
      </c>
      <c r="S25" s="173"/>
      <c r="T25" s="173"/>
      <c r="U25" s="173"/>
      <c r="V25" s="173"/>
      <c r="W25" s="173" t="s">
        <v>540</v>
      </c>
      <c r="X25" s="173"/>
      <c r="Y25" s="173"/>
      <c r="Z25" s="173"/>
      <c r="AA25" s="173"/>
      <c r="AB25" s="173"/>
      <c r="AC25" s="173"/>
      <c r="AD25" s="175"/>
      <c r="AE25" s="69"/>
      <c r="AF25" s="294" t="s">
        <v>130</v>
      </c>
      <c r="AG25" s="299" t="s">
        <v>580</v>
      </c>
      <c r="AH25" s="294"/>
      <c r="AI25" s="295">
        <f>'ISIAN DATA'!E17</f>
        <v>0</v>
      </c>
      <c r="AJ25" s="295">
        <f>'ISIAN DATA'!F17</f>
        <v>0</v>
      </c>
      <c r="AK25" s="295">
        <f>'ISIAN DATA'!G17</f>
        <v>0</v>
      </c>
      <c r="AL25" s="295">
        <f>'ISIAN DATA'!H17</f>
        <v>0</v>
      </c>
      <c r="AM25" s="295" t="str">
        <f ca="1">'ISIAN DATA'!I17</f>
        <v/>
      </c>
    </row>
    <row r="26" spans="1:40" ht="12.75" customHeight="1">
      <c r="A26" s="172" t="s">
        <v>134</v>
      </c>
      <c r="B26" s="173" t="s">
        <v>550</v>
      </c>
      <c r="C26" s="173"/>
      <c r="D26" s="174" t="s">
        <v>10</v>
      </c>
      <c r="E26" s="108">
        <f>AI26</f>
        <v>1</v>
      </c>
      <c r="F26" s="173" t="s">
        <v>111</v>
      </c>
      <c r="G26" s="173" t="s">
        <v>115</v>
      </c>
      <c r="H26" s="173" t="s">
        <v>118</v>
      </c>
      <c r="I26" s="173" t="s">
        <v>121</v>
      </c>
      <c r="J26" s="173" t="s">
        <v>551</v>
      </c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5"/>
      <c r="AE26" s="69"/>
      <c r="AF26" s="294" t="s">
        <v>134</v>
      </c>
      <c r="AG26" s="299" t="s">
        <v>550</v>
      </c>
      <c r="AH26" s="294"/>
      <c r="AI26" s="295">
        <f>'ISIAN DATA'!E18</f>
        <v>1</v>
      </c>
      <c r="AJ26" s="295">
        <f>'ISIAN DATA'!F18</f>
        <v>0</v>
      </c>
      <c r="AK26" s="295">
        <f>'ISIAN DATA'!G18</f>
        <v>0</v>
      </c>
      <c r="AL26" s="295">
        <f>'ISIAN DATA'!H18</f>
        <v>0</v>
      </c>
      <c r="AM26" s="295" t="str">
        <f ca="1">'ISIAN DATA'!I18</f>
        <v/>
      </c>
    </row>
    <row r="27" spans="1:40" ht="12.75" customHeight="1">
      <c r="A27" s="172" t="s">
        <v>137</v>
      </c>
      <c r="B27" s="173" t="s">
        <v>552</v>
      </c>
      <c r="C27" s="173"/>
      <c r="D27" s="174" t="s">
        <v>10</v>
      </c>
      <c r="E27" s="108">
        <v>2</v>
      </c>
      <c r="F27" s="173" t="s">
        <v>438</v>
      </c>
      <c r="G27" s="173"/>
      <c r="H27" s="173"/>
      <c r="I27" s="173"/>
      <c r="J27" s="173" t="s">
        <v>553</v>
      </c>
      <c r="K27" s="173"/>
      <c r="L27" s="173"/>
      <c r="M27" s="173"/>
      <c r="N27" s="173" t="s">
        <v>554</v>
      </c>
      <c r="O27" s="173"/>
      <c r="P27" s="173"/>
      <c r="Q27" s="173"/>
      <c r="R27" s="173" t="s">
        <v>441</v>
      </c>
      <c r="S27" s="173"/>
      <c r="T27" s="173"/>
      <c r="U27" s="173"/>
      <c r="V27" s="173"/>
      <c r="W27" s="183"/>
      <c r="X27" s="173"/>
      <c r="Y27" s="173"/>
      <c r="Z27" s="173"/>
      <c r="AA27" s="173"/>
      <c r="AB27" s="173"/>
      <c r="AC27" s="173"/>
      <c r="AD27" s="175"/>
      <c r="AE27" s="69"/>
      <c r="AF27" s="294" t="s">
        <v>137</v>
      </c>
      <c r="AG27" s="299" t="s">
        <v>552</v>
      </c>
      <c r="AH27" s="294"/>
      <c r="AI27" s="295" t="str">
        <f>'ISIAN DATA'!E19</f>
        <v xml:space="preserve">                    </v>
      </c>
      <c r="AJ27" s="295">
        <f>'ISIAN DATA'!F19</f>
        <v>0</v>
      </c>
      <c r="AK27" s="295">
        <f>'ISIAN DATA'!G19</f>
        <v>0</v>
      </c>
      <c r="AL27" s="295">
        <f>'ISIAN DATA'!H19</f>
        <v>0</v>
      </c>
      <c r="AM27" s="295" t="str">
        <f ca="1">'ISIAN DATA'!I19</f>
        <v/>
      </c>
    </row>
    <row r="28" spans="1:40" ht="12.75" customHeight="1">
      <c r="A28" s="172" t="s">
        <v>145</v>
      </c>
      <c r="B28" s="173" t="s">
        <v>555</v>
      </c>
      <c r="C28" s="173"/>
      <c r="D28" s="174" t="s">
        <v>10</v>
      </c>
      <c r="E28" s="108" t="str">
        <f t="shared" ref="E28:H28" si="9">MID($AI$28,COLUMNS($AI$28:AI28),1)</f>
        <v>3</v>
      </c>
      <c r="F28" s="108" t="str">
        <f t="shared" si="9"/>
        <v>0</v>
      </c>
      <c r="G28" s="108" t="str">
        <f t="shared" si="9"/>
        <v>0</v>
      </c>
      <c r="H28" s="108" t="str">
        <f t="shared" si="9"/>
        <v>0</v>
      </c>
      <c r="I28" s="173" t="s">
        <v>556</v>
      </c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5"/>
      <c r="AE28" s="69"/>
      <c r="AF28" s="294" t="s">
        <v>145</v>
      </c>
      <c r="AG28" s="294" t="s">
        <v>555</v>
      </c>
      <c r="AH28" s="294" t="s">
        <v>582</v>
      </c>
      <c r="AI28" s="295" t="str">
        <f>'ISIAN DATA'!E20</f>
        <v>3000</v>
      </c>
      <c r="AJ28" s="295">
        <f>'ISIAN DATA'!F20</f>
        <v>0</v>
      </c>
      <c r="AK28" s="295">
        <f>'ISIAN DATA'!G20</f>
        <v>0</v>
      </c>
      <c r="AL28" s="295">
        <f>'ISIAN DATA'!H20</f>
        <v>0</v>
      </c>
      <c r="AM28" s="295" t="str">
        <f ca="1">'ISIAN DATA'!I20</f>
        <v/>
      </c>
    </row>
    <row r="29" spans="1:40" ht="12.75" customHeight="1">
      <c r="A29" s="172" t="s">
        <v>424</v>
      </c>
      <c r="B29" s="173" t="s">
        <v>557</v>
      </c>
      <c r="C29" s="173"/>
      <c r="D29" s="174" t="s">
        <v>10</v>
      </c>
      <c r="E29" s="108" t="str">
        <f t="shared" ref="E29:F29" si="10">MID($AI$29,COLUMNS($AI$29:AI29),1)</f>
        <v>4</v>
      </c>
      <c r="F29" s="108" t="str">
        <f t="shared" si="10"/>
        <v>8</v>
      </c>
      <c r="G29" s="174" t="s">
        <v>558</v>
      </c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5"/>
      <c r="AE29" s="69"/>
      <c r="AF29" s="294" t="s">
        <v>424</v>
      </c>
      <c r="AG29" s="294" t="s">
        <v>557</v>
      </c>
      <c r="AH29" s="294"/>
      <c r="AI29" s="295">
        <f>'ISIAN DATA'!E21</f>
        <v>48</v>
      </c>
      <c r="AJ29" s="295">
        <f>'ISIAN DATA'!F21</f>
        <v>0</v>
      </c>
      <c r="AK29" s="295">
        <f>'ISIAN DATA'!G21</f>
        <v>0</v>
      </c>
      <c r="AL29" s="295">
        <f>'ISIAN DATA'!H21</f>
        <v>0</v>
      </c>
      <c r="AM29" s="295" t="str">
        <f ca="1">'ISIAN DATA'!I21</f>
        <v/>
      </c>
    </row>
    <row r="30" spans="1:40" ht="12.75" customHeight="1" thickBot="1">
      <c r="A30" s="184"/>
      <c r="B30" s="125"/>
      <c r="C30" s="125"/>
      <c r="D30" s="126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85"/>
      <c r="AE30" s="125"/>
      <c r="AF30" s="294"/>
      <c r="AG30" s="294"/>
      <c r="AH30" s="294"/>
      <c r="AI30" s="295">
        <f>'ISIAN DATA'!E22</f>
        <v>0</v>
      </c>
      <c r="AJ30" s="295">
        <f>'ISIAN DATA'!F22</f>
        <v>0</v>
      </c>
      <c r="AK30" s="295">
        <f>'ISIAN DATA'!G22</f>
        <v>0</v>
      </c>
      <c r="AL30" s="295">
        <f>'ISIAN DATA'!H22</f>
        <v>0</v>
      </c>
      <c r="AM30" s="295" t="str">
        <f ca="1">'ISIAN DATA'!I22</f>
        <v/>
      </c>
    </row>
    <row r="31" spans="1:40" ht="12.75" customHeight="1">
      <c r="A31" s="186" t="s">
        <v>449</v>
      </c>
      <c r="B31" s="173"/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5"/>
      <c r="AE31" s="69"/>
      <c r="AF31" s="298" t="s">
        <v>449</v>
      </c>
      <c r="AG31" s="294"/>
      <c r="AH31" s="294"/>
      <c r="AI31" s="295">
        <f>'ISIAN DATA'!E23</f>
        <v>0</v>
      </c>
      <c r="AJ31" s="295">
        <f>'ISIAN DATA'!F23</f>
        <v>0</v>
      </c>
      <c r="AK31" s="295">
        <f>'ISIAN DATA'!G23</f>
        <v>0</v>
      </c>
      <c r="AL31" s="295">
        <f>'ISIAN DATA'!H23</f>
        <v>0</v>
      </c>
      <c r="AM31" s="295" t="str">
        <f ca="1">'ISIAN DATA'!I23</f>
        <v/>
      </c>
    </row>
    <row r="32" spans="1:40" ht="12.75" customHeight="1">
      <c r="A32" s="172" t="s">
        <v>111</v>
      </c>
      <c r="B32" s="173" t="s">
        <v>340</v>
      </c>
      <c r="C32" s="173"/>
      <c r="D32" s="174" t="s">
        <v>10</v>
      </c>
      <c r="E32" s="108" t="str">
        <f t="shared" ref="E32:U32" si="11">MID($AI$32,COLUMNS($AI$32:AI32),1)</f>
        <v>3</v>
      </c>
      <c r="F32" s="108" t="str">
        <f t="shared" si="11"/>
        <v>3</v>
      </c>
      <c r="G32" s="108" t="str">
        <f t="shared" si="11"/>
        <v>2</v>
      </c>
      <c r="H32" s="108" t="str">
        <f t="shared" si="11"/>
        <v>7</v>
      </c>
      <c r="I32" s="108" t="str">
        <f t="shared" si="11"/>
        <v>0</v>
      </c>
      <c r="J32" s="108" t="str">
        <f t="shared" si="11"/>
        <v>4</v>
      </c>
      <c r="K32" s="108" t="str">
        <f t="shared" si="11"/>
        <v>7</v>
      </c>
      <c r="L32" s="108" t="str">
        <f t="shared" si="11"/>
        <v>1</v>
      </c>
      <c r="M32" s="108" t="str">
        <f t="shared" si="11"/>
        <v>0</v>
      </c>
      <c r="N32" s="108" t="str">
        <f t="shared" si="11"/>
        <v>3</v>
      </c>
      <c r="O32" s="108" t="str">
        <f t="shared" si="11"/>
        <v>9</v>
      </c>
      <c r="P32" s="108" t="str">
        <f t="shared" si="11"/>
        <v>6</v>
      </c>
      <c r="Q32" s="108" t="str">
        <f t="shared" si="11"/>
        <v>0</v>
      </c>
      <c r="R32" s="108" t="str">
        <f t="shared" si="11"/>
        <v>0</v>
      </c>
      <c r="S32" s="108" t="str">
        <f t="shared" si="11"/>
        <v>0</v>
      </c>
      <c r="T32" s="108" t="str">
        <f t="shared" si="11"/>
        <v>2</v>
      </c>
      <c r="U32" s="108" t="str">
        <f t="shared" si="11"/>
        <v/>
      </c>
      <c r="V32" s="174"/>
      <c r="W32" s="174"/>
      <c r="X32" s="174"/>
      <c r="Y32" s="174"/>
      <c r="Z32" s="174"/>
      <c r="AA32" s="174"/>
      <c r="AB32" s="174"/>
      <c r="AC32" s="174"/>
      <c r="AD32" s="175"/>
      <c r="AE32" s="69"/>
      <c r="AF32" s="294" t="s">
        <v>111</v>
      </c>
      <c r="AG32" s="294" t="s">
        <v>340</v>
      </c>
      <c r="AH32" s="294"/>
      <c r="AI32" s="295" t="str">
        <f>'ISIAN DATA'!E24</f>
        <v>3327047103960002</v>
      </c>
      <c r="AJ32" s="295">
        <f>'ISIAN DATA'!F24</f>
        <v>0</v>
      </c>
      <c r="AK32" s="295">
        <f>'ISIAN DATA'!G24</f>
        <v>0</v>
      </c>
      <c r="AL32" s="295">
        <f>'ISIAN DATA'!H24</f>
        <v>0</v>
      </c>
      <c r="AM32" s="295" t="str">
        <f ca="1">'ISIAN DATA'!I24</f>
        <v/>
      </c>
    </row>
    <row r="33" spans="1:40" ht="12.75" customHeight="1">
      <c r="A33" s="172" t="s">
        <v>115</v>
      </c>
      <c r="B33" s="173" t="s">
        <v>391</v>
      </c>
      <c r="C33" s="173"/>
      <c r="D33" s="174" t="s">
        <v>10</v>
      </c>
      <c r="E33" s="108" t="str">
        <f t="shared" ref="E33:W33" si="12">MID($AI$33,COLUMNS($AI$33:AI33),1)</f>
        <v>K</v>
      </c>
      <c r="F33" s="108" t="str">
        <f t="shared" si="12"/>
        <v>H</v>
      </c>
      <c r="G33" s="108" t="str">
        <f t="shared" si="12"/>
        <v>A</v>
      </c>
      <c r="H33" s="108" t="str">
        <f t="shared" si="12"/>
        <v>F</v>
      </c>
      <c r="I33" s="108" t="str">
        <f t="shared" si="12"/>
        <v>S</v>
      </c>
      <c r="J33" s="108" t="str">
        <f t="shared" si="12"/>
        <v>O</v>
      </c>
      <c r="K33" s="108" t="str">
        <f t="shared" si="12"/>
        <v>H</v>
      </c>
      <c r="L33" s="108" t="str">
        <f t="shared" si="12"/>
        <v/>
      </c>
      <c r="M33" s="108" t="str">
        <f t="shared" si="12"/>
        <v/>
      </c>
      <c r="N33" s="108" t="str">
        <f t="shared" si="12"/>
        <v/>
      </c>
      <c r="O33" s="108" t="str">
        <f t="shared" si="12"/>
        <v/>
      </c>
      <c r="P33" s="108" t="str">
        <f t="shared" si="12"/>
        <v/>
      </c>
      <c r="Q33" s="108" t="str">
        <f t="shared" si="12"/>
        <v/>
      </c>
      <c r="R33" s="108" t="str">
        <f t="shared" si="12"/>
        <v/>
      </c>
      <c r="S33" s="108" t="str">
        <f t="shared" si="12"/>
        <v/>
      </c>
      <c r="T33" s="108" t="str">
        <f t="shared" si="12"/>
        <v/>
      </c>
      <c r="U33" s="108" t="str">
        <f t="shared" si="12"/>
        <v/>
      </c>
      <c r="V33" s="108" t="str">
        <f t="shared" si="12"/>
        <v/>
      </c>
      <c r="W33" s="108" t="str">
        <f t="shared" si="12"/>
        <v/>
      </c>
      <c r="X33" s="108"/>
      <c r="Y33" s="108"/>
      <c r="Z33" s="108"/>
      <c r="AA33" s="108"/>
      <c r="AB33" s="108"/>
      <c r="AC33" s="108"/>
      <c r="AD33" s="175"/>
      <c r="AE33" s="69"/>
      <c r="AF33" s="294" t="s">
        <v>115</v>
      </c>
      <c r="AG33" s="294" t="s">
        <v>391</v>
      </c>
      <c r="AH33" s="294"/>
      <c r="AI33" s="295" t="str">
        <f>'ISIAN DATA'!E25</f>
        <v>KHAFSOH</v>
      </c>
      <c r="AJ33" s="295" t="str">
        <f>'ISIAN DATA'!F25</f>
        <v>TGL</v>
      </c>
      <c r="AK33" s="295" t="str">
        <f>'ISIAN DATA'!G25</f>
        <v>BLN</v>
      </c>
      <c r="AL33" s="295" t="str">
        <f>'ISIAN DATA'!H25</f>
        <v>THN</v>
      </c>
      <c r="AM33" s="295" t="str">
        <f>'ISIAN DATA'!I25</f>
        <v>UMUR</v>
      </c>
    </row>
    <row r="34" spans="1:40" ht="12.75" customHeight="1">
      <c r="A34" s="172" t="s">
        <v>118</v>
      </c>
      <c r="B34" s="173" t="s">
        <v>559</v>
      </c>
      <c r="C34" s="173"/>
      <c r="D34" s="174" t="s">
        <v>10</v>
      </c>
      <c r="E34" s="174" t="s">
        <v>397</v>
      </c>
      <c r="F34" s="129" t="str">
        <f t="shared" ref="F34:G34" si="13">MID($AJ$34,COLUMNS($AJ$34:AJ34),1)</f>
        <v>3</v>
      </c>
      <c r="G34" s="129" t="str">
        <f t="shared" si="13"/>
        <v>1</v>
      </c>
      <c r="H34" s="174"/>
      <c r="I34" s="174" t="s">
        <v>398</v>
      </c>
      <c r="J34" s="108" t="str">
        <f t="shared" ref="J34:K34" si="14">MID($AK$34,COLUMNS($AK$34:AK34),1)</f>
        <v>0</v>
      </c>
      <c r="K34" s="108" t="str">
        <f t="shared" si="14"/>
        <v>3</v>
      </c>
      <c r="L34" s="174"/>
      <c r="M34" s="174" t="s">
        <v>560</v>
      </c>
      <c r="N34" s="108" t="str">
        <f t="shared" ref="N34:Q34" si="15">MID($AL$34,COLUMNS($AL$34:AL34),1)</f>
        <v>1</v>
      </c>
      <c r="O34" s="108" t="str">
        <f t="shared" si="15"/>
        <v>9</v>
      </c>
      <c r="P34" s="108" t="str">
        <f t="shared" si="15"/>
        <v>9</v>
      </c>
      <c r="Q34" s="108" t="str">
        <f t="shared" si="15"/>
        <v>6</v>
      </c>
      <c r="R34" s="174"/>
      <c r="S34" s="174" t="s">
        <v>359</v>
      </c>
      <c r="T34" s="174"/>
      <c r="U34" s="108" t="str">
        <f t="shared" ref="U34:V34" ca="1" si="16">MID($AM$34,COLUMNS($AM$34:AM34),1)</f>
        <v>3</v>
      </c>
      <c r="V34" s="108" t="str">
        <f t="shared" ca="1" si="16"/>
        <v>0</v>
      </c>
      <c r="W34" s="174"/>
      <c r="X34" s="174"/>
      <c r="Y34" s="174"/>
      <c r="Z34" s="174"/>
      <c r="AA34" s="174"/>
      <c r="AB34" s="174"/>
      <c r="AC34" s="174"/>
      <c r="AD34" s="175"/>
      <c r="AE34" s="69"/>
      <c r="AF34" s="294" t="s">
        <v>118</v>
      </c>
      <c r="AG34" s="294" t="s">
        <v>559</v>
      </c>
      <c r="AH34" s="294"/>
      <c r="AI34" s="295">
        <f>'ISIAN DATA'!E26</f>
        <v>0</v>
      </c>
      <c r="AJ34" s="295" t="str">
        <f>'ISIAN DATA'!F26</f>
        <v>31</v>
      </c>
      <c r="AK34" s="295" t="str">
        <f>'ISIAN DATA'!G26</f>
        <v>03</v>
      </c>
      <c r="AL34" s="295">
        <f>'ISIAN DATA'!H26</f>
        <v>1996</v>
      </c>
      <c r="AM34" s="295">
        <f ca="1">'ISIAN DATA'!I26</f>
        <v>30</v>
      </c>
    </row>
    <row r="35" spans="1:40" ht="12.75" customHeight="1">
      <c r="A35" s="172" t="s">
        <v>121</v>
      </c>
      <c r="B35" s="173" t="s">
        <v>128</v>
      </c>
      <c r="C35" s="173"/>
      <c r="D35" s="174" t="s">
        <v>10</v>
      </c>
      <c r="E35" s="129">
        <v>0</v>
      </c>
      <c r="F35" s="129">
        <v>1</v>
      </c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5"/>
      <c r="AE35" s="69"/>
      <c r="AF35" s="294" t="s">
        <v>121</v>
      </c>
      <c r="AG35" s="294" t="s">
        <v>128</v>
      </c>
      <c r="AH35" s="294"/>
      <c r="AI35" s="295" t="str">
        <f>'ISIAN DATA'!E27</f>
        <v>01</v>
      </c>
      <c r="AJ35" s="295">
        <f>'ISIAN DATA'!F27</f>
        <v>0</v>
      </c>
      <c r="AK35" s="295">
        <f>'ISIAN DATA'!G27</f>
        <v>0</v>
      </c>
      <c r="AL35" s="295">
        <f>'ISIAN DATA'!H27</f>
        <v>0</v>
      </c>
      <c r="AM35" s="295" t="str">
        <f ca="1">'ISIAN DATA'!I27</f>
        <v/>
      </c>
    </row>
    <row r="36" spans="1:40" ht="12.75" customHeight="1">
      <c r="A36" s="172" t="s">
        <v>124</v>
      </c>
      <c r="B36" s="173" t="s">
        <v>345</v>
      </c>
      <c r="C36" s="173"/>
      <c r="D36" s="174" t="s">
        <v>10</v>
      </c>
      <c r="E36" s="257" t="str">
        <f>AI36</f>
        <v>RT 004 / 004 DESA TAMBI</v>
      </c>
      <c r="F36" s="258"/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  <c r="U36" s="258"/>
      <c r="V36" s="258"/>
      <c r="W36" s="258"/>
      <c r="X36" s="258"/>
      <c r="Y36" s="258"/>
      <c r="Z36" s="258"/>
      <c r="AA36" s="258"/>
      <c r="AB36" s="258"/>
      <c r="AC36" s="258"/>
      <c r="AD36" s="175"/>
      <c r="AE36" s="69"/>
      <c r="AF36" s="294" t="s">
        <v>124</v>
      </c>
      <c r="AG36" s="294" t="s">
        <v>345</v>
      </c>
      <c r="AH36" s="294"/>
      <c r="AI36" s="295" t="str">
        <f>'ISIAN DATA'!E28</f>
        <v>RT 004 / 004 DESA TAMBI</v>
      </c>
      <c r="AJ36" s="295">
        <f>'ISIAN DATA'!F28</f>
        <v>0</v>
      </c>
      <c r="AK36" s="295">
        <f>'ISIAN DATA'!G28</f>
        <v>0</v>
      </c>
      <c r="AL36" s="295">
        <f>'ISIAN DATA'!H28</f>
        <v>0</v>
      </c>
      <c r="AM36" s="295" t="str">
        <f ca="1">'ISIAN DATA'!I28</f>
        <v/>
      </c>
    </row>
    <row r="37" spans="1:40" ht="12.75" customHeight="1">
      <c r="A37" s="172"/>
      <c r="B37" s="173"/>
      <c r="C37" s="173"/>
      <c r="D37" s="174"/>
      <c r="E37" s="173" t="s">
        <v>561</v>
      </c>
      <c r="F37" s="173"/>
      <c r="G37" s="173"/>
      <c r="H37" s="173"/>
      <c r="I37" s="173"/>
      <c r="J37" s="257" t="s">
        <v>102</v>
      </c>
      <c r="K37" s="258"/>
      <c r="L37" s="258"/>
      <c r="M37" s="258"/>
      <c r="N37" s="259"/>
      <c r="O37" s="187"/>
      <c r="P37" s="187" t="s">
        <v>562</v>
      </c>
      <c r="Q37" s="187"/>
      <c r="R37" s="187"/>
      <c r="S37" s="187"/>
      <c r="T37" s="257" t="s">
        <v>106</v>
      </c>
      <c r="U37" s="258"/>
      <c r="V37" s="258"/>
      <c r="W37" s="258"/>
      <c r="X37" s="259"/>
      <c r="Y37" s="173"/>
      <c r="Z37" s="173"/>
      <c r="AA37" s="173"/>
      <c r="AB37" s="173"/>
      <c r="AC37" s="173"/>
      <c r="AD37" s="175"/>
      <c r="AE37" s="69"/>
      <c r="AF37" s="294"/>
      <c r="AG37" s="294"/>
      <c r="AH37" s="294"/>
      <c r="AI37" s="295">
        <f>'ISIAN DATA'!E29</f>
        <v>0</v>
      </c>
      <c r="AJ37" s="295">
        <f>'ISIAN DATA'!F29</f>
        <v>0</v>
      </c>
      <c r="AK37" s="295">
        <f>'ISIAN DATA'!G29</f>
        <v>0</v>
      </c>
      <c r="AL37" s="295">
        <f>'ISIAN DATA'!H29</f>
        <v>0</v>
      </c>
      <c r="AM37" s="295" t="str">
        <f ca="1">'ISIAN DATA'!I29</f>
        <v/>
      </c>
    </row>
    <row r="38" spans="1:40" ht="12.75" customHeight="1">
      <c r="A38" s="172"/>
      <c r="B38" s="173"/>
      <c r="C38" s="173"/>
      <c r="D38" s="174"/>
      <c r="E38" s="173" t="s">
        <v>563</v>
      </c>
      <c r="F38" s="173"/>
      <c r="G38" s="173"/>
      <c r="H38" s="173"/>
      <c r="I38" s="173"/>
      <c r="J38" s="257" t="s">
        <v>104</v>
      </c>
      <c r="K38" s="258"/>
      <c r="L38" s="258"/>
      <c r="M38" s="258"/>
      <c r="N38" s="259"/>
      <c r="O38" s="187"/>
      <c r="P38" s="187" t="s">
        <v>417</v>
      </c>
      <c r="Q38" s="187"/>
      <c r="R38" s="187"/>
      <c r="S38" s="187"/>
      <c r="T38" s="257" t="s">
        <v>418</v>
      </c>
      <c r="U38" s="258"/>
      <c r="V38" s="258"/>
      <c r="W38" s="258"/>
      <c r="X38" s="259"/>
      <c r="Y38" s="173"/>
      <c r="Z38" s="173"/>
      <c r="AA38" s="173"/>
      <c r="AB38" s="173"/>
      <c r="AC38" s="173"/>
      <c r="AD38" s="175"/>
      <c r="AE38" s="69"/>
      <c r="AF38" s="294"/>
      <c r="AG38" s="294"/>
      <c r="AH38" s="294"/>
      <c r="AI38" s="295">
        <f>'ISIAN DATA'!E30</f>
        <v>0</v>
      </c>
      <c r="AJ38" s="295">
        <f>'ISIAN DATA'!F30</f>
        <v>0</v>
      </c>
      <c r="AK38" s="295">
        <f>'ISIAN DATA'!G30</f>
        <v>0</v>
      </c>
      <c r="AL38" s="295">
        <f>'ISIAN DATA'!H30</f>
        <v>0</v>
      </c>
      <c r="AM38" s="295" t="str">
        <f ca="1">'ISIAN DATA'!I30</f>
        <v/>
      </c>
    </row>
    <row r="39" spans="1:40" ht="12.75" customHeight="1">
      <c r="A39" s="172" t="s">
        <v>127</v>
      </c>
      <c r="B39" s="173" t="s">
        <v>564</v>
      </c>
      <c r="C39" s="173"/>
      <c r="D39" s="174" t="s">
        <v>10</v>
      </c>
      <c r="E39" s="108" t="s">
        <v>111</v>
      </c>
      <c r="F39" s="174"/>
      <c r="G39" s="174" t="s">
        <v>565</v>
      </c>
      <c r="H39" s="174"/>
      <c r="I39" s="174"/>
      <c r="J39" s="174" t="s">
        <v>566</v>
      </c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3"/>
      <c r="V39" s="173"/>
      <c r="W39" s="173"/>
      <c r="X39" s="173"/>
      <c r="Y39" s="173"/>
      <c r="Z39" s="173"/>
      <c r="AA39" s="173"/>
      <c r="AB39" s="173"/>
      <c r="AC39" s="173"/>
      <c r="AD39" s="175"/>
      <c r="AE39" s="69"/>
      <c r="AF39" s="294" t="s">
        <v>127</v>
      </c>
      <c r="AG39" s="299" t="s">
        <v>564</v>
      </c>
      <c r="AH39" s="294"/>
      <c r="AI39" s="295">
        <f>'ISIAN DATA'!E31</f>
        <v>0</v>
      </c>
      <c r="AJ39" s="295">
        <f>'ISIAN DATA'!F31</f>
        <v>0</v>
      </c>
      <c r="AK39" s="295">
        <f>'ISIAN DATA'!G31</f>
        <v>0</v>
      </c>
      <c r="AL39" s="295">
        <f>'ISIAN DATA'!H31</f>
        <v>0</v>
      </c>
      <c r="AM39" s="295" t="str">
        <f ca="1">'ISIAN DATA'!I31</f>
        <v/>
      </c>
    </row>
    <row r="40" spans="1:40" ht="12.75" customHeight="1">
      <c r="A40" s="172" t="s">
        <v>130</v>
      </c>
      <c r="B40" s="173" t="s">
        <v>567</v>
      </c>
      <c r="C40" s="173"/>
      <c r="D40" s="174" t="s">
        <v>10</v>
      </c>
      <c r="E40" s="257" t="s">
        <v>568</v>
      </c>
      <c r="F40" s="258"/>
      <c r="G40" s="258"/>
      <c r="H40" s="258"/>
      <c r="I40" s="259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3"/>
      <c r="V40" s="173"/>
      <c r="W40" s="173"/>
      <c r="X40" s="173"/>
      <c r="Y40" s="173"/>
      <c r="Z40" s="173"/>
      <c r="AA40" s="173"/>
      <c r="AB40" s="173"/>
      <c r="AC40" s="173"/>
      <c r="AD40" s="175"/>
      <c r="AE40" s="69"/>
      <c r="AF40" s="294" t="s">
        <v>130</v>
      </c>
      <c r="AG40" s="294" t="s">
        <v>567</v>
      </c>
      <c r="AH40" s="294"/>
      <c r="AI40" s="295" t="str">
        <f>'ISIAN DATA'!E32</f>
        <v>INDONESIA</v>
      </c>
      <c r="AJ40" s="295">
        <f>'ISIAN DATA'!F32</f>
        <v>0</v>
      </c>
      <c r="AK40" s="295">
        <f>'ISIAN DATA'!G32</f>
        <v>0</v>
      </c>
      <c r="AL40" s="295">
        <f>'ISIAN DATA'!H32</f>
        <v>0</v>
      </c>
      <c r="AM40" s="295" t="str">
        <f ca="1">'ISIAN DATA'!I32</f>
        <v/>
      </c>
    </row>
    <row r="41" spans="1:40" ht="12.75" customHeight="1">
      <c r="A41" s="172" t="s">
        <v>134</v>
      </c>
      <c r="B41" s="173" t="s">
        <v>569</v>
      </c>
      <c r="C41" s="173"/>
      <c r="D41" s="174" t="s">
        <v>10</v>
      </c>
      <c r="E41" s="174" t="s">
        <v>570</v>
      </c>
      <c r="F41" s="174"/>
      <c r="G41" s="108" t="str">
        <f t="shared" ref="G41:H41" si="17">MID($AJ$42,COLUMNS($AJ$42:AJ42),1)</f>
        <v>1</v>
      </c>
      <c r="H41" s="108" t="str">
        <f t="shared" si="17"/>
        <v>0</v>
      </c>
      <c r="I41" s="174"/>
      <c r="J41" s="174"/>
      <c r="K41" s="174"/>
      <c r="L41" s="108" t="str">
        <f t="shared" ref="L41:M41" si="18">MID($AK$42,COLUMNS($AK$42:AK42),1)</f>
        <v>0</v>
      </c>
      <c r="M41" s="108" t="str">
        <f t="shared" si="18"/>
        <v>8</v>
      </c>
      <c r="N41" s="174"/>
      <c r="O41" s="174"/>
      <c r="P41" s="174"/>
      <c r="Q41" s="108" t="str">
        <f t="shared" ref="Q41:T41" si="19">MID($AL$42,COLUMNS($AL$42:AL42),1)</f>
        <v>2</v>
      </c>
      <c r="R41" s="108" t="str">
        <f t="shared" si="19"/>
        <v>0</v>
      </c>
      <c r="S41" s="108" t="str">
        <f t="shared" si="19"/>
        <v>2</v>
      </c>
      <c r="T41" s="108" t="str">
        <f t="shared" si="19"/>
        <v>0</v>
      </c>
      <c r="U41" s="173"/>
      <c r="V41" s="173"/>
      <c r="W41" s="173"/>
      <c r="X41" s="173"/>
      <c r="Y41" s="173"/>
      <c r="Z41" s="173"/>
      <c r="AA41" s="173"/>
      <c r="AB41" s="173"/>
      <c r="AC41" s="173"/>
      <c r="AD41" s="175"/>
      <c r="AE41" s="69"/>
      <c r="AF41" s="294" t="s">
        <v>134</v>
      </c>
      <c r="AG41" s="294" t="s">
        <v>569</v>
      </c>
      <c r="AH41" s="294"/>
      <c r="AI41" s="295">
        <f>'ISIAN DATA'!E33</f>
        <v>0</v>
      </c>
      <c r="AJ41" s="295" t="str">
        <f>'ISIAN DATA'!F33</f>
        <v>TGL</v>
      </c>
      <c r="AK41" s="295" t="str">
        <f>'ISIAN DATA'!G33</f>
        <v>BLN</v>
      </c>
      <c r="AL41" s="295" t="str">
        <f>'ISIAN DATA'!H33</f>
        <v>THN</v>
      </c>
      <c r="AM41" s="295" t="str">
        <f>'ISIAN DATA'!I33</f>
        <v>UMUR</v>
      </c>
      <c r="AN41" s="3"/>
    </row>
    <row r="42" spans="1:40" ht="12.75" customHeight="1" thickBot="1">
      <c r="A42" s="184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85"/>
      <c r="AE42" s="125"/>
      <c r="AF42" s="294"/>
      <c r="AG42" s="294"/>
      <c r="AH42" s="294"/>
      <c r="AI42" s="295">
        <f>'ISIAN DATA'!E34</f>
        <v>0</v>
      </c>
      <c r="AJ42" s="295" t="str">
        <f>'ISIAN DATA'!F34</f>
        <v>10</v>
      </c>
      <c r="AK42" s="295" t="str">
        <f>'ISIAN DATA'!G34</f>
        <v>08</v>
      </c>
      <c r="AL42" s="295" t="str">
        <f>'ISIAN DATA'!H34</f>
        <v>2020</v>
      </c>
      <c r="AM42" s="295">
        <f ca="1">'ISIAN DATA'!I34</f>
        <v>6</v>
      </c>
      <c r="AN42" s="3"/>
    </row>
    <row r="43" spans="1:40" ht="12.75" customHeight="1">
      <c r="A43" s="186" t="s">
        <v>443</v>
      </c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5"/>
      <c r="AE43" s="69"/>
      <c r="AF43" s="298" t="s">
        <v>443</v>
      </c>
      <c r="AG43" s="294"/>
      <c r="AH43" s="294"/>
      <c r="AI43" s="295">
        <f>'ISIAN DATA'!E35</f>
        <v>0</v>
      </c>
      <c r="AJ43" s="295">
        <f>'ISIAN DATA'!F35</f>
        <v>0</v>
      </c>
      <c r="AK43" s="295">
        <f>'ISIAN DATA'!G35</f>
        <v>0</v>
      </c>
      <c r="AL43" s="295">
        <f>'ISIAN DATA'!H35</f>
        <v>0</v>
      </c>
      <c r="AM43" s="295" t="str">
        <f ca="1">'ISIAN DATA'!I35</f>
        <v/>
      </c>
    </row>
    <row r="44" spans="1:40" ht="12.75" customHeight="1">
      <c r="A44" s="172" t="s">
        <v>111</v>
      </c>
      <c r="B44" s="173" t="s">
        <v>340</v>
      </c>
      <c r="C44" s="173"/>
      <c r="D44" s="174" t="s">
        <v>10</v>
      </c>
      <c r="E44" s="108" t="str">
        <f t="shared" ref="E44:U44" si="20">MID($AI$44,COLUMNS($AI$44:AI44),1)</f>
        <v>3</v>
      </c>
      <c r="F44" s="108" t="str">
        <f t="shared" si="20"/>
        <v>3</v>
      </c>
      <c r="G44" s="108" t="str">
        <f t="shared" si="20"/>
        <v>2</v>
      </c>
      <c r="H44" s="108" t="str">
        <f t="shared" si="20"/>
        <v>7</v>
      </c>
      <c r="I44" s="108" t="str">
        <f t="shared" si="20"/>
        <v>0</v>
      </c>
      <c r="J44" s="108" t="str">
        <f t="shared" si="20"/>
        <v>4</v>
      </c>
      <c r="K44" s="108" t="str">
        <f t="shared" si="20"/>
        <v>2</v>
      </c>
      <c r="L44" s="108" t="str">
        <f t="shared" si="20"/>
        <v>5</v>
      </c>
      <c r="M44" s="108" t="str">
        <f t="shared" si="20"/>
        <v>1</v>
      </c>
      <c r="N44" s="108" t="str">
        <f t="shared" si="20"/>
        <v>1</v>
      </c>
      <c r="O44" s="108" t="str">
        <f t="shared" si="20"/>
        <v>9</v>
      </c>
      <c r="P44" s="108" t="str">
        <f t="shared" si="20"/>
        <v>4</v>
      </c>
      <c r="Q44" s="108" t="str">
        <f t="shared" si="20"/>
        <v>0</v>
      </c>
      <c r="R44" s="108" t="str">
        <f t="shared" si="20"/>
        <v>0</v>
      </c>
      <c r="S44" s="108" t="str">
        <f t="shared" si="20"/>
        <v>0</v>
      </c>
      <c r="T44" s="108" t="str">
        <f t="shared" si="20"/>
        <v>3</v>
      </c>
      <c r="U44" s="108" t="str">
        <f t="shared" si="20"/>
        <v/>
      </c>
      <c r="V44" s="174"/>
      <c r="W44" s="174"/>
      <c r="X44" s="174"/>
      <c r="Y44" s="174"/>
      <c r="Z44" s="174"/>
      <c r="AA44" s="174"/>
      <c r="AB44" s="174"/>
      <c r="AC44" s="174"/>
      <c r="AD44" s="175"/>
      <c r="AE44" s="69"/>
      <c r="AF44" s="294" t="s">
        <v>111</v>
      </c>
      <c r="AG44" s="294" t="s">
        <v>340</v>
      </c>
      <c r="AH44" s="294"/>
      <c r="AI44" s="295" t="str">
        <f>'ISIAN DATA'!E36</f>
        <v>3327042511940003</v>
      </c>
      <c r="AJ44" s="295">
        <f>'ISIAN DATA'!F36</f>
        <v>0</v>
      </c>
      <c r="AK44" s="295">
        <f>'ISIAN DATA'!G36</f>
        <v>0</v>
      </c>
      <c r="AL44" s="295">
        <f>'ISIAN DATA'!H36</f>
        <v>0</v>
      </c>
      <c r="AM44" s="295" t="str">
        <f ca="1">'ISIAN DATA'!I36</f>
        <v/>
      </c>
    </row>
    <row r="45" spans="1:40" ht="12.75" customHeight="1">
      <c r="A45" s="172" t="s">
        <v>115</v>
      </c>
      <c r="B45" s="173" t="s">
        <v>391</v>
      </c>
      <c r="C45" s="173"/>
      <c r="D45" s="174" t="s">
        <v>10</v>
      </c>
      <c r="E45" s="108" t="str">
        <f t="shared" ref="E45:AA45" si="21">MID($AI$45,COLUMNS($AI$45:AI45),1)</f>
        <v>B</v>
      </c>
      <c r="F45" s="108" t="str">
        <f t="shared" si="21"/>
        <v>U</v>
      </c>
      <c r="G45" s="108" t="str">
        <f t="shared" si="21"/>
        <v>D</v>
      </c>
      <c r="H45" s="108" t="str">
        <f t="shared" si="21"/>
        <v>I</v>
      </c>
      <c r="I45" s="108" t="str">
        <f t="shared" si="21"/>
        <v>A</v>
      </c>
      <c r="J45" s="108" t="str">
        <f t="shared" si="21"/>
        <v>N</v>
      </c>
      <c r="K45" s="108" t="str">
        <f t="shared" si="21"/>
        <v>T</v>
      </c>
      <c r="L45" s="108" t="str">
        <f t="shared" si="21"/>
        <v>O</v>
      </c>
      <c r="M45" s="108" t="str">
        <f t="shared" si="21"/>
        <v/>
      </c>
      <c r="N45" s="108" t="str">
        <f t="shared" si="21"/>
        <v/>
      </c>
      <c r="O45" s="108" t="str">
        <f t="shared" si="21"/>
        <v/>
      </c>
      <c r="P45" s="108" t="str">
        <f t="shared" si="21"/>
        <v/>
      </c>
      <c r="Q45" s="108" t="str">
        <f t="shared" si="21"/>
        <v/>
      </c>
      <c r="R45" s="108" t="str">
        <f t="shared" si="21"/>
        <v/>
      </c>
      <c r="S45" s="108" t="str">
        <f t="shared" si="21"/>
        <v/>
      </c>
      <c r="T45" s="108" t="str">
        <f t="shared" si="21"/>
        <v/>
      </c>
      <c r="U45" s="108" t="str">
        <f t="shared" si="21"/>
        <v/>
      </c>
      <c r="V45" s="108" t="str">
        <f t="shared" si="21"/>
        <v/>
      </c>
      <c r="W45" s="108" t="str">
        <f t="shared" si="21"/>
        <v/>
      </c>
      <c r="X45" s="108" t="str">
        <f t="shared" si="21"/>
        <v/>
      </c>
      <c r="Y45" s="108" t="str">
        <f t="shared" si="21"/>
        <v/>
      </c>
      <c r="Z45" s="108" t="str">
        <f t="shared" si="21"/>
        <v/>
      </c>
      <c r="AA45" s="108" t="str">
        <f t="shared" si="21"/>
        <v/>
      </c>
      <c r="AB45" s="108"/>
      <c r="AC45" s="108"/>
      <c r="AD45" s="175"/>
      <c r="AE45" s="69"/>
      <c r="AF45" s="294" t="s">
        <v>115</v>
      </c>
      <c r="AG45" s="294" t="s">
        <v>391</v>
      </c>
      <c r="AH45" s="294"/>
      <c r="AI45" s="295" t="str">
        <f>'ISIAN DATA'!E37</f>
        <v>BUDIANTO</v>
      </c>
      <c r="AJ45" s="295">
        <f>'ISIAN DATA'!F37</f>
        <v>0</v>
      </c>
      <c r="AK45" s="295">
        <f>'ISIAN DATA'!G37</f>
        <v>0</v>
      </c>
      <c r="AL45" s="295">
        <f>'ISIAN DATA'!H37</f>
        <v>0</v>
      </c>
      <c r="AM45" s="295" t="str">
        <f ca="1">'ISIAN DATA'!I37</f>
        <v/>
      </c>
    </row>
    <row r="46" spans="1:40" ht="12.75" customHeight="1">
      <c r="A46" s="172" t="s">
        <v>118</v>
      </c>
      <c r="B46" s="173" t="s">
        <v>559</v>
      </c>
      <c r="C46" s="173"/>
      <c r="D46" s="174" t="s">
        <v>10</v>
      </c>
      <c r="E46" s="174" t="s">
        <v>397</v>
      </c>
      <c r="F46" s="129" t="str">
        <f t="shared" ref="F46:G46" si="22">MID($AJ$47,COLUMNS($AJ$47:AJ47),1)</f>
        <v>2</v>
      </c>
      <c r="G46" s="129" t="str">
        <f t="shared" si="22"/>
        <v>5</v>
      </c>
      <c r="H46" s="174"/>
      <c r="I46" s="174" t="s">
        <v>398</v>
      </c>
      <c r="J46" s="108" t="str">
        <f t="shared" ref="J46:K46" si="23">MID($AK$47,COLUMNS($AK$47:AK47),1)</f>
        <v>1</v>
      </c>
      <c r="K46" s="108" t="str">
        <f t="shared" si="23"/>
        <v>1</v>
      </c>
      <c r="L46" s="174"/>
      <c r="M46" s="174" t="s">
        <v>560</v>
      </c>
      <c r="N46" s="108" t="str">
        <f t="shared" ref="N46:Q46" si="24">MID($AL$47,COLUMNS($AL$47:AL47),1)</f>
        <v>1</v>
      </c>
      <c r="O46" s="108" t="str">
        <f t="shared" si="24"/>
        <v>9</v>
      </c>
      <c r="P46" s="108" t="str">
        <f t="shared" si="24"/>
        <v>9</v>
      </c>
      <c r="Q46" s="108" t="str">
        <f t="shared" si="24"/>
        <v>4</v>
      </c>
      <c r="R46" s="174"/>
      <c r="S46" s="174" t="s">
        <v>359</v>
      </c>
      <c r="T46" s="174"/>
      <c r="U46" s="108" t="str">
        <f t="shared" ref="U46:V46" ca="1" si="25">MID($AM$47,COLUMNS($AM$47:AM47),1)</f>
        <v>3</v>
      </c>
      <c r="V46" s="108" t="str">
        <f t="shared" ca="1" si="25"/>
        <v>2</v>
      </c>
      <c r="W46" s="108"/>
      <c r="X46" s="174"/>
      <c r="Y46" s="174"/>
      <c r="Z46" s="174"/>
      <c r="AA46" s="174"/>
      <c r="AB46" s="174"/>
      <c r="AC46" s="174"/>
      <c r="AD46" s="175"/>
      <c r="AE46" s="69"/>
      <c r="AF46" s="294" t="s">
        <v>118</v>
      </c>
      <c r="AG46" s="294" t="s">
        <v>559</v>
      </c>
      <c r="AH46" s="294"/>
      <c r="AI46" s="295">
        <f>'ISIAN DATA'!E38</f>
        <v>0</v>
      </c>
      <c r="AJ46" s="295" t="str">
        <f>'ISIAN DATA'!F38</f>
        <v>TGL</v>
      </c>
      <c r="AK46" s="295" t="str">
        <f>'ISIAN DATA'!G38</f>
        <v>BLN</v>
      </c>
      <c r="AL46" s="295" t="str">
        <f>'ISIAN DATA'!H38</f>
        <v>THN</v>
      </c>
      <c r="AM46" s="295" t="str">
        <f>'ISIAN DATA'!I38</f>
        <v>UMUR</v>
      </c>
      <c r="AN46" s="3"/>
    </row>
    <row r="47" spans="1:40" ht="12.75" customHeight="1">
      <c r="A47" s="172" t="s">
        <v>121</v>
      </c>
      <c r="B47" s="173" t="s">
        <v>128</v>
      </c>
      <c r="C47" s="173"/>
      <c r="D47" s="174" t="s">
        <v>10</v>
      </c>
      <c r="E47" s="129" t="str">
        <f t="shared" ref="E47:F47" si="26">MID($AI$47,COLUMNS($AI$48:AI48),1)</f>
        <v>0</v>
      </c>
      <c r="F47" s="129" t="str">
        <f t="shared" si="26"/>
        <v>9</v>
      </c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5"/>
      <c r="AE47" s="69"/>
      <c r="AF47" s="294" t="s">
        <v>121</v>
      </c>
      <c r="AG47" s="294" t="s">
        <v>128</v>
      </c>
      <c r="AH47" s="294"/>
      <c r="AI47" s="295" t="str">
        <f>'ISIAN DATA'!E39</f>
        <v>09</v>
      </c>
      <c r="AJ47" s="295" t="str">
        <f>'ISIAN DATA'!F39</f>
        <v>25</v>
      </c>
      <c r="AK47" s="295" t="str">
        <f>'ISIAN DATA'!G39</f>
        <v>11</v>
      </c>
      <c r="AL47" s="295" t="str">
        <f>'ISIAN DATA'!H39</f>
        <v>1994</v>
      </c>
      <c r="AM47" s="295">
        <f ca="1">'ISIAN DATA'!I39</f>
        <v>32</v>
      </c>
      <c r="AN47" s="3"/>
    </row>
    <row r="48" spans="1:40" ht="12.75" customHeight="1">
      <c r="A48" s="172" t="s">
        <v>124</v>
      </c>
      <c r="B48" s="173" t="s">
        <v>345</v>
      </c>
      <c r="C48" s="173"/>
      <c r="D48" s="174" t="s">
        <v>10</v>
      </c>
      <c r="E48" s="257" t="str">
        <f>AI48</f>
        <v>RT 004 / 004 DESA TAMBI</v>
      </c>
      <c r="F48" s="258"/>
      <c r="G48" s="258"/>
      <c r="H48" s="258"/>
      <c r="I48" s="258"/>
      <c r="J48" s="258"/>
      <c r="K48" s="258"/>
      <c r="L48" s="258"/>
      <c r="M48" s="258"/>
      <c r="N48" s="258"/>
      <c r="O48" s="258"/>
      <c r="P48" s="258"/>
      <c r="Q48" s="258"/>
      <c r="R48" s="258"/>
      <c r="S48" s="258"/>
      <c r="T48" s="258"/>
      <c r="U48" s="258"/>
      <c r="V48" s="258"/>
      <c r="W48" s="258"/>
      <c r="X48" s="258"/>
      <c r="Y48" s="258"/>
      <c r="Z48" s="258"/>
      <c r="AA48" s="258"/>
      <c r="AB48" s="258"/>
      <c r="AC48" s="259"/>
      <c r="AD48" s="175"/>
      <c r="AE48" s="69"/>
      <c r="AF48" s="294" t="s">
        <v>124</v>
      </c>
      <c r="AG48" s="294" t="s">
        <v>345</v>
      </c>
      <c r="AH48" s="294"/>
      <c r="AI48" s="295" t="str">
        <f>'ISIAN DATA'!E40</f>
        <v>RT 004 / 004 DESA TAMBI</v>
      </c>
      <c r="AJ48" s="300"/>
    </row>
    <row r="49" spans="1:56" ht="12.75" customHeight="1">
      <c r="A49" s="172"/>
      <c r="B49" s="173"/>
      <c r="C49" s="173"/>
      <c r="D49" s="174"/>
      <c r="E49" s="173" t="s">
        <v>561</v>
      </c>
      <c r="F49" s="173"/>
      <c r="G49" s="173"/>
      <c r="H49" s="173"/>
      <c r="I49" s="173"/>
      <c r="J49" s="257" t="s">
        <v>102</v>
      </c>
      <c r="K49" s="258"/>
      <c r="L49" s="258"/>
      <c r="M49" s="258"/>
      <c r="N49" s="259"/>
      <c r="O49" s="187"/>
      <c r="P49" s="187" t="s">
        <v>562</v>
      </c>
      <c r="Q49" s="187"/>
      <c r="R49" s="187"/>
      <c r="S49" s="187"/>
      <c r="T49" s="257" t="s">
        <v>106</v>
      </c>
      <c r="U49" s="258"/>
      <c r="V49" s="258"/>
      <c r="W49" s="258"/>
      <c r="X49" s="259"/>
      <c r="Y49" s="173"/>
      <c r="Z49" s="173"/>
      <c r="AA49" s="173"/>
      <c r="AB49" s="173"/>
      <c r="AC49" s="173"/>
      <c r="AD49" s="175"/>
      <c r="AE49" s="69"/>
      <c r="AF49" s="294"/>
      <c r="AG49" s="294"/>
      <c r="AH49" s="294"/>
      <c r="AI49" s="295">
        <f>'ISIAN DATA'!E41</f>
        <v>0</v>
      </c>
      <c r="AJ49" s="300"/>
    </row>
    <row r="50" spans="1:56" ht="12.75" customHeight="1">
      <c r="A50" s="172"/>
      <c r="B50" s="173"/>
      <c r="C50" s="173"/>
      <c r="D50" s="174"/>
      <c r="E50" s="173" t="s">
        <v>563</v>
      </c>
      <c r="F50" s="173"/>
      <c r="G50" s="173"/>
      <c r="H50" s="173"/>
      <c r="I50" s="173"/>
      <c r="J50" s="257" t="s">
        <v>104</v>
      </c>
      <c r="K50" s="258"/>
      <c r="L50" s="258"/>
      <c r="M50" s="258"/>
      <c r="N50" s="259"/>
      <c r="O50" s="187"/>
      <c r="P50" s="187" t="s">
        <v>417</v>
      </c>
      <c r="Q50" s="187"/>
      <c r="R50" s="187"/>
      <c r="S50" s="187"/>
      <c r="T50" s="257" t="s">
        <v>418</v>
      </c>
      <c r="U50" s="258"/>
      <c r="V50" s="258"/>
      <c r="W50" s="258"/>
      <c r="X50" s="259"/>
      <c r="Y50" s="173"/>
      <c r="Z50" s="173"/>
      <c r="AA50" s="173"/>
      <c r="AB50" s="173"/>
      <c r="AC50" s="173"/>
      <c r="AD50" s="175"/>
      <c r="AE50" s="69"/>
      <c r="AF50" s="294"/>
      <c r="AG50" s="294"/>
      <c r="AH50" s="294"/>
      <c r="AI50" s="295">
        <f>'ISIAN DATA'!E42</f>
        <v>0</v>
      </c>
      <c r="AJ50" s="300"/>
    </row>
    <row r="51" spans="1:56" ht="12.75" customHeight="1">
      <c r="A51" s="172" t="s">
        <v>127</v>
      </c>
      <c r="B51" s="173" t="s">
        <v>564</v>
      </c>
      <c r="C51" s="173"/>
      <c r="D51" s="174" t="s">
        <v>10</v>
      </c>
      <c r="E51" s="108" t="s">
        <v>111</v>
      </c>
      <c r="F51" s="174"/>
      <c r="G51" s="174" t="s">
        <v>565</v>
      </c>
      <c r="H51" s="174"/>
      <c r="I51" s="174"/>
      <c r="J51" s="174" t="s">
        <v>566</v>
      </c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3"/>
      <c r="V51" s="173"/>
      <c r="W51" s="173"/>
      <c r="X51" s="173"/>
      <c r="Y51" s="173"/>
      <c r="Z51" s="173"/>
      <c r="AA51" s="173"/>
      <c r="AB51" s="173"/>
      <c r="AC51" s="173"/>
      <c r="AD51" s="175"/>
      <c r="AE51" s="69"/>
      <c r="AF51" s="294" t="s">
        <v>127</v>
      </c>
      <c r="AG51" s="299" t="s">
        <v>564</v>
      </c>
      <c r="AH51" s="294"/>
      <c r="AI51" s="295">
        <f>'ISIAN DATA'!E43</f>
        <v>0</v>
      </c>
      <c r="AJ51" s="300"/>
    </row>
    <row r="52" spans="1:56" ht="12.75" customHeight="1">
      <c r="A52" s="172" t="s">
        <v>130</v>
      </c>
      <c r="B52" s="173" t="s">
        <v>567</v>
      </c>
      <c r="C52" s="173"/>
      <c r="D52" s="174" t="s">
        <v>10</v>
      </c>
      <c r="E52" s="257" t="s">
        <v>568</v>
      </c>
      <c r="F52" s="258"/>
      <c r="G52" s="258"/>
      <c r="H52" s="258"/>
      <c r="I52" s="259"/>
      <c r="J52" s="174"/>
      <c r="K52" s="174"/>
      <c r="L52" s="174"/>
      <c r="M52" s="174"/>
      <c r="N52" s="174"/>
      <c r="O52" s="174"/>
      <c r="P52" s="265"/>
      <c r="Q52" s="265"/>
      <c r="R52" s="265"/>
      <c r="S52" s="265"/>
      <c r="T52" s="266"/>
      <c r="U52" s="266"/>
      <c r="V52" s="266"/>
      <c r="W52" s="266"/>
      <c r="X52" s="266"/>
      <c r="Y52" s="173"/>
      <c r="Z52" s="173"/>
      <c r="AA52" s="173"/>
      <c r="AB52" s="173"/>
      <c r="AC52" s="173"/>
      <c r="AD52" s="175"/>
      <c r="AE52" s="69"/>
      <c r="AF52" s="294" t="s">
        <v>130</v>
      </c>
      <c r="AG52" s="294" t="s">
        <v>567</v>
      </c>
      <c r="AH52" s="294"/>
      <c r="AI52" s="295" t="str">
        <f>'ISIAN DATA'!E44</f>
        <v>INDONESIA</v>
      </c>
      <c r="AJ52" s="300"/>
    </row>
    <row r="53" spans="1:56" ht="12.75" customHeight="1" thickBot="1">
      <c r="A53" s="184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85"/>
      <c r="AE53" s="125"/>
      <c r="AF53" s="294"/>
      <c r="AG53" s="294"/>
      <c r="AH53" s="294"/>
      <c r="AI53" s="295">
        <f>'ISIAN DATA'!E45</f>
        <v>0</v>
      </c>
      <c r="AJ53" s="300"/>
    </row>
    <row r="54" spans="1:56" ht="12.75" customHeight="1">
      <c r="A54" s="186" t="s">
        <v>455</v>
      </c>
      <c r="B54" s="173"/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5"/>
      <c r="AE54" s="69"/>
      <c r="AF54" s="298" t="s">
        <v>455</v>
      </c>
      <c r="AG54" s="294"/>
      <c r="AH54" s="294"/>
      <c r="AI54" s="295">
        <f>'ISIAN DATA'!E46</f>
        <v>0</v>
      </c>
      <c r="AJ54" s="300"/>
    </row>
    <row r="55" spans="1:56" ht="12.75" customHeight="1">
      <c r="A55" s="172" t="s">
        <v>111</v>
      </c>
      <c r="B55" s="173" t="s">
        <v>340</v>
      </c>
      <c r="C55" s="173"/>
      <c r="D55" s="174" t="s">
        <v>10</v>
      </c>
      <c r="E55" s="108" t="str">
        <f t="shared" ref="E55:U55" si="27">MID($AI$55,COLUMNS($AI$55:AI55),1)</f>
        <v>3</v>
      </c>
      <c r="F55" s="108" t="str">
        <f t="shared" si="27"/>
        <v>3</v>
      </c>
      <c r="G55" s="108" t="str">
        <f t="shared" si="27"/>
        <v>2</v>
      </c>
      <c r="H55" s="108" t="str">
        <f t="shared" si="27"/>
        <v>7</v>
      </c>
      <c r="I55" s="108" t="str">
        <f t="shared" si="27"/>
        <v>0</v>
      </c>
      <c r="J55" s="108" t="str">
        <f t="shared" si="27"/>
        <v>4</v>
      </c>
      <c r="K55" s="108" t="str">
        <f t="shared" si="27"/>
        <v>2</v>
      </c>
      <c r="L55" s="108" t="str">
        <f t="shared" si="27"/>
        <v>5</v>
      </c>
      <c r="M55" s="108" t="str">
        <f t="shared" si="27"/>
        <v>1</v>
      </c>
      <c r="N55" s="108" t="str">
        <f t="shared" si="27"/>
        <v>1</v>
      </c>
      <c r="O55" s="108" t="str">
        <f t="shared" si="27"/>
        <v>9</v>
      </c>
      <c r="P55" s="108" t="str">
        <f t="shared" si="27"/>
        <v>4</v>
      </c>
      <c r="Q55" s="108" t="str">
        <f t="shared" si="27"/>
        <v>0</v>
      </c>
      <c r="R55" s="108" t="str">
        <f t="shared" si="27"/>
        <v>0</v>
      </c>
      <c r="S55" s="108" t="str">
        <f t="shared" si="27"/>
        <v>0</v>
      </c>
      <c r="T55" s="108" t="str">
        <f t="shared" si="27"/>
        <v>3</v>
      </c>
      <c r="U55" s="108" t="str">
        <f t="shared" si="27"/>
        <v/>
      </c>
      <c r="V55" s="174" t="s">
        <v>470</v>
      </c>
      <c r="W55" s="174"/>
      <c r="X55" s="174"/>
      <c r="Y55" s="174"/>
      <c r="Z55" s="174"/>
      <c r="AA55" s="174"/>
      <c r="AB55" s="173"/>
      <c r="AC55" s="173"/>
      <c r="AD55" s="175"/>
      <c r="AE55" s="69"/>
      <c r="AF55" s="294" t="s">
        <v>111</v>
      </c>
      <c r="AG55" s="294" t="s">
        <v>340</v>
      </c>
      <c r="AH55" s="294"/>
      <c r="AI55" s="295" t="str">
        <f>'ISIAN DATA'!E47</f>
        <v>3327042511940003</v>
      </c>
      <c r="AJ55" s="300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</row>
    <row r="56" spans="1:56" ht="12.75" customHeight="1">
      <c r="A56" s="172" t="s">
        <v>115</v>
      </c>
      <c r="B56" s="173" t="s">
        <v>391</v>
      </c>
      <c r="C56" s="173"/>
      <c r="D56" s="174" t="s">
        <v>10</v>
      </c>
      <c r="E56" s="108" t="str">
        <f t="shared" ref="E56:V56" si="28">MID($AI$56,COLUMNS($AI$56:AI56),1)</f>
        <v>B</v>
      </c>
      <c r="F56" s="108" t="str">
        <f t="shared" si="28"/>
        <v>U</v>
      </c>
      <c r="G56" s="108" t="str">
        <f t="shared" si="28"/>
        <v>D</v>
      </c>
      <c r="H56" s="108" t="str">
        <f t="shared" si="28"/>
        <v>I</v>
      </c>
      <c r="I56" s="108" t="str">
        <f t="shared" si="28"/>
        <v>A</v>
      </c>
      <c r="J56" s="108" t="str">
        <f t="shared" si="28"/>
        <v>N</v>
      </c>
      <c r="K56" s="108" t="str">
        <f t="shared" si="28"/>
        <v>T</v>
      </c>
      <c r="L56" s="108" t="str">
        <f t="shared" si="28"/>
        <v>O</v>
      </c>
      <c r="M56" s="108" t="str">
        <f t="shared" si="28"/>
        <v/>
      </c>
      <c r="N56" s="108" t="str">
        <f t="shared" si="28"/>
        <v/>
      </c>
      <c r="O56" s="108" t="str">
        <f t="shared" si="28"/>
        <v/>
      </c>
      <c r="P56" s="108" t="str">
        <f t="shared" si="28"/>
        <v/>
      </c>
      <c r="Q56" s="108" t="str">
        <f t="shared" si="28"/>
        <v/>
      </c>
      <c r="R56" s="108" t="str">
        <f t="shared" si="28"/>
        <v/>
      </c>
      <c r="S56" s="108" t="str">
        <f t="shared" si="28"/>
        <v/>
      </c>
      <c r="T56" s="108" t="str">
        <f t="shared" si="28"/>
        <v/>
      </c>
      <c r="U56" s="108" t="str">
        <f t="shared" si="28"/>
        <v/>
      </c>
      <c r="V56" s="108" t="str">
        <f t="shared" si="28"/>
        <v/>
      </c>
      <c r="W56" s="108"/>
      <c r="X56" s="108"/>
      <c r="Y56" s="108"/>
      <c r="Z56" s="108"/>
      <c r="AA56" s="108"/>
      <c r="AB56" s="109"/>
      <c r="AC56" s="109"/>
      <c r="AD56" s="175"/>
      <c r="AE56" s="69"/>
      <c r="AF56" s="294" t="s">
        <v>115</v>
      </c>
      <c r="AG56" s="294" t="s">
        <v>391</v>
      </c>
      <c r="AH56" s="294"/>
      <c r="AI56" s="295" t="str">
        <f>'ISIAN DATA'!E48</f>
        <v>BUDIANTO</v>
      </c>
      <c r="AJ56" s="300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</row>
    <row r="57" spans="1:56" ht="12.75" customHeight="1">
      <c r="A57" s="172" t="s">
        <v>118</v>
      </c>
      <c r="B57" s="173" t="s">
        <v>359</v>
      </c>
      <c r="C57" s="173"/>
      <c r="D57" s="174" t="s">
        <v>10</v>
      </c>
      <c r="E57" s="108" t="str">
        <f t="shared" ref="E57:F59" si="29">MID($AI$57,COLUMNS($AI$57:AI57),1)</f>
        <v>3</v>
      </c>
      <c r="F57" s="108" t="str">
        <f t="shared" si="29"/>
        <v>2</v>
      </c>
      <c r="G57" s="173"/>
      <c r="H57" s="173" t="s">
        <v>399</v>
      </c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5"/>
      <c r="AE57" s="69"/>
      <c r="AF57" s="294" t="s">
        <v>118</v>
      </c>
      <c r="AG57" s="294" t="s">
        <v>359</v>
      </c>
      <c r="AH57" s="294"/>
      <c r="AI57" s="295" t="str">
        <f>'ISIAN DATA'!E49</f>
        <v>32</v>
      </c>
      <c r="AJ57" s="300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</row>
    <row r="58" spans="1:56" ht="12.75" customHeight="1">
      <c r="A58" s="172" t="s">
        <v>121</v>
      </c>
      <c r="B58" s="173" t="s">
        <v>571</v>
      </c>
      <c r="C58" s="173"/>
      <c r="D58" s="174" t="s">
        <v>10</v>
      </c>
      <c r="E58" s="108" t="str">
        <f t="shared" si="29"/>
        <v>3</v>
      </c>
      <c r="F58" s="173" t="s">
        <v>534</v>
      </c>
      <c r="G58" s="173"/>
      <c r="H58" s="173"/>
      <c r="I58" s="173"/>
      <c r="J58" s="173" t="s">
        <v>394</v>
      </c>
      <c r="K58" s="173"/>
      <c r="L58" s="173"/>
      <c r="M58" s="173"/>
      <c r="N58" s="173"/>
      <c r="O58" s="173"/>
      <c r="P58" s="173"/>
      <c r="Q58" s="266"/>
      <c r="R58" s="266"/>
      <c r="S58" s="266"/>
      <c r="T58" s="266"/>
      <c r="U58" s="266"/>
      <c r="V58" s="266"/>
      <c r="W58" s="266"/>
      <c r="X58" s="266"/>
      <c r="Y58" s="266"/>
      <c r="Z58" s="266"/>
      <c r="AA58" s="173"/>
      <c r="AB58" s="173"/>
      <c r="AC58" s="173"/>
      <c r="AD58" s="175"/>
      <c r="AE58" s="69"/>
      <c r="AF58" s="294" t="s">
        <v>121</v>
      </c>
      <c r="AG58" s="294" t="s">
        <v>571</v>
      </c>
      <c r="AH58" s="294"/>
      <c r="AI58" s="301" t="str">
        <f>'ISIAN DATA'!E50</f>
        <v>04</v>
      </c>
      <c r="AJ58" s="300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</row>
    <row r="59" spans="1:56" ht="12.75" customHeight="1">
      <c r="A59" s="172" t="s">
        <v>124</v>
      </c>
      <c r="B59" s="173" t="s">
        <v>128</v>
      </c>
      <c r="C59" s="173"/>
      <c r="D59" s="174" t="s">
        <v>10</v>
      </c>
      <c r="E59" s="108" t="str">
        <f>MID($AI$58,COLUMNS($AI$58:AI59),1)</f>
        <v>0</v>
      </c>
      <c r="F59" s="108" t="str">
        <f>MID($AI$58,COLUMNS($AI$58:AJ59),1)</f>
        <v>4</v>
      </c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5"/>
      <c r="AE59" s="69"/>
      <c r="AF59" s="294" t="s">
        <v>124</v>
      </c>
      <c r="AG59" s="294" t="s">
        <v>128</v>
      </c>
      <c r="AH59" s="294"/>
      <c r="AI59" s="295" t="str">
        <f>'ISIAN DATA'!E51</f>
        <v>09</v>
      </c>
      <c r="AJ59" s="300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</row>
    <row r="60" spans="1:56" ht="12.75" customHeight="1">
      <c r="A60" s="172" t="s">
        <v>127</v>
      </c>
      <c r="B60" s="173" t="s">
        <v>345</v>
      </c>
      <c r="C60" s="173"/>
      <c r="D60" s="174" t="s">
        <v>10</v>
      </c>
      <c r="E60" s="257" t="str">
        <f>AI60</f>
        <v>RT 004 / 004 DESA TAMBI</v>
      </c>
      <c r="F60" s="258"/>
      <c r="G60" s="258"/>
      <c r="H60" s="258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Y60" s="258"/>
      <c r="Z60" s="258"/>
      <c r="AA60" s="258"/>
      <c r="AB60" s="258"/>
      <c r="AC60" s="259"/>
      <c r="AD60" s="175"/>
      <c r="AE60" s="69"/>
      <c r="AF60" s="294" t="s">
        <v>127</v>
      </c>
      <c r="AG60" s="294" t="s">
        <v>345</v>
      </c>
      <c r="AH60" s="294"/>
      <c r="AI60" s="295" t="str">
        <f>'ISIAN DATA'!E52</f>
        <v>RT 004 / 004 DESA TAMBI</v>
      </c>
      <c r="AJ60" s="300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</row>
    <row r="61" spans="1:56" ht="12.75" customHeight="1">
      <c r="A61" s="172"/>
      <c r="B61" s="173"/>
      <c r="C61" s="173"/>
      <c r="D61" s="173"/>
      <c r="E61" s="173" t="s">
        <v>561</v>
      </c>
      <c r="F61" s="173"/>
      <c r="G61" s="173"/>
      <c r="H61" s="173"/>
      <c r="I61" s="173"/>
      <c r="J61" s="257" t="s">
        <v>102</v>
      </c>
      <c r="K61" s="258"/>
      <c r="L61" s="258"/>
      <c r="M61" s="258"/>
      <c r="N61" s="259"/>
      <c r="O61" s="187"/>
      <c r="P61" s="187" t="s">
        <v>562</v>
      </c>
      <c r="Q61" s="187"/>
      <c r="R61" s="187"/>
      <c r="S61" s="187"/>
      <c r="T61" s="257" t="s">
        <v>106</v>
      </c>
      <c r="U61" s="258"/>
      <c r="V61" s="258"/>
      <c r="W61" s="258"/>
      <c r="X61" s="259"/>
      <c r="Y61" s="173"/>
      <c r="Z61" s="173"/>
      <c r="AA61" s="173"/>
      <c r="AB61" s="173"/>
      <c r="AC61" s="173"/>
      <c r="AD61" s="175"/>
      <c r="AE61" s="69"/>
      <c r="AF61" s="294"/>
      <c r="AG61" s="294"/>
      <c r="AH61" s="294"/>
      <c r="AI61" s="295">
        <f>'ISIAN DATA'!E53</f>
        <v>0</v>
      </c>
      <c r="AJ61" s="300"/>
    </row>
    <row r="62" spans="1:56" ht="12.75" customHeight="1">
      <c r="A62" s="172"/>
      <c r="B62" s="173"/>
      <c r="C62" s="173"/>
      <c r="D62" s="173"/>
      <c r="E62" s="173" t="s">
        <v>563</v>
      </c>
      <c r="F62" s="173"/>
      <c r="G62" s="173"/>
      <c r="H62" s="173"/>
      <c r="I62" s="173"/>
      <c r="J62" s="257" t="s">
        <v>104</v>
      </c>
      <c r="K62" s="258"/>
      <c r="L62" s="258"/>
      <c r="M62" s="258"/>
      <c r="N62" s="259"/>
      <c r="O62" s="187"/>
      <c r="P62" s="187" t="s">
        <v>417</v>
      </c>
      <c r="Q62" s="187"/>
      <c r="R62" s="187"/>
      <c r="S62" s="187"/>
      <c r="T62" s="257" t="s">
        <v>418</v>
      </c>
      <c r="U62" s="258"/>
      <c r="V62" s="258"/>
      <c r="W62" s="258"/>
      <c r="X62" s="259"/>
      <c r="Y62" s="173"/>
      <c r="Z62" s="173"/>
      <c r="AA62" s="173"/>
      <c r="AB62" s="173"/>
      <c r="AC62" s="173"/>
      <c r="AD62" s="175"/>
      <c r="AE62" s="69"/>
      <c r="AF62" s="294"/>
      <c r="AG62" s="294"/>
      <c r="AH62" s="294"/>
      <c r="AI62" s="295">
        <f>'ISIAN DATA'!E54</f>
        <v>0</v>
      </c>
      <c r="AJ62" s="300"/>
    </row>
    <row r="63" spans="1:56" ht="12.75" customHeight="1" thickBot="1">
      <c r="A63" s="184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85"/>
      <c r="AE63" s="125"/>
      <c r="AF63" s="294"/>
      <c r="AG63" s="294"/>
      <c r="AH63" s="294"/>
      <c r="AI63" s="295">
        <f>'ISIAN DATA'!E55</f>
        <v>0</v>
      </c>
      <c r="AJ63" s="300"/>
    </row>
    <row r="64" spans="1:56" ht="12.75" customHeight="1">
      <c r="A64" s="186" t="s">
        <v>572</v>
      </c>
      <c r="B64" s="173"/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5"/>
      <c r="AE64" s="69"/>
      <c r="AF64" s="298" t="s">
        <v>572</v>
      </c>
      <c r="AG64" s="294"/>
      <c r="AH64" s="294"/>
      <c r="AI64" s="295">
        <f>'ISIAN DATA'!E56</f>
        <v>0</v>
      </c>
      <c r="AJ64" s="300"/>
    </row>
    <row r="65" spans="1:36" ht="12.75" customHeight="1">
      <c r="A65" s="172" t="s">
        <v>111</v>
      </c>
      <c r="B65" s="173" t="s">
        <v>340</v>
      </c>
      <c r="C65" s="173"/>
      <c r="D65" s="174" t="s">
        <v>10</v>
      </c>
      <c r="E65" s="108" t="str">
        <f t="shared" ref="E65:U65" si="30">MID($AI$65,COLUMNS($AI$65:AI65),1)</f>
        <v>3</v>
      </c>
      <c r="F65" s="108" t="str">
        <f t="shared" si="30"/>
        <v>3</v>
      </c>
      <c r="G65" s="108" t="str">
        <f t="shared" si="30"/>
        <v>2</v>
      </c>
      <c r="H65" s="108" t="str">
        <f t="shared" si="30"/>
        <v>7</v>
      </c>
      <c r="I65" s="108" t="str">
        <f t="shared" si="30"/>
        <v>0</v>
      </c>
      <c r="J65" s="108" t="str">
        <f t="shared" si="30"/>
        <v>4</v>
      </c>
      <c r="K65" s="108" t="str">
        <f t="shared" si="30"/>
        <v>2</v>
      </c>
      <c r="L65" s="108" t="str">
        <f t="shared" si="30"/>
        <v>1</v>
      </c>
      <c r="M65" s="108" t="str">
        <f t="shared" si="30"/>
        <v>1</v>
      </c>
      <c r="N65" s="108" t="str">
        <f t="shared" si="30"/>
        <v>0</v>
      </c>
      <c r="O65" s="108" t="str">
        <f t="shared" si="30"/>
        <v>8</v>
      </c>
      <c r="P65" s="108" t="str">
        <f t="shared" si="30"/>
        <v>9</v>
      </c>
      <c r="Q65" s="108" t="str">
        <f t="shared" si="30"/>
        <v>0</v>
      </c>
      <c r="R65" s="108" t="str">
        <f t="shared" si="30"/>
        <v>0</v>
      </c>
      <c r="S65" s="108" t="str">
        <f t="shared" si="30"/>
        <v>0</v>
      </c>
      <c r="T65" s="108" t="str">
        <f t="shared" si="30"/>
        <v>1</v>
      </c>
      <c r="U65" s="108" t="str">
        <f t="shared" si="30"/>
        <v/>
      </c>
      <c r="V65" s="173"/>
      <c r="W65" s="173"/>
      <c r="X65" s="173"/>
      <c r="Y65" s="173"/>
      <c r="Z65" s="173"/>
      <c r="AA65" s="173"/>
      <c r="AB65" s="173"/>
      <c r="AC65" s="173"/>
      <c r="AD65" s="175"/>
      <c r="AE65" s="69"/>
      <c r="AF65" s="294" t="s">
        <v>111</v>
      </c>
      <c r="AG65" s="294" t="s">
        <v>340</v>
      </c>
      <c r="AH65" s="294"/>
      <c r="AI65" s="295" t="str">
        <f>'ISIAN DATA'!E57</f>
        <v>3327042110890001</v>
      </c>
      <c r="AJ65" s="300"/>
    </row>
    <row r="66" spans="1:36" ht="12.75" customHeight="1">
      <c r="A66" s="172" t="s">
        <v>115</v>
      </c>
      <c r="B66" s="173" t="s">
        <v>391</v>
      </c>
      <c r="C66" s="173"/>
      <c r="D66" s="174" t="s">
        <v>10</v>
      </c>
      <c r="E66" s="108" t="str">
        <f t="shared" ref="E66:AC66" si="31">MID($AI$66,COLUMNS($AI$66:AI66),1)</f>
        <v>C</v>
      </c>
      <c r="F66" s="108" t="str">
        <f t="shared" si="31"/>
        <v>H</v>
      </c>
      <c r="G66" s="108" t="str">
        <f t="shared" si="31"/>
        <v>A</v>
      </c>
      <c r="H66" s="108" t="str">
        <f t="shared" si="31"/>
        <v>L</v>
      </c>
      <c r="I66" s="108" t="str">
        <f t="shared" si="31"/>
        <v>I</v>
      </c>
      <c r="J66" s="108" t="str">
        <f t="shared" si="31"/>
        <v>M</v>
      </c>
      <c r="K66" s="108" t="str">
        <f t="shared" si="31"/>
        <v xml:space="preserve"> </v>
      </c>
      <c r="L66" s="108" t="str">
        <f t="shared" si="31"/>
        <v>M</v>
      </c>
      <c r="M66" s="108" t="str">
        <f t="shared" si="31"/>
        <v>U</v>
      </c>
      <c r="N66" s="108" t="str">
        <f t="shared" si="31"/>
        <v>C</v>
      </c>
      <c r="O66" s="108" t="str">
        <f t="shared" si="31"/>
        <v>H</v>
      </c>
      <c r="P66" s="108" t="str">
        <f t="shared" si="31"/>
        <v>T</v>
      </c>
      <c r="Q66" s="108" t="str">
        <f t="shared" si="31"/>
        <v>A</v>
      </c>
      <c r="R66" s="108" t="str">
        <f t="shared" si="31"/>
        <v>R</v>
      </c>
      <c r="S66" s="108" t="str">
        <f t="shared" si="31"/>
        <v>O</v>
      </c>
      <c r="T66" s="108" t="str">
        <f t="shared" si="31"/>
        <v>M</v>
      </c>
      <c r="U66" s="108" t="str">
        <f t="shared" si="31"/>
        <v/>
      </c>
      <c r="V66" s="108" t="str">
        <f t="shared" si="31"/>
        <v/>
      </c>
      <c r="W66" s="108" t="str">
        <f t="shared" si="31"/>
        <v/>
      </c>
      <c r="X66" s="108" t="str">
        <f t="shared" si="31"/>
        <v/>
      </c>
      <c r="Y66" s="108" t="str">
        <f t="shared" si="31"/>
        <v/>
      </c>
      <c r="Z66" s="108" t="str">
        <f t="shared" si="31"/>
        <v/>
      </c>
      <c r="AA66" s="108" t="str">
        <f t="shared" si="31"/>
        <v/>
      </c>
      <c r="AB66" s="108" t="str">
        <f t="shared" si="31"/>
        <v/>
      </c>
      <c r="AC66" s="108" t="str">
        <f t="shared" si="31"/>
        <v/>
      </c>
      <c r="AD66" s="175"/>
      <c r="AE66" s="69"/>
      <c r="AF66" s="294" t="s">
        <v>115</v>
      </c>
      <c r="AG66" s="294" t="s">
        <v>391</v>
      </c>
      <c r="AH66" s="294"/>
      <c r="AI66" s="295" t="str">
        <f>'ISIAN DATA'!E58</f>
        <v>CHALIM MUCHTAROM</v>
      </c>
      <c r="AJ66" s="300"/>
    </row>
    <row r="67" spans="1:36" ht="12.75" customHeight="1">
      <c r="A67" s="172" t="s">
        <v>118</v>
      </c>
      <c r="B67" s="173" t="s">
        <v>359</v>
      </c>
      <c r="C67" s="173"/>
      <c r="D67" s="174" t="s">
        <v>10</v>
      </c>
      <c r="E67" s="108">
        <v>3</v>
      </c>
      <c r="F67" s="108">
        <v>5</v>
      </c>
      <c r="G67" s="173"/>
      <c r="H67" s="173" t="s">
        <v>399</v>
      </c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5"/>
      <c r="AE67" s="69"/>
      <c r="AF67" s="294" t="s">
        <v>118</v>
      </c>
      <c r="AG67" s="294" t="s">
        <v>359</v>
      </c>
      <c r="AH67" s="294"/>
      <c r="AI67" s="295">
        <f>'ISIAN DATA'!E59</f>
        <v>35</v>
      </c>
      <c r="AJ67" s="300"/>
    </row>
    <row r="68" spans="1:36" ht="12.75" customHeight="1">
      <c r="A68" s="172" t="s">
        <v>121</v>
      </c>
      <c r="B68" s="173" t="s">
        <v>128</v>
      </c>
      <c r="C68" s="173"/>
      <c r="D68" s="174" t="s">
        <v>10</v>
      </c>
      <c r="E68" s="108">
        <v>8</v>
      </c>
      <c r="F68" s="108">
        <v>5</v>
      </c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5"/>
      <c r="AE68" s="69"/>
      <c r="AF68" s="294" t="s">
        <v>121</v>
      </c>
      <c r="AG68" s="299" t="s">
        <v>128</v>
      </c>
      <c r="AH68" s="294"/>
      <c r="AI68" s="295">
        <f>'ISIAN DATA'!E60</f>
        <v>0</v>
      </c>
      <c r="AJ68" s="300"/>
    </row>
    <row r="69" spans="1:36" ht="12.75" customHeight="1">
      <c r="A69" s="172" t="s">
        <v>124</v>
      </c>
      <c r="B69" s="173" t="s">
        <v>345</v>
      </c>
      <c r="C69" s="173"/>
      <c r="D69" s="174" t="s">
        <v>10</v>
      </c>
      <c r="E69" s="257" t="str">
        <f>AI69</f>
        <v>RT 002/001 DESA TAMBI</v>
      </c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8"/>
      <c r="R69" s="258"/>
      <c r="S69" s="258"/>
      <c r="T69" s="258"/>
      <c r="U69" s="258"/>
      <c r="V69" s="258"/>
      <c r="W69" s="258"/>
      <c r="X69" s="258"/>
      <c r="Y69" s="258"/>
      <c r="Z69" s="258"/>
      <c r="AA69" s="258"/>
      <c r="AB69" s="258"/>
      <c r="AC69" s="259"/>
      <c r="AD69" s="175"/>
      <c r="AE69" s="69"/>
      <c r="AF69" s="294" t="s">
        <v>124</v>
      </c>
      <c r="AG69" s="294" t="s">
        <v>345</v>
      </c>
      <c r="AH69" s="294"/>
      <c r="AI69" s="295" t="str">
        <f>'ISIAN DATA'!E61</f>
        <v>RT 002/001 DESA TAMBI</v>
      </c>
      <c r="AJ69" s="300"/>
    </row>
    <row r="70" spans="1:36" ht="12.75" customHeight="1">
      <c r="A70" s="172"/>
      <c r="B70" s="173"/>
      <c r="C70" s="173"/>
      <c r="D70" s="174"/>
      <c r="E70" s="173" t="s">
        <v>561</v>
      </c>
      <c r="F70" s="173"/>
      <c r="G70" s="173"/>
      <c r="H70" s="173"/>
      <c r="I70" s="173"/>
      <c r="J70" s="257" t="s">
        <v>102</v>
      </c>
      <c r="K70" s="258"/>
      <c r="L70" s="258"/>
      <c r="M70" s="258"/>
      <c r="N70" s="259"/>
      <c r="O70" s="173"/>
      <c r="P70" s="173" t="s">
        <v>562</v>
      </c>
      <c r="Q70" s="173"/>
      <c r="R70" s="173"/>
      <c r="S70" s="173"/>
      <c r="T70" s="257" t="s">
        <v>106</v>
      </c>
      <c r="U70" s="258"/>
      <c r="V70" s="258"/>
      <c r="W70" s="258"/>
      <c r="X70" s="259"/>
      <c r="Y70" s="173"/>
      <c r="Z70" s="173"/>
      <c r="AA70" s="173"/>
      <c r="AB70" s="173"/>
      <c r="AC70" s="173"/>
      <c r="AD70" s="175"/>
      <c r="AE70" s="69"/>
      <c r="AF70" s="294"/>
      <c r="AG70" s="294"/>
      <c r="AH70" s="294"/>
      <c r="AI70" s="295">
        <f>'ISIAN DATA'!E62</f>
        <v>0</v>
      </c>
      <c r="AJ70" s="300"/>
    </row>
    <row r="71" spans="1:36" ht="12.75" customHeight="1">
      <c r="A71" s="172"/>
      <c r="B71" s="173"/>
      <c r="C71" s="173"/>
      <c r="D71" s="173"/>
      <c r="E71" s="173" t="s">
        <v>563</v>
      </c>
      <c r="F71" s="173"/>
      <c r="G71" s="173"/>
      <c r="H71" s="173"/>
      <c r="I71" s="173"/>
      <c r="J71" s="257" t="s">
        <v>104</v>
      </c>
      <c r="K71" s="258"/>
      <c r="L71" s="258"/>
      <c r="M71" s="258"/>
      <c r="N71" s="259"/>
      <c r="O71" s="173"/>
      <c r="P71" s="173" t="s">
        <v>417</v>
      </c>
      <c r="Q71" s="173"/>
      <c r="R71" s="173"/>
      <c r="S71" s="173"/>
      <c r="T71" s="257" t="s">
        <v>418</v>
      </c>
      <c r="U71" s="258"/>
      <c r="V71" s="258"/>
      <c r="W71" s="258"/>
      <c r="X71" s="259"/>
      <c r="Y71" s="173"/>
      <c r="Z71" s="173"/>
      <c r="AA71" s="173"/>
      <c r="AB71" s="173"/>
      <c r="AC71" s="173"/>
      <c r="AD71" s="175"/>
      <c r="AE71" s="69"/>
      <c r="AF71" s="294"/>
      <c r="AG71" s="294"/>
      <c r="AH71" s="294"/>
      <c r="AI71" s="295">
        <f>'ISIAN DATA'!E63</f>
        <v>0</v>
      </c>
      <c r="AJ71" s="300"/>
    </row>
    <row r="72" spans="1:36" ht="12.75" customHeight="1" thickBot="1">
      <c r="A72" s="18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85"/>
      <c r="AE72" s="125"/>
      <c r="AF72" s="294"/>
      <c r="AG72" s="294"/>
      <c r="AH72" s="294"/>
      <c r="AI72" s="295">
        <f>'ISIAN DATA'!E64</f>
        <v>0</v>
      </c>
      <c r="AJ72" s="300"/>
    </row>
    <row r="73" spans="1:36" ht="12.75" customHeight="1">
      <c r="A73" s="186" t="s">
        <v>472</v>
      </c>
      <c r="B73" s="173"/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5"/>
      <c r="AE73" s="69"/>
      <c r="AF73" s="298" t="s">
        <v>472</v>
      </c>
      <c r="AG73" s="294"/>
      <c r="AH73" s="294"/>
      <c r="AI73" s="295">
        <f>'ISIAN DATA'!E65</f>
        <v>0</v>
      </c>
      <c r="AJ73" s="300"/>
    </row>
    <row r="74" spans="1:36" ht="12.75" customHeight="1">
      <c r="A74" s="172" t="s">
        <v>111</v>
      </c>
      <c r="B74" s="173" t="s">
        <v>340</v>
      </c>
      <c r="C74" s="173"/>
      <c r="D74" s="174" t="s">
        <v>10</v>
      </c>
      <c r="E74" s="108" t="str">
        <f t="shared" ref="E74:T74" si="32">MID($AI$74,COLUMNS($AI$74:AI74),1)</f>
        <v>3</v>
      </c>
      <c r="F74" s="108" t="str">
        <f t="shared" si="32"/>
        <v>3</v>
      </c>
      <c r="G74" s="108" t="str">
        <f t="shared" si="32"/>
        <v>2</v>
      </c>
      <c r="H74" s="108" t="str">
        <f t="shared" si="32"/>
        <v>7</v>
      </c>
      <c r="I74" s="108" t="str">
        <f t="shared" si="32"/>
        <v>0</v>
      </c>
      <c r="J74" s="108" t="str">
        <f t="shared" si="32"/>
        <v>4</v>
      </c>
      <c r="K74" s="108" t="str">
        <f t="shared" si="32"/>
        <v>0</v>
      </c>
      <c r="L74" s="108" t="str">
        <f t="shared" si="32"/>
        <v>7</v>
      </c>
      <c r="M74" s="108" t="str">
        <f t="shared" si="32"/>
        <v>0</v>
      </c>
      <c r="N74" s="108" t="str">
        <f t="shared" si="32"/>
        <v>4</v>
      </c>
      <c r="O74" s="108" t="str">
        <f t="shared" si="32"/>
        <v>7</v>
      </c>
      <c r="P74" s="108" t="str">
        <f t="shared" si="32"/>
        <v>1</v>
      </c>
      <c r="Q74" s="108" t="str">
        <f t="shared" si="32"/>
        <v>0</v>
      </c>
      <c r="R74" s="108" t="str">
        <f t="shared" si="32"/>
        <v>0</v>
      </c>
      <c r="S74" s="108" t="str">
        <f t="shared" si="32"/>
        <v>0</v>
      </c>
      <c r="T74" s="108" t="str">
        <f t="shared" si="32"/>
        <v>3</v>
      </c>
      <c r="U74" s="108"/>
      <c r="V74" s="173"/>
      <c r="W74" s="173"/>
      <c r="X74" s="173"/>
      <c r="Y74" s="173"/>
      <c r="Z74" s="173"/>
      <c r="AA74" s="173"/>
      <c r="AB74" s="173"/>
      <c r="AC74" s="173"/>
      <c r="AD74" s="175"/>
      <c r="AE74" s="69"/>
      <c r="AF74" s="294" t="s">
        <v>111</v>
      </c>
      <c r="AG74" s="294" t="s">
        <v>340</v>
      </c>
      <c r="AH74" s="294"/>
      <c r="AI74" s="295" t="str">
        <f>'ISIAN DATA'!E66</f>
        <v>3327040704710003</v>
      </c>
      <c r="AJ74" s="300"/>
    </row>
    <row r="75" spans="1:36" ht="12.75" customHeight="1">
      <c r="A75" s="172" t="s">
        <v>115</v>
      </c>
      <c r="B75" s="173" t="s">
        <v>391</v>
      </c>
      <c r="C75" s="173"/>
      <c r="D75" s="174" t="s">
        <v>10</v>
      </c>
      <c r="E75" s="108" t="str">
        <f t="shared" ref="E75:Y75" si="33">MID($AI$75,COLUMNS($AI$75:AI75),1)</f>
        <v>W</v>
      </c>
      <c r="F75" s="108" t="str">
        <f t="shared" si="33"/>
        <v>A</v>
      </c>
      <c r="G75" s="108" t="str">
        <f t="shared" si="33"/>
        <v>H</v>
      </c>
      <c r="H75" s="108" t="str">
        <f t="shared" si="33"/>
        <v>U</v>
      </c>
      <c r="I75" s="108" t="str">
        <f t="shared" si="33"/>
        <v>R</v>
      </c>
      <c r="J75" s="108" t="str">
        <f t="shared" si="33"/>
        <v>I</v>
      </c>
      <c r="K75" s="108" t="str">
        <f t="shared" si="33"/>
        <v/>
      </c>
      <c r="L75" s="108" t="str">
        <f t="shared" si="33"/>
        <v/>
      </c>
      <c r="M75" s="108" t="str">
        <f t="shared" si="33"/>
        <v/>
      </c>
      <c r="N75" s="108" t="str">
        <f t="shared" si="33"/>
        <v/>
      </c>
      <c r="O75" s="108" t="str">
        <f t="shared" si="33"/>
        <v/>
      </c>
      <c r="P75" s="108" t="str">
        <f t="shared" si="33"/>
        <v/>
      </c>
      <c r="Q75" s="108" t="str">
        <f t="shared" si="33"/>
        <v/>
      </c>
      <c r="R75" s="108" t="str">
        <f t="shared" si="33"/>
        <v/>
      </c>
      <c r="S75" s="108" t="str">
        <f t="shared" si="33"/>
        <v/>
      </c>
      <c r="T75" s="108" t="str">
        <f t="shared" si="33"/>
        <v/>
      </c>
      <c r="U75" s="108" t="str">
        <f t="shared" si="33"/>
        <v/>
      </c>
      <c r="V75" s="108" t="str">
        <f t="shared" si="33"/>
        <v/>
      </c>
      <c r="W75" s="108" t="str">
        <f t="shared" si="33"/>
        <v/>
      </c>
      <c r="X75" s="108" t="str">
        <f t="shared" si="33"/>
        <v/>
      </c>
      <c r="Y75" s="108" t="str">
        <f t="shared" si="33"/>
        <v/>
      </c>
      <c r="Z75" s="109"/>
      <c r="AA75" s="109"/>
      <c r="AB75" s="109"/>
      <c r="AC75" s="109"/>
      <c r="AD75" s="175"/>
      <c r="AE75" s="69"/>
      <c r="AF75" s="294" t="s">
        <v>115</v>
      </c>
      <c r="AG75" s="294" t="s">
        <v>391</v>
      </c>
      <c r="AH75" s="294"/>
      <c r="AI75" s="295" t="str">
        <f>'ISIAN DATA'!E67</f>
        <v>WAHURI</v>
      </c>
      <c r="AJ75" s="300"/>
    </row>
    <row r="76" spans="1:36" ht="12.75" customHeight="1">
      <c r="A76" s="172" t="s">
        <v>118</v>
      </c>
      <c r="B76" s="173" t="s">
        <v>359</v>
      </c>
      <c r="C76" s="173"/>
      <c r="D76" s="174" t="s">
        <v>10</v>
      </c>
      <c r="E76" s="108" t="str">
        <f t="shared" ref="E76:F76" si="34">MID($AI$76,COLUMNS($AI$76:AI76),1)</f>
        <v>5</v>
      </c>
      <c r="F76" s="108" t="str">
        <f t="shared" si="34"/>
        <v>4</v>
      </c>
      <c r="G76" s="173"/>
      <c r="H76" s="173" t="s">
        <v>399</v>
      </c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5"/>
      <c r="AE76" s="69"/>
      <c r="AF76" s="294" t="s">
        <v>118</v>
      </c>
      <c r="AG76" s="294" t="s">
        <v>359</v>
      </c>
      <c r="AH76" s="294"/>
      <c r="AI76" s="295">
        <f>'ISIAN DATA'!E68</f>
        <v>54</v>
      </c>
      <c r="AJ76" s="300"/>
    </row>
    <row r="77" spans="1:36" ht="12.75" customHeight="1">
      <c r="A77" s="172" t="s">
        <v>121</v>
      </c>
      <c r="B77" s="173" t="s">
        <v>128</v>
      </c>
      <c r="C77" s="173"/>
      <c r="D77" s="174" t="s">
        <v>10</v>
      </c>
      <c r="E77" s="108">
        <v>8</v>
      </c>
      <c r="F77" s="108">
        <v>5</v>
      </c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5"/>
      <c r="AE77" s="69"/>
      <c r="AF77" s="294" t="s">
        <v>121</v>
      </c>
      <c r="AG77" s="294" t="s">
        <v>128</v>
      </c>
      <c r="AH77" s="294"/>
      <c r="AI77" s="295">
        <f>'ISIAN DATA'!E69</f>
        <v>0</v>
      </c>
      <c r="AJ77" s="300"/>
    </row>
    <row r="78" spans="1:36" ht="12.75" customHeight="1">
      <c r="A78" s="172" t="s">
        <v>124</v>
      </c>
      <c r="B78" s="173" t="s">
        <v>345</v>
      </c>
      <c r="C78" s="173"/>
      <c r="D78" s="174" t="s">
        <v>10</v>
      </c>
      <c r="E78" s="257" t="s">
        <v>573</v>
      </c>
      <c r="F78" s="258"/>
      <c r="G78" s="258"/>
      <c r="H78" s="258"/>
      <c r="I78" s="258"/>
      <c r="J78" s="258"/>
      <c r="K78" s="258"/>
      <c r="L78" s="258"/>
      <c r="M78" s="258"/>
      <c r="N78" s="258"/>
      <c r="O78" s="258"/>
      <c r="P78" s="258"/>
      <c r="Q78" s="258"/>
      <c r="R78" s="258"/>
      <c r="S78" s="258"/>
      <c r="T78" s="258"/>
      <c r="U78" s="258"/>
      <c r="V78" s="258"/>
      <c r="W78" s="258"/>
      <c r="X78" s="258"/>
      <c r="Y78" s="258"/>
      <c r="Z78" s="258"/>
      <c r="AA78" s="258"/>
      <c r="AB78" s="258"/>
      <c r="AC78" s="259"/>
      <c r="AD78" s="175"/>
      <c r="AE78" s="69"/>
      <c r="AF78" s="294" t="s">
        <v>124</v>
      </c>
      <c r="AG78" s="294" t="s">
        <v>345</v>
      </c>
      <c r="AH78" s="294"/>
      <c r="AI78" s="295">
        <f>'ISIAN DATA'!E70</f>
        <v>0</v>
      </c>
      <c r="AJ78" s="300"/>
    </row>
    <row r="79" spans="1:36" ht="12.75" customHeight="1">
      <c r="A79" s="172"/>
      <c r="B79" s="173"/>
      <c r="C79" s="173"/>
      <c r="D79" s="173"/>
      <c r="E79" s="173" t="s">
        <v>561</v>
      </c>
      <c r="F79" s="173"/>
      <c r="G79" s="173"/>
      <c r="H79" s="173"/>
      <c r="I79" s="173"/>
      <c r="J79" s="257" t="s">
        <v>102</v>
      </c>
      <c r="K79" s="258"/>
      <c r="L79" s="258"/>
      <c r="M79" s="258"/>
      <c r="N79" s="259"/>
      <c r="O79" s="173"/>
      <c r="P79" s="173" t="s">
        <v>562</v>
      </c>
      <c r="Q79" s="173"/>
      <c r="R79" s="173"/>
      <c r="S79" s="173"/>
      <c r="T79" s="257" t="s">
        <v>106</v>
      </c>
      <c r="U79" s="258"/>
      <c r="V79" s="258"/>
      <c r="W79" s="258"/>
      <c r="X79" s="259"/>
      <c r="Y79" s="173"/>
      <c r="Z79" s="173"/>
      <c r="AA79" s="173"/>
      <c r="AB79" s="173"/>
      <c r="AC79" s="173"/>
      <c r="AD79" s="175"/>
      <c r="AE79" s="69"/>
      <c r="AF79" s="294"/>
      <c r="AG79" s="294"/>
      <c r="AH79" s="294"/>
      <c r="AI79" s="295">
        <f>'ISIAN DATA'!E71</f>
        <v>0</v>
      </c>
      <c r="AJ79" s="300"/>
    </row>
    <row r="80" spans="1:36" ht="12.75" customHeight="1">
      <c r="A80" s="172"/>
      <c r="B80" s="173"/>
      <c r="C80" s="173"/>
      <c r="D80" s="173"/>
      <c r="E80" s="173" t="s">
        <v>563</v>
      </c>
      <c r="F80" s="173"/>
      <c r="G80" s="173"/>
      <c r="H80" s="173"/>
      <c r="I80" s="173"/>
      <c r="J80" s="257" t="s">
        <v>104</v>
      </c>
      <c r="K80" s="258"/>
      <c r="L80" s="258"/>
      <c r="M80" s="258"/>
      <c r="N80" s="259"/>
      <c r="O80" s="173"/>
      <c r="P80" s="173" t="s">
        <v>417</v>
      </c>
      <c r="Q80" s="173"/>
      <c r="R80" s="173"/>
      <c r="S80" s="173"/>
      <c r="T80" s="257" t="s">
        <v>418</v>
      </c>
      <c r="U80" s="258"/>
      <c r="V80" s="258"/>
      <c r="W80" s="258"/>
      <c r="X80" s="259"/>
      <c r="Y80" s="173"/>
      <c r="Z80" s="173"/>
      <c r="AA80" s="173"/>
      <c r="AB80" s="173"/>
      <c r="AC80" s="173"/>
      <c r="AD80" s="175"/>
      <c r="AE80" s="69"/>
      <c r="AF80" s="294"/>
      <c r="AG80" s="294"/>
      <c r="AH80" s="294"/>
      <c r="AI80" s="295" t="str">
        <f>'ISIAN DATA'!E72</f>
        <v>Tambi, 16 Juli 2026</v>
      </c>
      <c r="AJ80" s="300"/>
    </row>
    <row r="81" spans="1:79" ht="12.75" customHeight="1" thickBot="1">
      <c r="A81" s="188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  <c r="AD81" s="190"/>
      <c r="AE81" s="125"/>
      <c r="AF81" s="294"/>
      <c r="AG81" s="294"/>
      <c r="AH81" s="294"/>
      <c r="AI81" s="295">
        <f>'ISIAN DATA'!E73</f>
        <v>0</v>
      </c>
      <c r="AJ81" s="300"/>
    </row>
    <row r="82" spans="1:79" s="165" customFormat="1" ht="12.75" customHeight="1">
      <c r="A82" s="173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73"/>
      <c r="AE82" s="173"/>
      <c r="AF82" s="133"/>
      <c r="AG82" s="173"/>
      <c r="AH82" s="173"/>
      <c r="AI82" s="94"/>
    </row>
    <row r="83" spans="1:79" s="165" customFormat="1" ht="12.75" customHeight="1">
      <c r="A83" s="173"/>
      <c r="B83" s="173"/>
      <c r="C83" s="173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  <c r="AE83" s="173"/>
      <c r="AF83" s="133"/>
      <c r="AG83" s="173"/>
      <c r="AH83" s="173"/>
      <c r="AI83" s="94"/>
    </row>
    <row r="84" spans="1:79" s="165" customFormat="1" ht="12.75" customHeight="1">
      <c r="A84" s="173"/>
      <c r="B84" s="173"/>
      <c r="C84" s="173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73"/>
      <c r="AF84" s="133"/>
      <c r="AG84" s="173"/>
      <c r="AH84" s="173"/>
      <c r="AI84" s="94"/>
    </row>
    <row r="85" spans="1:79" ht="12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133"/>
      <c r="AG85" s="69"/>
      <c r="AH85" s="69"/>
      <c r="AI85" s="94"/>
    </row>
    <row r="86" spans="1:79" ht="12.75" customHeight="1">
      <c r="A86" s="69"/>
      <c r="B86" s="69"/>
      <c r="C86" s="69"/>
      <c r="D86" s="69"/>
      <c r="F86" s="69"/>
      <c r="G86" s="69"/>
      <c r="H86" s="69"/>
      <c r="I86" s="69"/>
      <c r="J86" s="69"/>
      <c r="N86" s="69"/>
      <c r="O86" s="69"/>
      <c r="P86" s="69"/>
      <c r="Q86" s="69"/>
      <c r="R86" s="69"/>
      <c r="S86" s="69"/>
      <c r="T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133"/>
      <c r="AG86" s="69"/>
      <c r="AH86" s="69"/>
      <c r="AI86" s="94"/>
    </row>
    <row r="87" spans="1:79" ht="12.75" customHeight="1">
      <c r="A87" s="69"/>
      <c r="B87" s="69"/>
      <c r="C87" s="69"/>
      <c r="D87" s="69"/>
      <c r="E87" s="69" t="s">
        <v>588</v>
      </c>
      <c r="F87" s="69"/>
      <c r="G87" s="69"/>
      <c r="H87" s="69"/>
      <c r="I87" s="69"/>
      <c r="J87" s="69"/>
      <c r="N87" s="69"/>
      <c r="O87" s="69"/>
      <c r="P87" s="69"/>
      <c r="Q87" s="69"/>
      <c r="R87" s="69"/>
      <c r="S87" s="69"/>
      <c r="T87" s="69"/>
      <c r="U87" s="74" t="str">
        <f>'ISIAN DATA'!E72</f>
        <v>Tambi, 16 Juli 2026</v>
      </c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133"/>
      <c r="AG87" s="69"/>
      <c r="AH87" s="69"/>
      <c r="AI87" s="94"/>
    </row>
    <row r="88" spans="1:79" ht="12.75" customHeight="1">
      <c r="A88" s="69"/>
      <c r="B88" s="69"/>
      <c r="C88" s="69"/>
      <c r="D88" s="69"/>
      <c r="E88" s="69" t="s">
        <v>274</v>
      </c>
      <c r="F88" s="69"/>
      <c r="G88" s="69"/>
      <c r="H88" s="69"/>
      <c r="I88" s="69"/>
      <c r="J88" s="69"/>
      <c r="N88" s="69"/>
      <c r="O88" s="69"/>
      <c r="P88" s="69"/>
      <c r="Q88" s="69"/>
      <c r="R88" s="69"/>
      <c r="S88" s="69"/>
      <c r="T88" s="69"/>
      <c r="U88" s="74" t="s">
        <v>481</v>
      </c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133"/>
      <c r="AG88" s="69"/>
      <c r="AH88" s="69"/>
      <c r="AI88" s="94"/>
    </row>
    <row r="89" spans="1:79" ht="12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N89" s="69"/>
      <c r="O89" s="69"/>
      <c r="P89" s="69"/>
      <c r="Q89" s="69"/>
      <c r="R89" s="69"/>
      <c r="S89" s="69"/>
      <c r="T89" s="69"/>
      <c r="U89" s="74"/>
      <c r="V89" s="69"/>
      <c r="W89" s="69"/>
      <c r="X89" s="69"/>
      <c r="Y89" s="69"/>
      <c r="Z89" s="69"/>
      <c r="AA89" s="69"/>
      <c r="AB89" s="69"/>
      <c r="AC89" s="69"/>
      <c r="AD89" s="69"/>
      <c r="AE89" s="69"/>
      <c r="AF89" s="133"/>
      <c r="AG89" s="69"/>
      <c r="AH89" s="69"/>
      <c r="AI89" s="94"/>
    </row>
    <row r="90" spans="1:79" ht="12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3"/>
      <c r="L90" s="3"/>
      <c r="M90" s="3"/>
      <c r="N90" s="69"/>
      <c r="O90" s="69"/>
      <c r="P90" s="69"/>
      <c r="Q90" s="69"/>
      <c r="R90" s="69"/>
      <c r="S90" s="69"/>
      <c r="T90" s="69"/>
      <c r="U90" s="74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133"/>
      <c r="AG90" s="69"/>
      <c r="AH90" s="69"/>
      <c r="AI90" s="94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</row>
    <row r="91" spans="1:79" ht="12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N91" s="69"/>
      <c r="O91" s="69"/>
      <c r="P91" s="69"/>
      <c r="Q91" s="69"/>
      <c r="R91" s="69"/>
      <c r="S91" s="69"/>
      <c r="T91" s="69"/>
      <c r="U91" s="74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133"/>
      <c r="AG91" s="69"/>
      <c r="AH91" s="69"/>
      <c r="AI91" s="94"/>
    </row>
    <row r="92" spans="1:79" ht="12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74"/>
      <c r="V92" s="69"/>
      <c r="W92" s="69"/>
      <c r="X92" s="69"/>
      <c r="Y92" s="69"/>
      <c r="Z92" s="69"/>
      <c r="AA92" s="69"/>
      <c r="AB92" s="69"/>
      <c r="AC92" s="69"/>
      <c r="AD92" s="69"/>
      <c r="AE92" s="69"/>
      <c r="AF92" s="134"/>
      <c r="AG92" s="135"/>
      <c r="AH92" s="135"/>
      <c r="AI92" s="63"/>
    </row>
    <row r="93" spans="1:79" ht="12.75" customHeight="1">
      <c r="E93" s="128" t="s">
        <v>482</v>
      </c>
      <c r="F93" s="69"/>
      <c r="G93" s="69"/>
      <c r="H93" s="69"/>
      <c r="I93" s="69"/>
      <c r="J93" s="69"/>
      <c r="U93" s="136" t="str">
        <f>AI56</f>
        <v>BUDIANTO</v>
      </c>
    </row>
  </sheetData>
  <mergeCells count="33">
    <mergeCell ref="E48:AC48"/>
    <mergeCell ref="E40:I40"/>
    <mergeCell ref="P52:S52"/>
    <mergeCell ref="T52:X52"/>
    <mergeCell ref="Q58:Z58"/>
    <mergeCell ref="J49:N49"/>
    <mergeCell ref="T49:X49"/>
    <mergeCell ref="J50:N50"/>
    <mergeCell ref="T50:X50"/>
    <mergeCell ref="E52:I52"/>
    <mergeCell ref="E60:AC60"/>
    <mergeCell ref="J61:N61"/>
    <mergeCell ref="T61:X61"/>
    <mergeCell ref="J62:N62"/>
    <mergeCell ref="T62:X62"/>
    <mergeCell ref="E69:AC69"/>
    <mergeCell ref="J70:N70"/>
    <mergeCell ref="T70:X70"/>
    <mergeCell ref="J71:N71"/>
    <mergeCell ref="T71:X71"/>
    <mergeCell ref="E78:AC78"/>
    <mergeCell ref="J79:N79"/>
    <mergeCell ref="T79:X79"/>
    <mergeCell ref="J80:N80"/>
    <mergeCell ref="T80:X80"/>
    <mergeCell ref="X2:AA2"/>
    <mergeCell ref="T37:X37"/>
    <mergeCell ref="T38:X38"/>
    <mergeCell ref="A10:AD10"/>
    <mergeCell ref="A12:AC12"/>
    <mergeCell ref="E36:AC36"/>
    <mergeCell ref="J37:N37"/>
    <mergeCell ref="J38:N38"/>
  </mergeCells>
  <printOptions horizontalCentered="1"/>
  <pageMargins left="0.25" right="0.25" top="0.15748031496063" bottom="0.15748031496063" header="0" footer="0"/>
  <pageSetup paperSize="256" scale="73" fitToWidth="0" fitToHeight="0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/>
  </sheetViews>
  <sheetFormatPr defaultColWidth="12.5703125" defaultRowHeight="15" customHeight="1"/>
  <cols>
    <col min="1" max="1" width="8.5703125" customWidth="1"/>
    <col min="2" max="3" width="15.5703125" customWidth="1"/>
    <col min="4" max="4" width="8.28515625" customWidth="1"/>
    <col min="5" max="5" width="11.42578125" customWidth="1"/>
    <col min="6" max="11" width="15.5703125" customWidth="1"/>
    <col min="12" max="26" width="8.5703125" customWidth="1"/>
  </cols>
  <sheetData>
    <row r="1" spans="2:11" ht="12.75" customHeight="1"/>
    <row r="2" spans="2:11" ht="12.75" customHeight="1">
      <c r="B2" s="3" t="s">
        <v>606</v>
      </c>
    </row>
    <row r="3" spans="2:11" ht="12.75" customHeight="1">
      <c r="C3" s="144"/>
      <c r="D3" s="144"/>
      <c r="E3" s="144"/>
      <c r="F3" s="144"/>
      <c r="G3" s="144">
        <v>80000000</v>
      </c>
      <c r="H3" s="144"/>
      <c r="I3" s="144"/>
      <c r="J3" s="144"/>
      <c r="K3" s="144"/>
    </row>
    <row r="4" spans="2:11" ht="12.75" customHeight="1">
      <c r="C4" s="144"/>
      <c r="D4" s="144" t="s">
        <v>607</v>
      </c>
      <c r="E4" s="144"/>
      <c r="F4" s="144"/>
      <c r="G4" s="144"/>
      <c r="H4" s="144"/>
      <c r="I4" s="144"/>
      <c r="J4" s="144"/>
      <c r="K4" s="144"/>
    </row>
    <row r="5" spans="2:11" ht="12.75" customHeight="1">
      <c r="B5" s="3" t="s">
        <v>608</v>
      </c>
      <c r="C5" s="144">
        <v>1921000</v>
      </c>
      <c r="D5" s="144">
        <v>7</v>
      </c>
      <c r="E5" s="144">
        <f>C5/D5</f>
        <v>274428.57142857142</v>
      </c>
      <c r="F5" s="144">
        <v>28</v>
      </c>
      <c r="G5" s="144">
        <f t="shared" ref="G5:G7" si="0">C5*F5</f>
        <v>53788000</v>
      </c>
      <c r="H5" s="144">
        <f>G5*13%</f>
        <v>6992440</v>
      </c>
      <c r="I5" s="144"/>
      <c r="J5" s="144"/>
      <c r="K5" s="144"/>
    </row>
    <row r="6" spans="2:11" ht="12.75" customHeight="1">
      <c r="B6" s="3" t="s">
        <v>609</v>
      </c>
      <c r="C6" s="144">
        <v>250000</v>
      </c>
      <c r="D6" s="144">
        <v>1</v>
      </c>
      <c r="E6" s="144"/>
      <c r="F6" s="144">
        <v>28</v>
      </c>
      <c r="G6" s="144">
        <f t="shared" si="0"/>
        <v>7000000</v>
      </c>
      <c r="H6" s="144"/>
      <c r="I6" s="144"/>
      <c r="J6" s="144"/>
      <c r="K6" s="144"/>
    </row>
    <row r="7" spans="2:11" ht="12.75" customHeight="1">
      <c r="B7" s="3" t="s">
        <v>610</v>
      </c>
      <c r="C7" s="144">
        <v>452000</v>
      </c>
      <c r="D7" s="144">
        <v>1</v>
      </c>
      <c r="E7" s="144"/>
      <c r="F7" s="144">
        <v>26</v>
      </c>
      <c r="G7" s="144">
        <f t="shared" si="0"/>
        <v>11752000</v>
      </c>
      <c r="H7" s="144">
        <f t="shared" ref="H7:H8" si="1">G7*13%</f>
        <v>1527760</v>
      </c>
      <c r="I7" s="144"/>
      <c r="J7" s="144"/>
      <c r="K7" s="144"/>
    </row>
    <row r="8" spans="2:11" ht="12.75" customHeight="1">
      <c r="B8" s="3" t="s">
        <v>611</v>
      </c>
      <c r="C8" s="144">
        <v>6000000</v>
      </c>
      <c r="D8" s="144">
        <v>1</v>
      </c>
      <c r="E8" s="144"/>
      <c r="F8" s="144"/>
      <c r="G8" s="144">
        <f>C8*D8</f>
        <v>6000000</v>
      </c>
      <c r="H8" s="144">
        <f t="shared" si="1"/>
        <v>780000</v>
      </c>
      <c r="I8" s="144"/>
      <c r="J8" s="144"/>
      <c r="K8" s="144"/>
    </row>
    <row r="9" spans="2:11" ht="12.75" customHeight="1">
      <c r="C9" s="144"/>
      <c r="D9" s="144"/>
      <c r="E9" s="144"/>
      <c r="F9" s="144"/>
      <c r="G9" s="144"/>
      <c r="H9" s="144"/>
      <c r="I9" s="144"/>
      <c r="J9" s="144"/>
      <c r="K9" s="144"/>
    </row>
    <row r="10" spans="2:11" ht="12.75" customHeight="1">
      <c r="C10" s="144"/>
      <c r="D10" s="144"/>
      <c r="E10" s="144"/>
      <c r="F10" s="144"/>
      <c r="G10" s="144"/>
      <c r="H10" s="144"/>
      <c r="I10" s="144"/>
      <c r="J10" s="144"/>
      <c r="K10" s="144"/>
    </row>
    <row r="11" spans="2:11" ht="12.75" customHeight="1">
      <c r="G11" s="144">
        <f t="shared" ref="G11:H11" si="2">SUM(G5:G10)</f>
        <v>78540000</v>
      </c>
      <c r="H11" s="144">
        <f t="shared" si="2"/>
        <v>9300200</v>
      </c>
    </row>
    <row r="12" spans="2:11" ht="12.75" customHeight="1"/>
    <row r="13" spans="2:11" ht="12.75" customHeight="1">
      <c r="B13" s="3" t="s">
        <v>612</v>
      </c>
      <c r="H13" s="144">
        <f>G3-G11</f>
        <v>1460000</v>
      </c>
    </row>
    <row r="14" spans="2:11" ht="12.75" customHeight="1"/>
    <row r="15" spans="2:11" ht="12.75" customHeight="1">
      <c r="C15" s="144"/>
      <c r="D15" s="144" t="s">
        <v>607</v>
      </c>
      <c r="E15" s="144"/>
      <c r="F15" s="144"/>
      <c r="G15" s="144"/>
      <c r="H15" s="144"/>
    </row>
    <row r="16" spans="2:11" ht="12.75" customHeight="1">
      <c r="B16" s="3" t="s">
        <v>608</v>
      </c>
      <c r="C16" s="144">
        <v>1921000</v>
      </c>
      <c r="D16" s="144">
        <v>7</v>
      </c>
      <c r="E16" s="144">
        <f>C16/D16</f>
        <v>274428.57142857142</v>
      </c>
      <c r="F16" s="144">
        <v>28</v>
      </c>
      <c r="G16" s="144">
        <f t="shared" ref="G16:G17" si="3">C16*F16</f>
        <v>53788000</v>
      </c>
      <c r="H16" s="144">
        <f>G16*13%</f>
        <v>6992440</v>
      </c>
    </row>
    <row r="17" spans="1:9" ht="12.75" customHeight="1">
      <c r="B17" s="3" t="s">
        <v>609</v>
      </c>
      <c r="C17" s="144">
        <v>250000</v>
      </c>
      <c r="D17" s="144">
        <v>1</v>
      </c>
      <c r="E17" s="144"/>
      <c r="F17" s="144">
        <v>28</v>
      </c>
      <c r="G17" s="144">
        <f t="shared" si="3"/>
        <v>7000000</v>
      </c>
      <c r="H17" s="144"/>
    </row>
    <row r="18" spans="1:9" ht="12.75" customHeight="1">
      <c r="B18" s="3" t="s">
        <v>610</v>
      </c>
      <c r="C18" s="144">
        <v>452000</v>
      </c>
      <c r="D18" s="144">
        <v>2</v>
      </c>
      <c r="E18" s="144"/>
      <c r="F18" s="144">
        <v>28</v>
      </c>
      <c r="G18" s="144">
        <f>C18*D18*F18</f>
        <v>25312000</v>
      </c>
      <c r="H18" s="144">
        <f t="shared" ref="H18:H19" si="4">G18*13%</f>
        <v>3290560</v>
      </c>
    </row>
    <row r="19" spans="1:9" ht="12.75" customHeight="1">
      <c r="B19" s="3" t="s">
        <v>611</v>
      </c>
      <c r="C19" s="144">
        <v>6000000</v>
      </c>
      <c r="D19" s="144">
        <v>1</v>
      </c>
      <c r="E19" s="144"/>
      <c r="F19" s="144"/>
      <c r="G19" s="144">
        <f>C19*D19</f>
        <v>6000000</v>
      </c>
      <c r="H19" s="144">
        <f t="shared" si="4"/>
        <v>780000</v>
      </c>
    </row>
    <row r="20" spans="1:9" ht="12.75" customHeight="1">
      <c r="B20" s="3" t="s">
        <v>613</v>
      </c>
      <c r="C20" s="144">
        <v>95000</v>
      </c>
      <c r="D20" s="144"/>
      <c r="E20" s="144"/>
      <c r="F20" s="144">
        <v>20</v>
      </c>
      <c r="G20" s="144">
        <f t="shared" ref="G20:G22" si="5">C20*F20</f>
        <v>1900000</v>
      </c>
      <c r="H20" s="144"/>
    </row>
    <row r="21" spans="1:9" ht="12.75" customHeight="1">
      <c r="B21" s="3" t="s">
        <v>614</v>
      </c>
      <c r="C21" s="144">
        <v>80000</v>
      </c>
      <c r="D21" s="144"/>
      <c r="E21" s="144"/>
      <c r="F21" s="144">
        <v>28</v>
      </c>
      <c r="G21" s="144">
        <f t="shared" si="5"/>
        <v>2240000</v>
      </c>
      <c r="H21" s="144"/>
    </row>
    <row r="22" spans="1:9" ht="12.75" customHeight="1">
      <c r="B22" s="3" t="s">
        <v>615</v>
      </c>
      <c r="C22" s="144">
        <v>1000000</v>
      </c>
      <c r="D22" s="144"/>
      <c r="E22" s="144"/>
      <c r="F22" s="144">
        <v>1</v>
      </c>
      <c r="G22" s="144">
        <f t="shared" si="5"/>
        <v>1000000</v>
      </c>
      <c r="H22" s="144"/>
    </row>
    <row r="23" spans="1:9" ht="12.75" customHeight="1">
      <c r="B23" s="3"/>
      <c r="C23" s="144"/>
      <c r="D23" s="144"/>
      <c r="E23" s="144"/>
      <c r="F23" s="144"/>
      <c r="G23" s="144"/>
      <c r="H23" s="144"/>
    </row>
    <row r="24" spans="1:9" ht="12.75" customHeight="1">
      <c r="B24" s="3"/>
      <c r="C24" s="144"/>
      <c r="D24" s="144"/>
      <c r="E24" s="144"/>
      <c r="F24" s="144"/>
      <c r="G24" s="144"/>
      <c r="H24" s="144"/>
    </row>
    <row r="25" spans="1:9" ht="12.75" customHeight="1">
      <c r="B25" s="3"/>
      <c r="C25" s="144"/>
      <c r="D25" s="144"/>
      <c r="E25" s="144"/>
      <c r="F25" s="144"/>
      <c r="G25" s="144"/>
      <c r="H25" s="144"/>
    </row>
    <row r="26" spans="1:9" ht="12.75" customHeight="1"/>
    <row r="27" spans="1:9" ht="12.75" customHeight="1">
      <c r="G27" s="144">
        <f t="shared" ref="G27:H27" si="6">SUM(G16:G26)</f>
        <v>97240000</v>
      </c>
      <c r="H27" s="144">
        <f t="shared" si="6"/>
        <v>11063000</v>
      </c>
    </row>
    <row r="28" spans="1:9" ht="12.75" customHeight="1"/>
    <row r="29" spans="1:9" ht="12.75" customHeight="1">
      <c r="H29" s="144"/>
    </row>
    <row r="30" spans="1:9" ht="12.75" customHeight="1"/>
    <row r="31" spans="1:9" ht="12.75" customHeight="1">
      <c r="B31" s="3" t="s">
        <v>616</v>
      </c>
      <c r="C31" s="144">
        <v>23700000</v>
      </c>
      <c r="D31" s="144">
        <v>1</v>
      </c>
      <c r="E31" s="144"/>
      <c r="F31" s="144">
        <f t="shared" ref="F31:F32" si="7">C31*D31</f>
        <v>23700000</v>
      </c>
      <c r="G31" s="144"/>
      <c r="H31" s="144"/>
    </row>
    <row r="32" spans="1:9" ht="12.75" customHeight="1">
      <c r="A32" s="144"/>
      <c r="B32" s="144" t="s">
        <v>617</v>
      </c>
      <c r="C32" s="144">
        <v>2150000</v>
      </c>
      <c r="D32" s="144">
        <v>1</v>
      </c>
      <c r="E32" s="144"/>
      <c r="F32" s="144">
        <f t="shared" si="7"/>
        <v>2150000</v>
      </c>
      <c r="G32" s="144"/>
      <c r="H32" s="144"/>
      <c r="I32" s="144"/>
    </row>
    <row r="33" spans="1:9" ht="12.75" customHeight="1">
      <c r="A33" s="144"/>
      <c r="B33" s="144"/>
      <c r="C33" s="144"/>
      <c r="D33" s="144"/>
      <c r="E33" s="144"/>
      <c r="F33" s="144"/>
      <c r="G33" s="144"/>
      <c r="H33" s="144"/>
      <c r="I33" s="144"/>
    </row>
    <row r="34" spans="1:9" ht="12.75" customHeight="1">
      <c r="A34" s="144"/>
      <c r="B34" s="144" t="s">
        <v>618</v>
      </c>
      <c r="C34" s="144">
        <v>2200000</v>
      </c>
      <c r="D34" s="144">
        <v>8</v>
      </c>
      <c r="E34" s="144"/>
      <c r="F34" s="144">
        <f t="shared" ref="F34:F35" si="8">C34*D34</f>
        <v>17600000</v>
      </c>
      <c r="G34" s="144">
        <f>F34+F35</f>
        <v>19360000</v>
      </c>
      <c r="H34" s="144"/>
      <c r="I34" s="144"/>
    </row>
    <row r="35" spans="1:9" ht="12.75" customHeight="1">
      <c r="A35" s="144"/>
      <c r="B35" s="144" t="s">
        <v>619</v>
      </c>
      <c r="C35" s="144">
        <v>220000</v>
      </c>
      <c r="D35" s="144">
        <v>8</v>
      </c>
      <c r="E35" s="144"/>
      <c r="F35" s="144">
        <f t="shared" si="8"/>
        <v>1760000</v>
      </c>
      <c r="G35" s="144"/>
      <c r="H35" s="144"/>
      <c r="I35" s="144"/>
    </row>
    <row r="36" spans="1:9" ht="12.75" customHeight="1">
      <c r="A36" s="144"/>
      <c r="B36" s="144"/>
      <c r="C36" s="144"/>
      <c r="D36" s="144"/>
      <c r="E36" s="144"/>
      <c r="F36" s="144"/>
      <c r="G36" s="144"/>
      <c r="H36" s="144"/>
      <c r="I36" s="144"/>
    </row>
    <row r="37" spans="1:9" ht="12.75" customHeight="1">
      <c r="A37" s="144"/>
      <c r="B37" s="144" t="s">
        <v>620</v>
      </c>
      <c r="C37" s="144">
        <v>420000</v>
      </c>
      <c r="D37" s="144">
        <v>1</v>
      </c>
      <c r="E37" s="144"/>
      <c r="F37" s="144">
        <f>C37*D37</f>
        <v>420000</v>
      </c>
      <c r="G37" s="144"/>
      <c r="H37" s="144"/>
      <c r="I37" s="144"/>
    </row>
    <row r="38" spans="1:9" ht="12.75" customHeight="1">
      <c r="A38" s="144"/>
      <c r="B38" s="144"/>
      <c r="C38" s="144"/>
      <c r="D38" s="144"/>
      <c r="E38" s="144"/>
      <c r="F38" s="144"/>
      <c r="G38" s="144"/>
      <c r="H38" s="144"/>
      <c r="I38" s="144"/>
    </row>
    <row r="39" spans="1:9" ht="12.75" customHeight="1">
      <c r="A39" s="144"/>
      <c r="B39" s="144"/>
      <c r="C39" s="144"/>
      <c r="D39" s="144"/>
      <c r="E39" s="144"/>
      <c r="F39" s="144"/>
      <c r="G39" s="144"/>
      <c r="H39" s="144"/>
      <c r="I39" s="144"/>
    </row>
    <row r="40" spans="1:9" ht="12.75" customHeight="1">
      <c r="A40" s="144"/>
      <c r="B40" s="144"/>
      <c r="C40" s="144"/>
      <c r="D40" s="144"/>
      <c r="E40" s="144"/>
      <c r="F40" s="144">
        <f>SUM(F31:F39)</f>
        <v>45630000</v>
      </c>
      <c r="G40" s="144"/>
      <c r="H40" s="144"/>
      <c r="I40" s="144"/>
    </row>
    <row r="41" spans="1:9" ht="12.75" customHeight="1">
      <c r="A41" s="144"/>
      <c r="B41" s="144" t="s">
        <v>621</v>
      </c>
      <c r="C41" s="144">
        <v>61094012</v>
      </c>
      <c r="D41" s="144"/>
      <c r="E41" s="144"/>
      <c r="F41" s="144">
        <f>C41-F40</f>
        <v>15464012</v>
      </c>
      <c r="G41" s="144"/>
      <c r="H41" s="144"/>
      <c r="I41" s="144"/>
    </row>
    <row r="42" spans="1:9" ht="12.75" customHeight="1">
      <c r="A42" s="144"/>
      <c r="B42" s="144" t="s">
        <v>622</v>
      </c>
      <c r="C42" s="144"/>
      <c r="D42" s="144"/>
      <c r="E42" s="144"/>
      <c r="F42" s="144">
        <v>4915000</v>
      </c>
      <c r="G42" s="144"/>
      <c r="H42" s="144"/>
      <c r="I42" s="144"/>
    </row>
    <row r="43" spans="1:9" ht="12.75" customHeight="1">
      <c r="A43" s="144"/>
      <c r="B43" s="144"/>
      <c r="C43" s="144"/>
      <c r="D43" s="144"/>
      <c r="E43" s="144"/>
      <c r="F43" s="144">
        <f>F41-F42</f>
        <v>10549012</v>
      </c>
      <c r="G43" s="144"/>
      <c r="H43" s="144"/>
      <c r="I43" s="144"/>
    </row>
    <row r="44" spans="1:9" ht="12.75" customHeight="1">
      <c r="A44" s="144"/>
      <c r="B44" s="144"/>
      <c r="C44" s="144"/>
      <c r="D44" s="144"/>
      <c r="E44" s="144"/>
      <c r="F44" s="144"/>
      <c r="G44" s="144"/>
      <c r="H44" s="144"/>
      <c r="I44" s="144"/>
    </row>
    <row r="45" spans="1:9" ht="12.75" customHeight="1">
      <c r="A45" s="144"/>
      <c r="B45" s="144"/>
      <c r="C45" s="144"/>
      <c r="D45" s="144"/>
      <c r="E45" s="144"/>
      <c r="F45" s="144"/>
      <c r="G45" s="144"/>
      <c r="H45" s="144"/>
      <c r="I45" s="144"/>
    </row>
    <row r="46" spans="1:9" ht="12.75" customHeight="1">
      <c r="A46" s="144"/>
      <c r="B46" s="144"/>
      <c r="C46" s="144"/>
      <c r="D46" s="144"/>
      <c r="E46" s="144"/>
      <c r="F46" s="144"/>
      <c r="G46" s="144"/>
      <c r="H46" s="144"/>
      <c r="I46" s="144"/>
    </row>
    <row r="47" spans="1:9" ht="12.75" customHeight="1">
      <c r="A47" s="144"/>
      <c r="B47" s="144" t="s">
        <v>623</v>
      </c>
      <c r="C47" s="144">
        <v>500000</v>
      </c>
      <c r="D47" s="144">
        <v>1</v>
      </c>
      <c r="E47" s="144"/>
      <c r="F47" s="144">
        <f t="shared" ref="F47:F60" si="9">C47*D47</f>
        <v>500000</v>
      </c>
      <c r="G47" s="144"/>
      <c r="H47" s="144"/>
      <c r="I47" s="144"/>
    </row>
    <row r="48" spans="1:9" ht="12.75" customHeight="1">
      <c r="A48" s="144"/>
      <c r="B48" s="144" t="s">
        <v>624</v>
      </c>
      <c r="C48" s="144">
        <v>300000</v>
      </c>
      <c r="D48" s="144">
        <v>1</v>
      </c>
      <c r="E48" s="144"/>
      <c r="F48" s="144">
        <f t="shared" si="9"/>
        <v>300000</v>
      </c>
      <c r="G48" s="144"/>
      <c r="H48" s="144"/>
      <c r="I48" s="144"/>
    </row>
    <row r="49" spans="1:9" ht="12.75" customHeight="1">
      <c r="A49" s="144"/>
      <c r="B49" s="144" t="s">
        <v>625</v>
      </c>
      <c r="C49" s="144">
        <v>250000</v>
      </c>
      <c r="D49" s="144">
        <v>5</v>
      </c>
      <c r="E49" s="144"/>
      <c r="F49" s="144">
        <f t="shared" si="9"/>
        <v>1250000</v>
      </c>
      <c r="G49" s="144"/>
      <c r="H49" s="144"/>
      <c r="I49" s="144"/>
    </row>
    <row r="50" spans="1:9" ht="12.75" customHeight="1">
      <c r="A50" s="144"/>
      <c r="B50" s="144" t="s">
        <v>626</v>
      </c>
      <c r="C50" s="144">
        <v>200000</v>
      </c>
      <c r="D50" s="144">
        <v>3</v>
      </c>
      <c r="E50" s="144"/>
      <c r="F50" s="144">
        <f t="shared" si="9"/>
        <v>600000</v>
      </c>
      <c r="G50" s="144"/>
      <c r="H50" s="144"/>
      <c r="I50" s="144"/>
    </row>
    <row r="51" spans="1:9" ht="12.75" customHeight="1">
      <c r="A51" s="144"/>
      <c r="B51" s="144" t="s">
        <v>627</v>
      </c>
      <c r="C51" s="144">
        <v>200000</v>
      </c>
      <c r="D51" s="144">
        <v>3</v>
      </c>
      <c r="E51" s="144"/>
      <c r="F51" s="144">
        <f t="shared" si="9"/>
        <v>600000</v>
      </c>
      <c r="G51" s="144"/>
      <c r="H51" s="144"/>
      <c r="I51" s="144"/>
    </row>
    <row r="52" spans="1:9" ht="12.75" customHeight="1">
      <c r="A52" s="144"/>
      <c r="B52" s="144" t="s">
        <v>628</v>
      </c>
      <c r="C52" s="144">
        <v>200000</v>
      </c>
      <c r="D52" s="144">
        <v>10</v>
      </c>
      <c r="E52" s="144"/>
      <c r="F52" s="144">
        <f t="shared" si="9"/>
        <v>2000000</v>
      </c>
      <c r="G52" s="144"/>
      <c r="H52" s="144"/>
      <c r="I52" s="144"/>
    </row>
    <row r="53" spans="1:9" ht="12.75" customHeight="1">
      <c r="A53" s="144"/>
      <c r="B53" s="144" t="s">
        <v>629</v>
      </c>
      <c r="C53" s="144">
        <v>200000</v>
      </c>
      <c r="D53" s="144">
        <v>5</v>
      </c>
      <c r="E53" s="144"/>
      <c r="F53" s="144">
        <f t="shared" si="9"/>
        <v>1000000</v>
      </c>
      <c r="G53" s="144"/>
      <c r="H53" s="144"/>
      <c r="I53" s="144"/>
    </row>
    <row r="54" spans="1:9" ht="12.75" customHeight="1">
      <c r="A54" s="144"/>
      <c r="B54" s="144" t="s">
        <v>630</v>
      </c>
      <c r="C54" s="144">
        <v>50000</v>
      </c>
      <c r="D54" s="144">
        <v>20</v>
      </c>
      <c r="E54" s="144"/>
      <c r="F54" s="144">
        <f t="shared" si="9"/>
        <v>1000000</v>
      </c>
      <c r="G54" s="144"/>
      <c r="H54" s="144"/>
      <c r="I54" s="144"/>
    </row>
    <row r="55" spans="1:9" ht="12.75" customHeight="1">
      <c r="A55" s="144"/>
      <c r="B55" s="144" t="s">
        <v>631</v>
      </c>
      <c r="C55" s="144">
        <v>300000</v>
      </c>
      <c r="D55" s="144">
        <v>7</v>
      </c>
      <c r="E55" s="144"/>
      <c r="F55" s="144">
        <f t="shared" si="9"/>
        <v>2100000</v>
      </c>
      <c r="G55" s="144"/>
      <c r="H55" s="144"/>
      <c r="I55" s="144"/>
    </row>
    <row r="56" spans="1:9" ht="12.75" customHeight="1">
      <c r="A56" s="144"/>
      <c r="B56" s="144" t="s">
        <v>632</v>
      </c>
      <c r="C56" s="144">
        <v>50000</v>
      </c>
      <c r="D56" s="144">
        <v>10</v>
      </c>
      <c r="E56" s="144"/>
      <c r="F56" s="144">
        <f t="shared" si="9"/>
        <v>500000</v>
      </c>
      <c r="G56" s="144"/>
      <c r="H56" s="144"/>
      <c r="I56" s="144"/>
    </row>
    <row r="57" spans="1:9" ht="12.75" customHeight="1">
      <c r="A57" s="144"/>
      <c r="B57" s="144"/>
      <c r="C57" s="144"/>
      <c r="D57" s="144"/>
      <c r="E57" s="144"/>
      <c r="F57" s="144">
        <f t="shared" si="9"/>
        <v>0</v>
      </c>
      <c r="G57" s="144"/>
      <c r="H57" s="144"/>
      <c r="I57" s="144"/>
    </row>
    <row r="58" spans="1:9" ht="12.75" customHeight="1">
      <c r="A58" s="144"/>
      <c r="B58" s="144"/>
      <c r="C58" s="144"/>
      <c r="D58" s="144"/>
      <c r="E58" s="144"/>
      <c r="F58" s="144">
        <f t="shared" si="9"/>
        <v>0</v>
      </c>
      <c r="G58" s="144"/>
      <c r="H58" s="144"/>
      <c r="I58" s="144"/>
    </row>
    <row r="59" spans="1:9" ht="12.75" customHeight="1">
      <c r="A59" s="144"/>
      <c r="B59" s="144"/>
      <c r="C59" s="144"/>
      <c r="D59" s="144"/>
      <c r="E59" s="144"/>
      <c r="F59" s="144">
        <f t="shared" si="9"/>
        <v>0</v>
      </c>
      <c r="G59" s="144"/>
      <c r="H59" s="144"/>
      <c r="I59" s="144"/>
    </row>
    <row r="60" spans="1:9" ht="12.75" customHeight="1">
      <c r="A60" s="144"/>
      <c r="B60" s="144" t="s">
        <v>633</v>
      </c>
      <c r="C60" s="144">
        <v>30000</v>
      </c>
      <c r="D60" s="144">
        <v>100</v>
      </c>
      <c r="E60" s="144"/>
      <c r="F60" s="144">
        <f t="shared" si="9"/>
        <v>3000000</v>
      </c>
      <c r="G60" s="144"/>
      <c r="H60" s="144"/>
      <c r="I60" s="144"/>
    </row>
    <row r="61" spans="1:9" ht="12.75" customHeight="1">
      <c r="A61" s="144"/>
      <c r="B61" s="144"/>
      <c r="C61" s="144"/>
      <c r="D61" s="144"/>
      <c r="E61" s="144"/>
      <c r="F61" s="144">
        <f>SUM(F47:F60)</f>
        <v>12850000</v>
      </c>
      <c r="G61" s="144"/>
      <c r="H61" s="144"/>
      <c r="I61" s="144"/>
    </row>
    <row r="62" spans="1:9" ht="12.75" customHeight="1">
      <c r="A62" s="144"/>
      <c r="B62" s="144"/>
      <c r="C62" s="144"/>
      <c r="D62" s="144"/>
      <c r="E62" s="144"/>
      <c r="F62" s="144"/>
      <c r="G62" s="144"/>
      <c r="H62" s="144"/>
      <c r="I62" s="144"/>
    </row>
    <row r="63" spans="1:9" ht="12.75" customHeight="1">
      <c r="A63" s="144"/>
      <c r="B63" s="144"/>
      <c r="C63" s="144">
        <v>10701800</v>
      </c>
      <c r="D63" s="144"/>
      <c r="E63" s="144"/>
      <c r="F63" s="144"/>
      <c r="G63" s="144"/>
      <c r="H63" s="144"/>
      <c r="I63" s="144"/>
    </row>
    <row r="64" spans="1:9" ht="12.75" customHeight="1">
      <c r="A64" s="144"/>
      <c r="B64" s="144"/>
      <c r="C64" s="144">
        <v>7741800</v>
      </c>
      <c r="D64" s="144"/>
      <c r="E64" s="144"/>
      <c r="F64" s="144"/>
      <c r="G64" s="144"/>
      <c r="H64" s="144"/>
      <c r="I64" s="144"/>
    </row>
    <row r="65" spans="1:9" ht="12.75" customHeight="1">
      <c r="A65" s="144"/>
      <c r="B65" s="144"/>
      <c r="C65" s="144">
        <f>C63-C64</f>
        <v>2960000</v>
      </c>
      <c r="D65" s="144"/>
      <c r="E65" s="144"/>
      <c r="F65" s="144"/>
      <c r="G65" s="144"/>
      <c r="H65" s="144"/>
      <c r="I65" s="144"/>
    </row>
    <row r="66" spans="1:9" ht="12.75" customHeight="1">
      <c r="A66" s="144"/>
      <c r="B66" s="144"/>
      <c r="C66" s="144"/>
      <c r="D66" s="144"/>
      <c r="E66" s="144"/>
      <c r="F66" s="144"/>
      <c r="G66" s="144"/>
      <c r="H66" s="144"/>
      <c r="I66" s="144"/>
    </row>
    <row r="67" spans="1:9" ht="12.75" customHeight="1">
      <c r="A67" s="144"/>
      <c r="B67" s="144"/>
      <c r="C67" s="144"/>
      <c r="D67" s="144"/>
      <c r="E67" s="144"/>
      <c r="F67" s="144"/>
      <c r="G67" s="144"/>
      <c r="H67" s="144"/>
      <c r="I67" s="144"/>
    </row>
    <row r="68" spans="1:9" ht="12.75" customHeight="1">
      <c r="A68" s="144"/>
      <c r="B68" s="144"/>
      <c r="C68" s="144"/>
      <c r="D68" s="144"/>
      <c r="E68" s="144"/>
      <c r="F68" s="144"/>
      <c r="G68" s="144"/>
      <c r="H68" s="144"/>
      <c r="I68" s="144"/>
    </row>
    <row r="69" spans="1:9" ht="12.75" customHeight="1">
      <c r="A69" s="144"/>
      <c r="B69" s="144"/>
      <c r="C69" s="144"/>
      <c r="D69" s="144"/>
      <c r="E69" s="144"/>
      <c r="F69" s="144"/>
      <c r="G69" s="144"/>
      <c r="H69" s="144"/>
      <c r="I69" s="144"/>
    </row>
    <row r="70" spans="1:9" ht="12.75" customHeight="1">
      <c r="A70" s="144"/>
      <c r="B70" s="144"/>
      <c r="C70" s="144"/>
      <c r="D70" s="144"/>
      <c r="E70" s="144"/>
      <c r="F70" s="144"/>
      <c r="G70" s="144"/>
      <c r="H70" s="144"/>
      <c r="I70" s="144"/>
    </row>
    <row r="71" spans="1:9" ht="12.75" customHeight="1">
      <c r="A71" s="144"/>
      <c r="B71" s="144"/>
      <c r="C71" s="144"/>
      <c r="D71" s="144"/>
      <c r="E71" s="144"/>
      <c r="F71" s="144"/>
      <c r="G71" s="144"/>
      <c r="H71" s="144"/>
      <c r="I71" s="144"/>
    </row>
    <row r="72" spans="1:9" ht="12.75" customHeight="1">
      <c r="A72" s="144"/>
      <c r="B72" s="144"/>
      <c r="C72" s="144"/>
      <c r="D72" s="144"/>
      <c r="E72" s="144"/>
      <c r="F72" s="144"/>
      <c r="G72" s="144"/>
      <c r="H72" s="144"/>
      <c r="I72" s="144"/>
    </row>
    <row r="73" spans="1:9" ht="12.75" customHeight="1">
      <c r="A73" s="144"/>
      <c r="B73" s="144"/>
      <c r="C73" s="144"/>
      <c r="D73" s="144"/>
      <c r="E73" s="144"/>
      <c r="F73" s="144"/>
      <c r="G73" s="144"/>
      <c r="H73" s="144"/>
      <c r="I73" s="144"/>
    </row>
    <row r="74" spans="1:9" ht="12.75" customHeight="1">
      <c r="A74" s="144"/>
      <c r="B74" s="144"/>
      <c r="C74" s="144"/>
      <c r="D74" s="144"/>
      <c r="E74" s="144"/>
      <c r="F74" s="144"/>
      <c r="G74" s="144"/>
      <c r="H74" s="144"/>
      <c r="I74" s="144"/>
    </row>
    <row r="75" spans="1:9" ht="12.75" customHeight="1">
      <c r="A75" s="144"/>
      <c r="B75" s="144"/>
      <c r="C75" s="144"/>
      <c r="D75" s="144"/>
      <c r="E75" s="144"/>
      <c r="F75" s="144"/>
      <c r="G75" s="144"/>
      <c r="H75" s="144"/>
      <c r="I75" s="144"/>
    </row>
    <row r="76" spans="1:9" ht="12.75" customHeight="1">
      <c r="A76" s="144"/>
      <c r="B76" s="144"/>
      <c r="C76" s="144"/>
      <c r="D76" s="144"/>
      <c r="E76" s="144"/>
      <c r="F76" s="144"/>
      <c r="G76" s="144"/>
      <c r="H76" s="144"/>
      <c r="I76" s="144"/>
    </row>
    <row r="77" spans="1:9" ht="12.75" customHeight="1">
      <c r="A77" s="144"/>
      <c r="B77" s="144"/>
      <c r="C77" s="144"/>
      <c r="D77" s="144"/>
      <c r="E77" s="144"/>
      <c r="F77" s="144"/>
      <c r="G77" s="144"/>
      <c r="H77" s="144"/>
      <c r="I77" s="144"/>
    </row>
    <row r="78" spans="1:9" ht="12.75" customHeight="1">
      <c r="A78" s="144"/>
      <c r="B78" s="144"/>
      <c r="C78" s="144"/>
      <c r="D78" s="144"/>
      <c r="E78" s="144"/>
      <c r="F78" s="144"/>
      <c r="G78" s="144"/>
      <c r="H78" s="144"/>
      <c r="I78" s="144"/>
    </row>
    <row r="79" spans="1:9" ht="12.75" customHeight="1">
      <c r="A79" s="144"/>
      <c r="B79" s="144"/>
      <c r="C79" s="144"/>
      <c r="D79" s="144"/>
      <c r="E79" s="144"/>
      <c r="F79" s="144"/>
      <c r="G79" s="144"/>
      <c r="H79" s="144"/>
      <c r="I79" s="144"/>
    </row>
    <row r="80" spans="1:9" ht="12.75" customHeight="1">
      <c r="A80" s="144"/>
      <c r="B80" s="144"/>
      <c r="C80" s="144"/>
      <c r="D80" s="144"/>
      <c r="E80" s="144"/>
      <c r="F80" s="144"/>
      <c r="G80" s="144"/>
      <c r="H80" s="144"/>
      <c r="I80" s="144"/>
    </row>
    <row r="81" spans="1:9" ht="12.75" customHeight="1">
      <c r="A81" s="144"/>
      <c r="B81" s="144"/>
      <c r="C81" s="144"/>
      <c r="D81" s="144"/>
      <c r="E81" s="144"/>
      <c r="F81" s="144"/>
      <c r="G81" s="144"/>
      <c r="H81" s="144"/>
      <c r="I81" s="144"/>
    </row>
    <row r="82" spans="1:9" ht="12.75" customHeight="1">
      <c r="A82" s="144"/>
      <c r="B82" s="144"/>
      <c r="C82" s="144"/>
      <c r="D82" s="144"/>
      <c r="E82" s="144"/>
      <c r="F82" s="144"/>
      <c r="G82" s="144"/>
      <c r="H82" s="144"/>
      <c r="I82" s="144"/>
    </row>
    <row r="83" spans="1:9" ht="12.75" customHeight="1">
      <c r="A83" s="144"/>
      <c r="B83" s="144"/>
      <c r="C83" s="144"/>
      <c r="D83" s="144"/>
      <c r="E83" s="144"/>
      <c r="F83" s="144"/>
      <c r="G83" s="144"/>
      <c r="H83" s="144"/>
      <c r="I83" s="144"/>
    </row>
    <row r="84" spans="1:9" ht="12.75" customHeight="1">
      <c r="A84" s="144"/>
      <c r="B84" s="144"/>
      <c r="C84" s="144"/>
      <c r="D84" s="144"/>
      <c r="E84" s="144"/>
      <c r="F84" s="144"/>
      <c r="G84" s="144"/>
      <c r="H84" s="144"/>
      <c r="I84" s="144"/>
    </row>
    <row r="85" spans="1:9" ht="12.75" customHeight="1">
      <c r="A85" s="144"/>
      <c r="B85" s="144"/>
      <c r="C85" s="144"/>
      <c r="D85" s="144"/>
      <c r="E85" s="144"/>
      <c r="F85" s="144"/>
      <c r="G85" s="144"/>
      <c r="H85" s="144"/>
      <c r="I85" s="144"/>
    </row>
    <row r="86" spans="1:9" ht="12.75" customHeight="1">
      <c r="A86" s="144"/>
      <c r="B86" s="144"/>
      <c r="C86" s="144"/>
      <c r="D86" s="144"/>
      <c r="E86" s="144"/>
      <c r="F86" s="144"/>
      <c r="G86" s="144"/>
      <c r="H86" s="144"/>
      <c r="I86" s="144"/>
    </row>
    <row r="87" spans="1:9" ht="12.75" customHeight="1">
      <c r="A87" s="144"/>
      <c r="B87" s="144"/>
      <c r="C87" s="144"/>
      <c r="D87" s="144"/>
      <c r="E87" s="144"/>
      <c r="F87" s="144"/>
      <c r="G87" s="144"/>
      <c r="H87" s="144"/>
      <c r="I87" s="144"/>
    </row>
    <row r="88" spans="1:9" ht="12.75" customHeight="1">
      <c r="A88" s="144"/>
      <c r="B88" s="144"/>
      <c r="C88" s="144"/>
      <c r="D88" s="144"/>
      <c r="E88" s="144"/>
      <c r="F88" s="144"/>
      <c r="G88" s="144"/>
      <c r="H88" s="144"/>
      <c r="I88" s="144"/>
    </row>
    <row r="89" spans="1:9" ht="12.75" customHeight="1">
      <c r="A89" s="144"/>
      <c r="B89" s="144"/>
      <c r="C89" s="144"/>
      <c r="D89" s="144"/>
      <c r="E89" s="144"/>
      <c r="F89" s="144"/>
      <c r="G89" s="144"/>
      <c r="H89" s="144"/>
      <c r="I89" s="144"/>
    </row>
    <row r="90" spans="1:9" ht="12.75" customHeight="1">
      <c r="A90" s="144"/>
      <c r="B90" s="144"/>
      <c r="C90" s="144"/>
      <c r="D90" s="144"/>
      <c r="E90" s="144"/>
      <c r="F90" s="144"/>
      <c r="G90" s="144"/>
      <c r="H90" s="144"/>
      <c r="I90" s="144"/>
    </row>
    <row r="91" spans="1:9" ht="12.75" customHeight="1">
      <c r="A91" s="144"/>
      <c r="B91" s="144"/>
      <c r="C91" s="144"/>
      <c r="D91" s="144"/>
      <c r="E91" s="144"/>
      <c r="F91" s="144"/>
      <c r="G91" s="144"/>
      <c r="H91" s="144"/>
      <c r="I91" s="144"/>
    </row>
    <row r="92" spans="1:9" ht="12.75" customHeight="1">
      <c r="A92" s="144"/>
      <c r="B92" s="144"/>
      <c r="C92" s="144"/>
      <c r="D92" s="144"/>
      <c r="E92" s="144"/>
      <c r="F92" s="144"/>
      <c r="G92" s="144"/>
      <c r="H92" s="144"/>
      <c r="I92" s="144"/>
    </row>
    <row r="93" spans="1:9" ht="12.75" customHeight="1"/>
    <row r="94" spans="1:9" ht="12.75" customHeight="1"/>
    <row r="95" spans="1:9" ht="12.75" customHeight="1"/>
    <row r="96" spans="1:9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scale="8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5703125" defaultRowHeight="15" customHeight="1"/>
  <cols>
    <col min="1" max="26" width="8.570312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/>
  </sheetViews>
  <sheetFormatPr defaultColWidth="12.5703125" defaultRowHeight="15" customHeight="1"/>
  <cols>
    <col min="1" max="1" width="3.85546875" customWidth="1"/>
    <col min="2" max="2" width="21.140625" customWidth="1"/>
    <col min="3" max="3" width="2.42578125" customWidth="1"/>
    <col min="4" max="26" width="8.5703125" customWidth="1"/>
  </cols>
  <sheetData>
    <row r="1" spans="1:10" ht="12.75" customHeight="1"/>
    <row r="2" spans="1:10" ht="12.75" customHeight="1"/>
    <row r="3" spans="1:10" ht="12.75" customHeight="1">
      <c r="A3" s="69"/>
      <c r="B3" s="198" t="s">
        <v>634</v>
      </c>
      <c r="C3" s="194"/>
      <c r="D3" s="194"/>
      <c r="E3" s="194"/>
      <c r="F3" s="194"/>
      <c r="G3" s="194"/>
      <c r="H3" s="194"/>
      <c r="I3" s="194"/>
      <c r="J3" s="194"/>
    </row>
    <row r="4" spans="1:10" ht="12.75" customHeight="1">
      <c r="A4" s="69"/>
      <c r="B4" s="230"/>
      <c r="C4" s="194"/>
      <c r="D4" s="194"/>
      <c r="E4" s="194"/>
      <c r="F4" s="194"/>
      <c r="G4" s="194"/>
    </row>
    <row r="5" spans="1:10" ht="12.75" customHeight="1">
      <c r="A5" s="69"/>
      <c r="B5" s="69"/>
      <c r="C5" s="69"/>
      <c r="D5" s="69"/>
      <c r="E5" s="69"/>
      <c r="F5" s="69"/>
      <c r="G5" s="69"/>
    </row>
    <row r="6" spans="1:10" ht="12.75" customHeight="1">
      <c r="A6" s="69"/>
      <c r="B6" s="69" t="s">
        <v>635</v>
      </c>
      <c r="C6" s="69"/>
      <c r="D6" s="69"/>
      <c r="E6" s="69"/>
      <c r="F6" s="69"/>
      <c r="G6" s="69"/>
    </row>
    <row r="7" spans="1:10" ht="12.75" customHeight="1">
      <c r="A7" s="69"/>
      <c r="B7" s="69"/>
      <c r="C7" s="69"/>
      <c r="D7" s="69"/>
      <c r="E7" s="69"/>
      <c r="F7" s="69"/>
      <c r="G7" s="69"/>
    </row>
    <row r="8" spans="1:10" ht="12.75" customHeight="1">
      <c r="A8" s="69"/>
      <c r="B8" s="69" t="s">
        <v>636</v>
      </c>
      <c r="C8" s="69" t="s">
        <v>10</v>
      </c>
      <c r="D8" s="69" t="s">
        <v>637</v>
      </c>
      <c r="E8" s="69"/>
      <c r="F8" s="69"/>
      <c r="G8" s="69"/>
    </row>
    <row r="9" spans="1:10" ht="12.75" customHeight="1">
      <c r="A9" s="69"/>
      <c r="B9" s="69" t="s">
        <v>638</v>
      </c>
      <c r="C9" s="69" t="s">
        <v>10</v>
      </c>
      <c r="D9" s="69" t="s">
        <v>637</v>
      </c>
      <c r="E9" s="69"/>
      <c r="F9" s="69"/>
      <c r="G9" s="69"/>
    </row>
    <row r="10" spans="1:10" ht="12.75" customHeight="1">
      <c r="A10" s="69"/>
      <c r="B10" s="69" t="s">
        <v>122</v>
      </c>
      <c r="C10" s="69" t="s">
        <v>10</v>
      </c>
      <c r="D10" s="69" t="s">
        <v>637</v>
      </c>
      <c r="E10" s="69"/>
      <c r="F10" s="69"/>
      <c r="G10" s="69"/>
    </row>
    <row r="11" spans="1:10" ht="12.75" customHeight="1">
      <c r="A11" s="69"/>
      <c r="B11" s="69" t="s">
        <v>125</v>
      </c>
      <c r="C11" s="69" t="s">
        <v>10</v>
      </c>
      <c r="D11" s="69" t="s">
        <v>637</v>
      </c>
      <c r="E11" s="69"/>
      <c r="F11" s="69"/>
      <c r="G11" s="69"/>
    </row>
    <row r="12" spans="1:10" ht="12.75" customHeight="1">
      <c r="A12" s="69"/>
      <c r="B12" s="69" t="s">
        <v>639</v>
      </c>
      <c r="C12" s="69" t="s">
        <v>10</v>
      </c>
      <c r="D12" s="69" t="s">
        <v>637</v>
      </c>
      <c r="E12" s="69"/>
      <c r="F12" s="69"/>
      <c r="G12" s="69"/>
    </row>
    <row r="13" spans="1:10" ht="12.75" customHeight="1">
      <c r="A13" s="69"/>
      <c r="B13" s="69" t="s">
        <v>128</v>
      </c>
      <c r="C13" s="69" t="s">
        <v>10</v>
      </c>
      <c r="D13" s="69" t="s">
        <v>637</v>
      </c>
      <c r="E13" s="69"/>
      <c r="F13" s="69"/>
      <c r="G13" s="69"/>
    </row>
    <row r="14" spans="1:10" ht="12.75" customHeight="1">
      <c r="A14" s="69"/>
      <c r="B14" s="69" t="s">
        <v>640</v>
      </c>
      <c r="C14" s="69" t="s">
        <v>10</v>
      </c>
      <c r="D14" s="69" t="s">
        <v>637</v>
      </c>
      <c r="E14" s="69"/>
      <c r="F14" s="69"/>
      <c r="G14" s="69"/>
    </row>
    <row r="15" spans="1:10" ht="12.75" customHeight="1">
      <c r="A15" s="69"/>
      <c r="B15" s="69"/>
      <c r="C15" s="69"/>
      <c r="D15" s="69" t="s">
        <v>637</v>
      </c>
      <c r="E15" s="69"/>
      <c r="F15" s="69"/>
      <c r="G15" s="69"/>
    </row>
    <row r="16" spans="1:10" ht="12.75" customHeight="1">
      <c r="A16" s="69"/>
      <c r="B16" s="69"/>
      <c r="C16" s="69"/>
      <c r="D16" s="69"/>
      <c r="E16" s="69"/>
      <c r="F16" s="69"/>
      <c r="G16" s="69"/>
    </row>
    <row r="17" spans="1:9" ht="12.75" customHeight="1">
      <c r="A17" s="69"/>
      <c r="B17" s="69" t="s">
        <v>641</v>
      </c>
      <c r="C17" s="69"/>
      <c r="D17" s="69"/>
      <c r="E17" s="69"/>
      <c r="F17" s="69"/>
      <c r="G17" s="69"/>
    </row>
    <row r="18" spans="1:9" ht="12.75" customHeight="1">
      <c r="A18" s="69"/>
      <c r="B18" s="69" t="s">
        <v>642</v>
      </c>
      <c r="C18" s="69"/>
      <c r="D18" s="69"/>
      <c r="E18" s="69"/>
      <c r="F18" s="69"/>
      <c r="G18" s="69"/>
    </row>
    <row r="19" spans="1:9" ht="12.75" customHeight="1">
      <c r="A19" s="69"/>
      <c r="B19" s="69" t="s">
        <v>643</v>
      </c>
      <c r="C19" s="69"/>
      <c r="D19" s="69"/>
      <c r="E19" s="69"/>
      <c r="F19" s="69"/>
      <c r="G19" s="69"/>
    </row>
    <row r="20" spans="1:9" ht="12.75" customHeight="1">
      <c r="A20" s="69"/>
      <c r="B20" s="69"/>
      <c r="C20" s="69"/>
      <c r="D20" s="69"/>
      <c r="E20" s="69"/>
      <c r="F20" s="69"/>
      <c r="G20" s="69"/>
    </row>
    <row r="21" spans="1:9" ht="12.75" customHeight="1">
      <c r="A21" s="69"/>
      <c r="B21" s="69" t="s">
        <v>644</v>
      </c>
      <c r="C21" s="69"/>
      <c r="D21" s="69"/>
      <c r="E21" s="69"/>
      <c r="F21" s="69"/>
      <c r="G21" s="69"/>
    </row>
    <row r="22" spans="1:9" ht="12.75" customHeight="1">
      <c r="A22" s="69"/>
      <c r="B22" s="69" t="s">
        <v>645</v>
      </c>
      <c r="C22" s="69"/>
      <c r="D22" s="69"/>
      <c r="E22" s="69"/>
      <c r="F22" s="69"/>
      <c r="G22" s="69"/>
    </row>
    <row r="23" spans="1:9" ht="12.75" customHeight="1">
      <c r="A23" s="69"/>
      <c r="B23" s="69" t="s">
        <v>646</v>
      </c>
      <c r="C23" s="69"/>
      <c r="D23" s="69"/>
      <c r="E23" s="69"/>
      <c r="F23" s="69"/>
      <c r="G23" s="69"/>
    </row>
    <row r="24" spans="1:9" ht="12.75" customHeight="1">
      <c r="A24" s="69"/>
      <c r="B24" s="69"/>
      <c r="C24" s="69"/>
      <c r="D24" s="69"/>
      <c r="E24" s="69"/>
      <c r="F24" s="69"/>
      <c r="G24" s="69"/>
    </row>
    <row r="25" spans="1:9" ht="12.75" customHeight="1">
      <c r="A25" s="69"/>
      <c r="C25" s="69"/>
      <c r="D25" s="69"/>
      <c r="E25" s="69"/>
      <c r="F25" s="69"/>
      <c r="G25" s="69"/>
    </row>
    <row r="26" spans="1:9" ht="12.75" customHeight="1">
      <c r="A26" s="69"/>
      <c r="B26" s="69"/>
      <c r="C26" s="69"/>
      <c r="D26" s="69"/>
      <c r="E26" s="69"/>
      <c r="F26" s="69"/>
      <c r="G26" s="69"/>
      <c r="H26" s="69"/>
      <c r="I26" s="69"/>
    </row>
    <row r="27" spans="1:9" ht="12.75" customHeight="1">
      <c r="A27" s="69"/>
      <c r="B27" s="69"/>
      <c r="C27" s="69"/>
      <c r="D27" s="69"/>
      <c r="E27" s="69"/>
      <c r="F27" s="69"/>
      <c r="G27" s="69" t="s">
        <v>647</v>
      </c>
      <c r="H27" s="69"/>
      <c r="I27" s="69"/>
    </row>
    <row r="28" spans="1:9" ht="12.75" customHeight="1">
      <c r="A28" s="69"/>
      <c r="B28" s="69"/>
      <c r="C28" s="69"/>
      <c r="D28" s="69"/>
      <c r="E28" s="69"/>
      <c r="F28" s="69"/>
      <c r="G28" s="69"/>
      <c r="H28" s="69"/>
      <c r="I28" s="69"/>
    </row>
    <row r="29" spans="1:9" ht="12.75" customHeight="1">
      <c r="A29" s="69"/>
      <c r="B29" s="69"/>
      <c r="C29" s="69"/>
      <c r="D29" s="69"/>
      <c r="E29" s="69"/>
      <c r="F29" s="69"/>
      <c r="G29" s="69" t="s">
        <v>648</v>
      </c>
      <c r="H29" s="69"/>
      <c r="I29" s="69"/>
    </row>
    <row r="30" spans="1:9" ht="12.75" customHeight="1">
      <c r="A30" s="69"/>
      <c r="B30" s="69"/>
      <c r="C30" s="69"/>
      <c r="D30" s="69"/>
      <c r="E30" s="69"/>
      <c r="F30" s="69"/>
      <c r="G30" s="69"/>
      <c r="H30" s="69"/>
      <c r="I30" s="69"/>
    </row>
    <row r="31" spans="1:9" ht="12.75" customHeight="1">
      <c r="A31" s="69"/>
      <c r="B31" s="69"/>
      <c r="C31" s="69"/>
      <c r="D31" s="69"/>
      <c r="E31" s="69"/>
      <c r="F31" s="69"/>
      <c r="G31" s="69"/>
      <c r="H31" s="69"/>
      <c r="I31" s="69"/>
    </row>
    <row r="32" spans="1:9" ht="12.75" customHeight="1">
      <c r="A32" s="69"/>
      <c r="B32" s="69"/>
      <c r="C32" s="69"/>
      <c r="D32" s="69"/>
      <c r="E32" s="69"/>
      <c r="F32" s="69"/>
      <c r="G32" s="69"/>
      <c r="H32" s="69"/>
      <c r="I32" s="69"/>
    </row>
    <row r="33" spans="1:9" ht="12.75" customHeight="1">
      <c r="A33" s="69"/>
      <c r="B33" s="69"/>
      <c r="C33" s="69"/>
      <c r="D33" s="69"/>
      <c r="E33" s="69"/>
      <c r="F33" s="69"/>
      <c r="G33" s="69" t="s">
        <v>649</v>
      </c>
      <c r="H33" s="69"/>
      <c r="I33" s="69"/>
    </row>
    <row r="34" spans="1:9" ht="12.75" customHeight="1">
      <c r="A34" s="69"/>
      <c r="B34" s="69" t="s">
        <v>650</v>
      </c>
      <c r="C34" s="69"/>
      <c r="D34" s="69"/>
      <c r="E34" s="69"/>
      <c r="F34" s="69"/>
      <c r="G34" s="69"/>
      <c r="H34" s="69"/>
      <c r="I34" s="69"/>
    </row>
    <row r="35" spans="1:9" ht="12.75" customHeight="1">
      <c r="A35" s="69"/>
      <c r="B35" s="69"/>
      <c r="C35" s="69"/>
      <c r="D35" s="69"/>
      <c r="E35" s="69"/>
      <c r="F35" s="69"/>
      <c r="G35" s="69"/>
      <c r="H35" s="69"/>
      <c r="I35" s="69"/>
    </row>
    <row r="36" spans="1:9" ht="12.75" customHeight="1">
      <c r="A36" s="69"/>
      <c r="B36" s="69" t="s">
        <v>651</v>
      </c>
      <c r="C36" s="69"/>
      <c r="D36" s="69" t="s">
        <v>652</v>
      </c>
      <c r="E36" s="69"/>
      <c r="F36" s="69"/>
      <c r="G36" s="69"/>
      <c r="H36" s="69"/>
      <c r="I36" s="69"/>
    </row>
    <row r="37" spans="1:9" ht="12.75" customHeight="1">
      <c r="A37" s="69"/>
      <c r="B37" s="69"/>
      <c r="C37" s="69"/>
      <c r="D37" s="69"/>
      <c r="E37" s="69"/>
      <c r="F37" s="69"/>
      <c r="G37" s="69"/>
      <c r="H37" s="69"/>
      <c r="I37" s="69"/>
    </row>
    <row r="38" spans="1:9" ht="12.75" customHeight="1">
      <c r="B38" s="69" t="s">
        <v>653</v>
      </c>
      <c r="C38" s="69"/>
      <c r="D38" s="69" t="s">
        <v>652</v>
      </c>
      <c r="E38" s="69"/>
      <c r="F38" s="69"/>
      <c r="G38" s="69"/>
      <c r="H38" s="69"/>
      <c r="I38" s="69"/>
    </row>
    <row r="39" spans="1:9" ht="12.75" customHeight="1">
      <c r="B39" s="69"/>
      <c r="C39" s="69"/>
      <c r="D39" s="69"/>
      <c r="E39" s="69"/>
      <c r="F39" s="69"/>
      <c r="G39" s="69"/>
      <c r="H39" s="69"/>
      <c r="I39" s="69"/>
    </row>
    <row r="40" spans="1:9" ht="12.75" customHeight="1">
      <c r="B40" s="69"/>
      <c r="C40" s="69"/>
      <c r="D40" s="69"/>
      <c r="E40" s="69"/>
      <c r="F40" s="69"/>
      <c r="G40" s="69"/>
      <c r="H40" s="69"/>
      <c r="I40" s="69"/>
    </row>
    <row r="41" spans="1:9" ht="12.75" customHeight="1">
      <c r="B41" s="69"/>
      <c r="C41" s="69"/>
      <c r="D41" s="69"/>
      <c r="E41" s="69"/>
      <c r="F41" s="69"/>
      <c r="G41" s="69"/>
      <c r="H41" s="69"/>
      <c r="I41" s="69"/>
    </row>
    <row r="42" spans="1:9" ht="12.75" customHeight="1">
      <c r="B42" s="69"/>
      <c r="C42" s="69"/>
      <c r="D42" s="69"/>
      <c r="E42" s="230" t="s">
        <v>588</v>
      </c>
      <c r="F42" s="194"/>
      <c r="G42" s="194"/>
      <c r="H42" s="69"/>
      <c r="I42" s="69"/>
    </row>
    <row r="43" spans="1:9" ht="12.75" customHeight="1">
      <c r="B43" s="69"/>
      <c r="C43" s="69"/>
      <c r="D43" s="69"/>
      <c r="E43" s="230" t="s">
        <v>151</v>
      </c>
      <c r="F43" s="194"/>
      <c r="G43" s="194"/>
      <c r="H43" s="69"/>
      <c r="I43" s="69"/>
    </row>
    <row r="44" spans="1:9" ht="12.75" customHeight="1">
      <c r="B44" s="69"/>
      <c r="C44" s="69"/>
      <c r="D44" s="69"/>
      <c r="E44" s="69"/>
      <c r="F44" s="69"/>
      <c r="G44" s="69"/>
      <c r="H44" s="69"/>
      <c r="I44" s="69"/>
    </row>
    <row r="45" spans="1:9" ht="12.75" customHeight="1">
      <c r="B45" s="69"/>
      <c r="C45" s="69"/>
      <c r="D45" s="69"/>
      <c r="E45" s="69"/>
      <c r="F45" s="69"/>
      <c r="G45" s="69"/>
      <c r="H45" s="69"/>
      <c r="I45" s="69"/>
    </row>
    <row r="46" spans="1:9" ht="12.75" customHeight="1">
      <c r="B46" s="69"/>
      <c r="C46" s="69"/>
      <c r="D46" s="69"/>
      <c r="E46" s="69"/>
      <c r="F46" s="69"/>
      <c r="G46" s="69"/>
      <c r="H46" s="69"/>
      <c r="I46" s="69"/>
    </row>
    <row r="47" spans="1:9" ht="12.75" customHeight="1">
      <c r="B47" s="69"/>
      <c r="C47" s="69"/>
      <c r="D47" s="69"/>
      <c r="E47" s="69"/>
      <c r="F47" s="69"/>
      <c r="G47" s="69"/>
      <c r="H47" s="69"/>
      <c r="I47" s="69"/>
    </row>
    <row r="48" spans="1:9" ht="12.75" customHeight="1">
      <c r="B48" s="69"/>
      <c r="C48" s="69"/>
      <c r="D48" s="69"/>
      <c r="E48" s="230" t="s">
        <v>152</v>
      </c>
      <c r="F48" s="194"/>
      <c r="G48" s="194"/>
      <c r="H48" s="69"/>
      <c r="I48" s="69"/>
    </row>
    <row r="49" spans="2:9" ht="12.75" customHeight="1">
      <c r="B49" s="69"/>
      <c r="C49" s="69"/>
      <c r="D49" s="69"/>
      <c r="E49" s="69"/>
      <c r="F49" s="69"/>
      <c r="G49" s="69"/>
      <c r="H49" s="69"/>
      <c r="I49" s="69"/>
    </row>
    <row r="50" spans="2:9" ht="12.75" customHeight="1">
      <c r="B50" s="69"/>
      <c r="C50" s="69"/>
      <c r="D50" s="69"/>
      <c r="E50" s="69"/>
      <c r="F50" s="69"/>
      <c r="G50" s="69"/>
      <c r="H50" s="69"/>
      <c r="I50" s="69"/>
    </row>
    <row r="51" spans="2:9" ht="12.75" customHeight="1"/>
    <row r="52" spans="2:9" ht="12.75" customHeight="1"/>
    <row r="53" spans="2:9" ht="12.75" customHeight="1"/>
    <row r="54" spans="2:9" ht="12.75" customHeight="1"/>
    <row r="55" spans="2:9" ht="12.75" customHeight="1"/>
    <row r="56" spans="2:9" ht="12.75" customHeight="1"/>
    <row r="57" spans="2:9" ht="12.75" customHeight="1"/>
    <row r="58" spans="2:9" ht="12.75" customHeight="1"/>
    <row r="59" spans="2:9" ht="12.75" customHeight="1"/>
    <row r="60" spans="2:9" ht="12.75" customHeight="1"/>
    <row r="61" spans="2:9" ht="12.75" customHeight="1"/>
    <row r="62" spans="2:9" ht="12.75" customHeight="1"/>
    <row r="63" spans="2:9" ht="12.75" customHeight="1"/>
    <row r="64" spans="2:9" ht="12.75" customHeight="1"/>
    <row r="65" spans="1:10" ht="12.75" customHeight="1"/>
    <row r="66" spans="1:10" ht="12.75" customHeight="1"/>
    <row r="67" spans="1:10" ht="12.75" customHeight="1"/>
    <row r="68" spans="1:10" ht="12.75" customHeight="1"/>
    <row r="69" spans="1:10" ht="12.75" customHeight="1"/>
    <row r="70" spans="1:10" ht="12.75" customHeight="1"/>
    <row r="71" spans="1:10" ht="12.75" customHeight="1"/>
    <row r="72" spans="1:10" ht="12.75" customHeight="1"/>
    <row r="73" spans="1:10" ht="12.75" customHeight="1"/>
    <row r="74" spans="1:10" ht="12.75" customHeight="1">
      <c r="A74" s="69"/>
      <c r="B74" s="198" t="s">
        <v>634</v>
      </c>
      <c r="C74" s="194"/>
      <c r="D74" s="194"/>
      <c r="E74" s="194"/>
      <c r="F74" s="194"/>
      <c r="G74" s="194"/>
      <c r="H74" s="194"/>
      <c r="I74" s="194"/>
      <c r="J74" s="194"/>
    </row>
    <row r="75" spans="1:10" ht="12.75" customHeight="1">
      <c r="A75" s="69"/>
      <c r="B75" s="230"/>
      <c r="C75" s="194"/>
      <c r="D75" s="194"/>
      <c r="E75" s="194"/>
      <c r="F75" s="194"/>
      <c r="G75" s="194"/>
    </row>
    <row r="76" spans="1:10" ht="12.75" customHeight="1">
      <c r="A76" s="69"/>
      <c r="B76" s="69"/>
      <c r="C76" s="69"/>
      <c r="D76" s="69"/>
      <c r="E76" s="69"/>
      <c r="F76" s="69"/>
      <c r="G76" s="69"/>
    </row>
    <row r="77" spans="1:10" ht="12.75" customHeight="1">
      <c r="A77" s="69"/>
      <c r="B77" s="69" t="s">
        <v>635</v>
      </c>
      <c r="C77" s="69"/>
      <c r="D77" s="69"/>
      <c r="E77" s="69"/>
      <c r="F77" s="69"/>
      <c r="G77" s="69"/>
    </row>
    <row r="78" spans="1:10" ht="12.75" customHeight="1">
      <c r="A78" s="69"/>
      <c r="B78" s="69"/>
      <c r="C78" s="69"/>
      <c r="D78" s="69"/>
      <c r="E78" s="69"/>
      <c r="F78" s="69"/>
      <c r="G78" s="69"/>
    </row>
    <row r="79" spans="1:10" ht="12.75" customHeight="1">
      <c r="A79" s="69"/>
      <c r="B79" s="69" t="s">
        <v>636</v>
      </c>
      <c r="C79" s="69" t="s">
        <v>10</v>
      </c>
      <c r="D79" s="69" t="s">
        <v>164</v>
      </c>
      <c r="E79" s="69"/>
      <c r="F79" s="69"/>
      <c r="G79" s="69"/>
    </row>
    <row r="80" spans="1:10" ht="12.75" customHeight="1">
      <c r="A80" s="69"/>
      <c r="B80" s="69" t="s">
        <v>638</v>
      </c>
      <c r="C80" s="69" t="s">
        <v>10</v>
      </c>
      <c r="D80" s="69" t="s">
        <v>165</v>
      </c>
      <c r="E80" s="69"/>
      <c r="F80" s="69"/>
      <c r="G80" s="69"/>
    </row>
    <row r="81" spans="1:7" ht="12.75" customHeight="1">
      <c r="A81" s="69"/>
      <c r="B81" s="69" t="s">
        <v>122</v>
      </c>
      <c r="C81" s="69" t="s">
        <v>10</v>
      </c>
      <c r="D81" s="69" t="s">
        <v>123</v>
      </c>
      <c r="E81" s="69"/>
      <c r="F81" s="69"/>
      <c r="G81" s="69"/>
    </row>
    <row r="82" spans="1:7" ht="12.75" customHeight="1">
      <c r="A82" s="69"/>
      <c r="B82" s="69" t="s">
        <v>125</v>
      </c>
      <c r="C82" s="69" t="s">
        <v>10</v>
      </c>
      <c r="D82" s="69" t="s">
        <v>126</v>
      </c>
      <c r="E82" s="69"/>
      <c r="F82" s="69"/>
      <c r="G82" s="69"/>
    </row>
    <row r="83" spans="1:7" ht="12.75" customHeight="1">
      <c r="A83" s="69"/>
      <c r="B83" s="69" t="s">
        <v>639</v>
      </c>
      <c r="C83" s="69" t="s">
        <v>10</v>
      </c>
      <c r="D83" s="145" t="s">
        <v>654</v>
      </c>
      <c r="E83" s="69"/>
      <c r="F83" s="69"/>
      <c r="G83" s="69"/>
    </row>
    <row r="84" spans="1:7" ht="12.75" customHeight="1">
      <c r="A84" s="69"/>
      <c r="B84" s="69" t="s">
        <v>128</v>
      </c>
      <c r="C84" s="69" t="s">
        <v>10</v>
      </c>
      <c r="D84" s="69" t="s">
        <v>166</v>
      </c>
      <c r="E84" s="69"/>
      <c r="F84" s="69"/>
      <c r="G84" s="69"/>
    </row>
    <row r="85" spans="1:7" ht="12.75" customHeight="1">
      <c r="A85" s="69"/>
      <c r="B85" s="69" t="s">
        <v>640</v>
      </c>
      <c r="C85" s="69" t="s">
        <v>10</v>
      </c>
      <c r="D85" s="69" t="s">
        <v>655</v>
      </c>
      <c r="E85" s="69"/>
      <c r="F85" s="69"/>
      <c r="G85" s="69"/>
    </row>
    <row r="86" spans="1:7" ht="12.75" customHeight="1">
      <c r="A86" s="69"/>
      <c r="B86" s="69"/>
      <c r="C86" s="69"/>
      <c r="D86" s="69" t="s">
        <v>656</v>
      </c>
      <c r="E86" s="69"/>
      <c r="F86" s="69"/>
      <c r="G86" s="69"/>
    </row>
    <row r="87" spans="1:7" ht="12.75" customHeight="1">
      <c r="A87" s="69"/>
      <c r="B87" s="69"/>
      <c r="C87" s="69"/>
      <c r="D87" s="69"/>
      <c r="E87" s="69"/>
      <c r="F87" s="69"/>
      <c r="G87" s="69"/>
    </row>
    <row r="88" spans="1:7" ht="12.75" customHeight="1">
      <c r="A88" s="69"/>
      <c r="B88" s="69" t="s">
        <v>641</v>
      </c>
      <c r="C88" s="69"/>
      <c r="D88" s="69"/>
      <c r="E88" s="69"/>
      <c r="F88" s="69"/>
      <c r="G88" s="69"/>
    </row>
    <row r="89" spans="1:7" ht="12.75" customHeight="1">
      <c r="A89" s="69"/>
      <c r="B89" s="69" t="s">
        <v>642</v>
      </c>
      <c r="C89" s="69"/>
      <c r="D89" s="69"/>
      <c r="E89" s="69"/>
      <c r="F89" s="69"/>
      <c r="G89" s="69"/>
    </row>
    <row r="90" spans="1:7" ht="12.75" customHeight="1">
      <c r="A90" s="69"/>
      <c r="B90" s="69" t="s">
        <v>657</v>
      </c>
      <c r="C90" s="69"/>
      <c r="D90" s="69"/>
      <c r="E90" s="69"/>
      <c r="F90" s="69"/>
      <c r="G90" s="69"/>
    </row>
    <row r="91" spans="1:7" ht="12.75" customHeight="1">
      <c r="A91" s="69"/>
      <c r="B91" s="69"/>
      <c r="C91" s="69"/>
      <c r="D91" s="69"/>
      <c r="E91" s="69"/>
      <c r="F91" s="69"/>
      <c r="G91" s="69"/>
    </row>
    <row r="92" spans="1:7" ht="12.75" customHeight="1">
      <c r="A92" s="69"/>
      <c r="B92" s="69" t="s">
        <v>644</v>
      </c>
      <c r="C92" s="69"/>
      <c r="D92" s="69"/>
      <c r="E92" s="69"/>
      <c r="F92" s="69"/>
      <c r="G92" s="69"/>
    </row>
    <row r="93" spans="1:7" ht="12.75" customHeight="1">
      <c r="A93" s="69"/>
      <c r="B93" s="69" t="s">
        <v>645</v>
      </c>
      <c r="C93" s="69"/>
      <c r="D93" s="69"/>
      <c r="E93" s="69"/>
      <c r="F93" s="69"/>
      <c r="G93" s="69"/>
    </row>
    <row r="94" spans="1:7" ht="12.75" customHeight="1">
      <c r="A94" s="69"/>
      <c r="B94" s="69" t="s">
        <v>646</v>
      </c>
      <c r="C94" s="69"/>
      <c r="D94" s="69"/>
      <c r="E94" s="69"/>
      <c r="F94" s="69"/>
      <c r="G94" s="69"/>
    </row>
    <row r="95" spans="1:7" ht="12.75" customHeight="1">
      <c r="A95" s="69"/>
      <c r="B95" s="69"/>
      <c r="C95" s="69"/>
      <c r="D95" s="69"/>
      <c r="E95" s="69"/>
      <c r="F95" s="69"/>
      <c r="G95" s="69"/>
    </row>
    <row r="96" spans="1:7" ht="12.75" customHeight="1">
      <c r="A96" s="69"/>
      <c r="C96" s="69"/>
      <c r="D96" s="69"/>
      <c r="E96" s="69"/>
      <c r="F96" s="69"/>
      <c r="G96" s="69"/>
    </row>
    <row r="97" spans="1:9" ht="12.75" customHeight="1">
      <c r="A97" s="69"/>
      <c r="B97" s="69"/>
      <c r="C97" s="69"/>
      <c r="D97" s="69"/>
      <c r="E97" s="69"/>
      <c r="F97" s="69"/>
      <c r="G97" s="69"/>
      <c r="H97" s="69"/>
      <c r="I97" s="69"/>
    </row>
    <row r="98" spans="1:9" ht="12.75" customHeight="1">
      <c r="A98" s="69"/>
      <c r="B98" s="69"/>
      <c r="C98" s="69"/>
      <c r="D98" s="69"/>
      <c r="E98" s="69"/>
      <c r="F98" s="69"/>
      <c r="G98" s="69" t="s">
        <v>658</v>
      </c>
      <c r="H98" s="69"/>
      <c r="I98" s="69"/>
    </row>
    <row r="99" spans="1:9" ht="12.75" customHeight="1">
      <c r="A99" s="69"/>
      <c r="B99" s="69"/>
      <c r="C99" s="69"/>
      <c r="D99" s="69"/>
      <c r="E99" s="69"/>
      <c r="F99" s="69"/>
      <c r="G99" s="69"/>
      <c r="H99" s="69"/>
      <c r="I99" s="69"/>
    </row>
    <row r="100" spans="1:9" ht="12.75" customHeight="1">
      <c r="A100" s="69"/>
      <c r="B100" s="69"/>
      <c r="C100" s="69"/>
      <c r="D100" s="69"/>
      <c r="E100" s="69"/>
      <c r="F100" s="69"/>
      <c r="G100" s="69" t="s">
        <v>648</v>
      </c>
      <c r="H100" s="69"/>
      <c r="I100" s="69"/>
    </row>
    <row r="101" spans="1:9" ht="12.75" customHeight="1">
      <c r="A101" s="69"/>
      <c r="B101" s="69"/>
      <c r="C101" s="69"/>
      <c r="D101" s="69"/>
      <c r="E101" s="69"/>
      <c r="F101" s="69"/>
      <c r="G101" s="69"/>
      <c r="H101" s="69"/>
      <c r="I101" s="69"/>
    </row>
    <row r="102" spans="1:9" ht="12.75" customHeight="1">
      <c r="A102" s="69"/>
      <c r="B102" s="69"/>
      <c r="C102" s="69"/>
      <c r="D102" s="69"/>
      <c r="E102" s="69"/>
      <c r="F102" s="69"/>
      <c r="G102" s="69"/>
      <c r="H102" s="69"/>
      <c r="I102" s="69"/>
    </row>
    <row r="103" spans="1:9" ht="12.75" customHeight="1">
      <c r="A103" s="69"/>
      <c r="B103" s="69"/>
      <c r="C103" s="69"/>
      <c r="D103" s="69"/>
      <c r="E103" s="69"/>
      <c r="F103" s="69"/>
      <c r="G103" s="69"/>
      <c r="H103" s="69"/>
      <c r="I103" s="69"/>
    </row>
    <row r="104" spans="1:9" ht="12.75" customHeight="1">
      <c r="A104" s="69"/>
      <c r="B104" s="69"/>
      <c r="C104" s="69"/>
      <c r="D104" s="69"/>
      <c r="E104" s="69"/>
      <c r="F104" s="69"/>
      <c r="G104" s="69" t="s">
        <v>659</v>
      </c>
      <c r="H104" s="69"/>
      <c r="I104" s="69"/>
    </row>
    <row r="105" spans="1:9" ht="12.75" customHeight="1">
      <c r="A105" s="69"/>
      <c r="B105" s="69" t="s">
        <v>650</v>
      </c>
      <c r="C105" s="69"/>
      <c r="D105" s="69"/>
      <c r="E105" s="69"/>
      <c r="F105" s="69"/>
      <c r="G105" s="69"/>
      <c r="H105" s="69"/>
      <c r="I105" s="69"/>
    </row>
    <row r="106" spans="1:9" ht="12.75" customHeight="1">
      <c r="A106" s="69"/>
      <c r="B106" s="69"/>
      <c r="C106" s="69"/>
      <c r="D106" s="69"/>
      <c r="E106" s="69"/>
      <c r="F106" s="69"/>
      <c r="G106" s="69"/>
      <c r="H106" s="69"/>
      <c r="I106" s="69"/>
    </row>
    <row r="107" spans="1:9" ht="12.75" customHeight="1">
      <c r="A107" s="69"/>
      <c r="B107" s="69" t="s">
        <v>660</v>
      </c>
      <c r="C107" s="69"/>
      <c r="D107" s="69" t="s">
        <v>652</v>
      </c>
      <c r="E107" s="69"/>
      <c r="F107" s="69"/>
      <c r="G107" s="69"/>
      <c r="H107" s="69"/>
      <c r="I107" s="69"/>
    </row>
    <row r="108" spans="1:9" ht="12.75" customHeight="1">
      <c r="A108" s="69"/>
      <c r="B108" s="69"/>
      <c r="C108" s="69"/>
      <c r="D108" s="69"/>
      <c r="E108" s="69"/>
      <c r="F108" s="69"/>
      <c r="G108" s="69"/>
      <c r="H108" s="69"/>
      <c r="I108" s="69"/>
    </row>
    <row r="109" spans="1:9" ht="12.75" customHeight="1">
      <c r="B109" s="69" t="s">
        <v>661</v>
      </c>
      <c r="C109" s="69"/>
      <c r="D109" s="69" t="s">
        <v>652</v>
      </c>
      <c r="E109" s="69"/>
      <c r="F109" s="69"/>
      <c r="G109" s="69"/>
      <c r="H109" s="69"/>
      <c r="I109" s="69"/>
    </row>
    <row r="110" spans="1:9" ht="12.75" customHeight="1">
      <c r="B110" s="69"/>
      <c r="C110" s="69"/>
      <c r="D110" s="69"/>
      <c r="E110" s="69"/>
      <c r="F110" s="69"/>
      <c r="G110" s="69"/>
      <c r="H110" s="69"/>
      <c r="I110" s="69"/>
    </row>
    <row r="111" spans="1:9" ht="12.75" customHeight="1">
      <c r="B111" s="69"/>
      <c r="C111" s="69"/>
      <c r="D111" s="69"/>
      <c r="E111" s="69"/>
      <c r="F111" s="69"/>
      <c r="G111" s="69"/>
      <c r="H111" s="69"/>
      <c r="I111" s="69"/>
    </row>
    <row r="112" spans="1:9" ht="12.75" customHeight="1">
      <c r="B112" s="69"/>
      <c r="C112" s="69"/>
      <c r="D112" s="69"/>
      <c r="E112" s="69"/>
      <c r="F112" s="69"/>
      <c r="G112" s="69"/>
      <c r="H112" s="69"/>
      <c r="I112" s="69"/>
    </row>
    <row r="113" spans="2:9" ht="12.75" customHeight="1">
      <c r="B113" s="69"/>
      <c r="C113" s="69"/>
      <c r="D113" s="69"/>
      <c r="E113" s="230" t="s">
        <v>588</v>
      </c>
      <c r="F113" s="194"/>
      <c r="G113" s="194"/>
      <c r="H113" s="69"/>
      <c r="I113" s="69"/>
    </row>
    <row r="114" spans="2:9" ht="12.75" customHeight="1">
      <c r="B114" s="69"/>
      <c r="C114" s="69"/>
      <c r="D114" s="69"/>
      <c r="E114" s="230" t="s">
        <v>151</v>
      </c>
      <c r="F114" s="194"/>
      <c r="G114" s="194"/>
      <c r="H114" s="69"/>
      <c r="I114" s="69"/>
    </row>
    <row r="115" spans="2:9" ht="12.75" customHeight="1">
      <c r="B115" s="69"/>
      <c r="C115" s="69"/>
      <c r="D115" s="69"/>
      <c r="E115" s="69"/>
      <c r="F115" s="69"/>
      <c r="G115" s="69"/>
      <c r="H115" s="69"/>
      <c r="I115" s="69"/>
    </row>
    <row r="116" spans="2:9" ht="12.75" customHeight="1">
      <c r="B116" s="69"/>
      <c r="C116" s="69"/>
      <c r="D116" s="69"/>
      <c r="E116" s="69"/>
      <c r="F116" s="69"/>
      <c r="G116" s="69"/>
      <c r="H116" s="69"/>
      <c r="I116" s="69"/>
    </row>
    <row r="117" spans="2:9" ht="12.75" customHeight="1">
      <c r="B117" s="69"/>
      <c r="C117" s="69"/>
      <c r="D117" s="69"/>
      <c r="E117" s="69"/>
      <c r="F117" s="69"/>
      <c r="G117" s="69"/>
      <c r="H117" s="69"/>
      <c r="I117" s="69"/>
    </row>
    <row r="118" spans="2:9" ht="12.75" customHeight="1">
      <c r="B118" s="69"/>
      <c r="C118" s="69"/>
      <c r="D118" s="69"/>
      <c r="E118" s="230" t="s">
        <v>152</v>
      </c>
      <c r="F118" s="194"/>
      <c r="G118" s="194"/>
      <c r="H118" s="69"/>
      <c r="I118" s="69"/>
    </row>
    <row r="119" spans="2:9" ht="12.75" customHeight="1">
      <c r="B119" s="69"/>
      <c r="C119" s="69"/>
      <c r="D119" s="69"/>
      <c r="E119" s="69"/>
      <c r="F119" s="69"/>
      <c r="G119" s="69"/>
      <c r="H119" s="69"/>
      <c r="I119" s="69"/>
    </row>
    <row r="120" spans="2:9" ht="12.75" customHeight="1">
      <c r="B120" s="69"/>
      <c r="C120" s="69"/>
      <c r="D120" s="69"/>
      <c r="E120" s="69"/>
      <c r="F120" s="69"/>
      <c r="G120" s="69"/>
      <c r="H120" s="69"/>
      <c r="I120" s="69"/>
    </row>
    <row r="121" spans="2:9" ht="12.75" customHeight="1"/>
    <row r="122" spans="2:9" ht="12.75" customHeight="1"/>
    <row r="123" spans="2:9" ht="12.75" customHeight="1"/>
    <row r="124" spans="2:9" ht="12.75" customHeight="1"/>
    <row r="125" spans="2:9" ht="12.75" customHeight="1"/>
    <row r="126" spans="2:9" ht="12.75" customHeight="1"/>
    <row r="127" spans="2:9" ht="12.75" customHeight="1"/>
    <row r="128" spans="2:9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E113:G113"/>
    <mergeCell ref="E114:G114"/>
    <mergeCell ref="E118:G118"/>
    <mergeCell ref="B3:J3"/>
    <mergeCell ref="B4:G4"/>
    <mergeCell ref="E42:G42"/>
    <mergeCell ref="E43:G43"/>
    <mergeCell ref="E48:G48"/>
    <mergeCell ref="B74:J74"/>
    <mergeCell ref="B75:G75"/>
  </mergeCells>
  <pageMargins left="0.70866141732283472" right="0.31496062992125984" top="0.74803149606299213" bottom="0.35433070866141736" header="0" footer="0"/>
  <pageSetup paperSize="5" scale="9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O1000"/>
  <sheetViews>
    <sheetView workbookViewId="0"/>
  </sheetViews>
  <sheetFormatPr defaultColWidth="12.5703125" defaultRowHeight="15" customHeight="1"/>
  <cols>
    <col min="1" max="1" width="16.140625" customWidth="1"/>
    <col min="2" max="2" width="5.5703125" customWidth="1"/>
    <col min="3" max="3" width="2.7109375" customWidth="1"/>
    <col min="4" max="4" width="5" customWidth="1"/>
    <col min="5" max="5" width="4.7109375" customWidth="1"/>
    <col min="6" max="6" width="2.28515625" customWidth="1"/>
    <col min="7" max="7" width="2.5703125" customWidth="1"/>
    <col min="8" max="8" width="4.5703125" customWidth="1"/>
    <col min="9" max="9" width="4.7109375" customWidth="1"/>
    <col min="10" max="10" width="2.140625" customWidth="1"/>
    <col min="11" max="11" width="2.42578125" customWidth="1"/>
    <col min="12" max="12" width="4.5703125" customWidth="1"/>
    <col min="13" max="13" width="4.7109375" customWidth="1"/>
    <col min="14" max="14" width="3.140625" customWidth="1"/>
    <col min="15" max="15" width="3" customWidth="1"/>
    <col min="16" max="16" width="4.7109375" customWidth="1"/>
    <col min="17" max="17" width="4.85546875" customWidth="1"/>
    <col min="18" max="18" width="2.28515625" customWidth="1"/>
    <col min="19" max="19" width="2.5703125" customWidth="1"/>
    <col min="20" max="20" width="4.85546875" customWidth="1"/>
    <col min="21" max="21" width="5.42578125" customWidth="1"/>
    <col min="22" max="22" width="2.85546875" customWidth="1"/>
    <col min="23" max="23" width="3.7109375" customWidth="1"/>
    <col min="24" max="24" width="8.5703125" customWidth="1"/>
    <col min="25" max="25" width="4.140625" customWidth="1"/>
    <col min="26" max="26" width="5.140625" customWidth="1"/>
    <col min="27" max="27" width="4.42578125" customWidth="1"/>
    <col min="28" max="28" width="5.28515625" customWidth="1"/>
    <col min="29" max="29" width="12.5703125" customWidth="1"/>
    <col min="30" max="30" width="2" customWidth="1"/>
    <col min="31" max="31" width="5" customWidth="1"/>
    <col min="32" max="33" width="2" customWidth="1"/>
    <col min="34" max="34" width="4.85546875" customWidth="1"/>
    <col min="35" max="35" width="2.42578125" customWidth="1"/>
    <col min="36" max="36" width="2.140625" customWidth="1"/>
    <col min="37" max="37" width="5.28515625" customWidth="1"/>
    <col min="38" max="38" width="2.42578125" customWidth="1"/>
    <col min="39" max="39" width="2.28515625" customWidth="1"/>
    <col min="40" max="40" width="8.85546875" customWidth="1"/>
    <col min="41" max="41" width="2.140625" customWidth="1"/>
    <col min="42" max="42" width="3.28515625" customWidth="1"/>
    <col min="43" max="43" width="17.42578125" customWidth="1"/>
    <col min="44" max="44" width="2.42578125" customWidth="1"/>
    <col min="45" max="45" width="2.85546875" customWidth="1"/>
    <col min="46" max="46" width="4.7109375" customWidth="1"/>
    <col min="47" max="47" width="3.42578125" customWidth="1"/>
    <col min="48" max="48" width="1.28515625" customWidth="1"/>
    <col min="49" max="49" width="5.7109375" customWidth="1"/>
    <col min="50" max="50" width="2.140625" customWidth="1"/>
    <col min="51" max="51" width="3.140625" customWidth="1"/>
    <col min="52" max="52" width="15.28515625" customWidth="1"/>
    <col min="53" max="53" width="3.140625" customWidth="1"/>
    <col min="54" max="54" width="3.85546875" customWidth="1"/>
    <col min="55" max="55" width="7.7109375" customWidth="1"/>
    <col min="56" max="56" width="6.7109375" customWidth="1"/>
    <col min="57" max="67" width="8.5703125" customWidth="1"/>
  </cols>
  <sheetData>
    <row r="1" spans="2:67" ht="12.75" customHeight="1"/>
    <row r="2" spans="2:67" ht="12.75" customHeight="1">
      <c r="W2" s="77"/>
      <c r="AZ2" s="140" t="s">
        <v>665</v>
      </c>
    </row>
    <row r="3" spans="2:67" ht="12.75" customHeight="1">
      <c r="Q3" s="280" t="s">
        <v>34</v>
      </c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  <c r="AV3" s="194"/>
      <c r="AW3" s="194"/>
      <c r="AX3" s="194"/>
      <c r="AY3" s="194"/>
      <c r="AZ3" s="194"/>
      <c r="BA3" s="194"/>
      <c r="BB3" s="194"/>
      <c r="BC3" s="194"/>
      <c r="BD3" s="194"/>
    </row>
    <row r="4" spans="2:67" ht="12.75" customHeight="1"/>
    <row r="5" spans="2:67" ht="12.75" customHeight="1">
      <c r="Q5" s="225" t="s">
        <v>666</v>
      </c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4"/>
      <c r="BD5" s="194"/>
    </row>
    <row r="6" spans="2:67" ht="12.75" customHeight="1"/>
    <row r="7" spans="2:67" ht="12.75" customHeight="1"/>
    <row r="8" spans="2:67" ht="12.75" customHeight="1">
      <c r="AT8" s="3" t="s">
        <v>667</v>
      </c>
    </row>
    <row r="9" spans="2:67" ht="12.75" customHeight="1"/>
    <row r="10" spans="2:67" ht="12.75" customHeight="1">
      <c r="B10" s="146" t="s">
        <v>668</v>
      </c>
      <c r="C10" s="146"/>
      <c r="D10" s="146"/>
      <c r="E10" s="146"/>
      <c r="F10" s="146"/>
      <c r="G10" s="146"/>
      <c r="AN10" s="3" t="s">
        <v>669</v>
      </c>
      <c r="AR10" s="3" t="s">
        <v>10</v>
      </c>
      <c r="AT10" s="78">
        <v>3</v>
      </c>
      <c r="AU10" s="252">
        <v>3</v>
      </c>
      <c r="AV10" s="224"/>
      <c r="AW10" s="11"/>
      <c r="AX10" s="11"/>
      <c r="AY10" s="11"/>
      <c r="AZ10" s="246" t="s">
        <v>418</v>
      </c>
      <c r="BA10" s="223"/>
      <c r="BB10" s="223"/>
      <c r="BC10" s="223"/>
      <c r="BD10" s="224"/>
      <c r="BI10" s="225"/>
      <c r="BJ10" s="194"/>
      <c r="BK10" s="194"/>
      <c r="BL10" s="194"/>
      <c r="BM10" s="194"/>
      <c r="BN10" s="194"/>
      <c r="BO10" s="194"/>
    </row>
    <row r="11" spans="2:67" ht="12.75" customHeight="1">
      <c r="AT11" s="11"/>
      <c r="AU11" s="11"/>
      <c r="AV11" s="11"/>
      <c r="AW11" s="11"/>
      <c r="AX11" s="11"/>
      <c r="AY11" s="11"/>
      <c r="AZ11" s="77"/>
      <c r="BA11" s="77"/>
      <c r="BB11" s="77"/>
      <c r="BC11" s="77"/>
      <c r="BD11" s="77"/>
    </row>
    <row r="12" spans="2:67" ht="12.75" customHeight="1">
      <c r="B12" s="64" t="s">
        <v>670</v>
      </c>
      <c r="G12" s="64" t="s">
        <v>10</v>
      </c>
      <c r="H12" s="252"/>
      <c r="I12" s="223"/>
      <c r="J12" s="223"/>
      <c r="K12" s="223"/>
      <c r="L12" s="223"/>
      <c r="M12" s="223"/>
      <c r="N12" s="223"/>
      <c r="O12" s="223"/>
      <c r="P12" s="223"/>
      <c r="Q12" s="223"/>
      <c r="R12" s="223"/>
      <c r="S12" s="223"/>
      <c r="T12" s="223"/>
      <c r="U12" s="223"/>
      <c r="V12" s="223"/>
      <c r="W12" s="223"/>
      <c r="X12" s="223"/>
      <c r="Y12" s="223"/>
      <c r="Z12" s="223"/>
      <c r="AA12" s="223"/>
      <c r="AB12" s="223"/>
      <c r="AC12" s="224"/>
      <c r="AN12" s="3" t="s">
        <v>671</v>
      </c>
      <c r="AR12" s="3" t="s">
        <v>10</v>
      </c>
      <c r="AT12" s="78">
        <v>2</v>
      </c>
      <c r="AU12" s="252">
        <v>7</v>
      </c>
      <c r="AV12" s="224"/>
      <c r="AW12" s="11"/>
      <c r="AX12" s="11"/>
      <c r="AY12" s="11"/>
      <c r="AZ12" s="246" t="s">
        <v>106</v>
      </c>
      <c r="BA12" s="223"/>
      <c r="BB12" s="223"/>
      <c r="BC12" s="223"/>
      <c r="BD12" s="224"/>
    </row>
    <row r="13" spans="2:67" ht="12.75" customHeight="1">
      <c r="AT13" s="11"/>
      <c r="AU13" s="11"/>
      <c r="AV13" s="11"/>
      <c r="AW13" s="11"/>
      <c r="AX13" s="11"/>
      <c r="AY13" s="11"/>
      <c r="AZ13" s="77"/>
      <c r="BA13" s="77"/>
      <c r="BB13" s="77"/>
      <c r="BC13" s="77"/>
      <c r="BD13" s="77"/>
    </row>
    <row r="14" spans="2:67" ht="12.75" customHeight="1">
      <c r="B14" s="64" t="s">
        <v>345</v>
      </c>
      <c r="G14" s="64" t="s">
        <v>10</v>
      </c>
      <c r="H14" s="246" t="s">
        <v>672</v>
      </c>
      <c r="I14" s="223"/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3"/>
      <c r="X14" s="223"/>
      <c r="Y14" s="223"/>
      <c r="Z14" s="223"/>
      <c r="AA14" s="223"/>
      <c r="AB14" s="223"/>
      <c r="AC14" s="224"/>
      <c r="AN14" s="3" t="s">
        <v>673</v>
      </c>
      <c r="AR14" s="3" t="s">
        <v>10</v>
      </c>
      <c r="AT14" s="78">
        <v>4</v>
      </c>
      <c r="AU14" s="252">
        <v>0</v>
      </c>
      <c r="AV14" s="224"/>
      <c r="AW14" s="11"/>
      <c r="AX14" s="11"/>
      <c r="AY14" s="11"/>
      <c r="AZ14" s="246" t="s">
        <v>104</v>
      </c>
      <c r="BA14" s="223"/>
      <c r="BB14" s="223"/>
      <c r="BC14" s="223"/>
      <c r="BD14" s="224"/>
    </row>
    <row r="15" spans="2:67" ht="12.75" customHeight="1">
      <c r="AT15" s="11"/>
      <c r="AU15" s="11"/>
      <c r="AV15" s="11"/>
      <c r="AW15" s="11"/>
      <c r="AX15" s="11"/>
      <c r="AY15" s="11"/>
      <c r="AZ15" s="77"/>
      <c r="BA15" s="77"/>
      <c r="BB15" s="77"/>
      <c r="BC15" s="77"/>
      <c r="BD15" s="77"/>
    </row>
    <row r="16" spans="2:67" ht="12.75" customHeight="1">
      <c r="B16" s="64" t="s">
        <v>674</v>
      </c>
      <c r="G16" s="64" t="s">
        <v>10</v>
      </c>
      <c r="H16" s="78">
        <v>5</v>
      </c>
      <c r="I16" s="78">
        <v>2</v>
      </c>
      <c r="J16" s="252">
        <v>3</v>
      </c>
      <c r="K16" s="224"/>
      <c r="L16" s="78">
        <v>5</v>
      </c>
      <c r="M16" s="78">
        <v>7</v>
      </c>
      <c r="N16" s="240"/>
      <c r="O16" s="239"/>
      <c r="P16" s="64" t="s">
        <v>675</v>
      </c>
      <c r="Q16" s="78">
        <v>0</v>
      </c>
      <c r="R16" s="252"/>
      <c r="S16" s="224"/>
      <c r="T16" s="78"/>
      <c r="X16" s="64" t="s">
        <v>676</v>
      </c>
      <c r="Y16" s="78">
        <v>0</v>
      </c>
      <c r="Z16" s="78"/>
      <c r="AA16" s="78"/>
      <c r="AC16" s="64" t="s">
        <v>677</v>
      </c>
      <c r="AH16" s="78">
        <v>1</v>
      </c>
      <c r="AI16" s="252">
        <v>2</v>
      </c>
      <c r="AJ16" s="224"/>
      <c r="AK16" s="64" t="s">
        <v>678</v>
      </c>
      <c r="AN16" s="3" t="s">
        <v>679</v>
      </c>
      <c r="AR16" s="3" t="s">
        <v>10</v>
      </c>
      <c r="AT16" s="78">
        <v>0</v>
      </c>
      <c r="AU16" s="252">
        <v>0</v>
      </c>
      <c r="AV16" s="224"/>
      <c r="AW16" s="78">
        <v>1</v>
      </c>
      <c r="AX16" s="252">
        <v>1</v>
      </c>
      <c r="AY16" s="224"/>
      <c r="AZ16" s="246" t="s">
        <v>102</v>
      </c>
      <c r="BA16" s="223"/>
      <c r="BB16" s="223"/>
      <c r="BC16" s="223"/>
      <c r="BD16" s="224"/>
    </row>
    <row r="17" spans="2:56" ht="12.75" customHeight="1"/>
    <row r="18" spans="2:56" ht="12.75" customHeight="1">
      <c r="B18" s="64" t="s">
        <v>680</v>
      </c>
      <c r="G18" s="64" t="s">
        <v>10</v>
      </c>
      <c r="H18" s="78"/>
      <c r="I18" s="78"/>
      <c r="J18" s="252"/>
      <c r="K18" s="224"/>
      <c r="L18" s="78"/>
      <c r="M18" s="78"/>
      <c r="N18" s="252"/>
      <c r="O18" s="224"/>
      <c r="P18" s="78"/>
      <c r="Q18" s="78"/>
      <c r="R18" s="252"/>
      <c r="S18" s="224"/>
      <c r="T18" s="78"/>
      <c r="U18" s="78"/>
      <c r="V18" s="252"/>
      <c r="W18" s="224"/>
      <c r="AN18" s="3" t="s">
        <v>681</v>
      </c>
      <c r="AR18" s="3" t="s">
        <v>10</v>
      </c>
      <c r="AT18" s="252"/>
      <c r="AU18" s="223"/>
      <c r="AV18" s="223"/>
      <c r="AW18" s="223"/>
      <c r="AX18" s="223"/>
      <c r="AY18" s="223"/>
      <c r="AZ18" s="223"/>
      <c r="BA18" s="223"/>
      <c r="BB18" s="223"/>
      <c r="BC18" s="223"/>
      <c r="BD18" s="224"/>
    </row>
    <row r="19" spans="2:56" ht="12.75" customHeight="1">
      <c r="AN19" s="3" t="s">
        <v>682</v>
      </c>
    </row>
    <row r="20" spans="2:56" ht="12.75" customHeight="1">
      <c r="B20" s="146" t="s">
        <v>683</v>
      </c>
    </row>
    <row r="21" spans="2:56" ht="12.75" customHeight="1"/>
    <row r="22" spans="2:56" ht="12.75" customHeight="1">
      <c r="B22" s="268" t="s">
        <v>684</v>
      </c>
      <c r="C22" s="281" t="s">
        <v>391</v>
      </c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4"/>
      <c r="W22" s="282" t="s">
        <v>685</v>
      </c>
      <c r="X22" s="243"/>
      <c r="Y22" s="243"/>
      <c r="Z22" s="243"/>
      <c r="AA22" s="243"/>
      <c r="AB22" s="243"/>
      <c r="AC22" s="244"/>
      <c r="AD22" s="274" t="s">
        <v>686</v>
      </c>
      <c r="AE22" s="243"/>
      <c r="AF22" s="243"/>
      <c r="AG22" s="243"/>
      <c r="AH22" s="243"/>
      <c r="AI22" s="243"/>
      <c r="AJ22" s="243"/>
      <c r="AK22" s="243"/>
      <c r="AL22" s="243"/>
      <c r="AM22" s="243"/>
      <c r="AN22" s="243"/>
      <c r="AO22" s="243"/>
      <c r="AP22" s="244"/>
      <c r="AQ22" s="274" t="s">
        <v>687</v>
      </c>
      <c r="AR22" s="243"/>
      <c r="AS22" s="243"/>
      <c r="AT22" s="243"/>
      <c r="AU22" s="243"/>
      <c r="AV22" s="243"/>
      <c r="AW22" s="243"/>
      <c r="AX22" s="244"/>
      <c r="AY22" s="274" t="s">
        <v>688</v>
      </c>
      <c r="AZ22" s="243"/>
      <c r="BA22" s="243"/>
      <c r="BB22" s="243"/>
      <c r="BC22" s="243"/>
      <c r="BD22" s="244"/>
    </row>
    <row r="23" spans="2:56" ht="12.75" customHeight="1">
      <c r="B23" s="221"/>
      <c r="C23" s="270"/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2"/>
      <c r="W23" s="270"/>
      <c r="X23" s="271"/>
      <c r="Y23" s="271"/>
      <c r="Z23" s="271"/>
      <c r="AA23" s="271"/>
      <c r="AB23" s="271"/>
      <c r="AC23" s="272"/>
      <c r="AD23" s="270"/>
      <c r="AE23" s="271"/>
      <c r="AF23" s="271"/>
      <c r="AG23" s="271"/>
      <c r="AH23" s="271"/>
      <c r="AI23" s="271"/>
      <c r="AJ23" s="271"/>
      <c r="AK23" s="271"/>
      <c r="AL23" s="271"/>
      <c r="AM23" s="271"/>
      <c r="AN23" s="271"/>
      <c r="AO23" s="271"/>
      <c r="AP23" s="272"/>
      <c r="AQ23" s="270"/>
      <c r="AR23" s="271"/>
      <c r="AS23" s="271"/>
      <c r="AT23" s="271"/>
      <c r="AU23" s="271"/>
      <c r="AV23" s="271"/>
      <c r="AW23" s="271"/>
      <c r="AX23" s="272"/>
      <c r="AY23" s="270"/>
      <c r="AZ23" s="271"/>
      <c r="BA23" s="271"/>
      <c r="BB23" s="271"/>
      <c r="BC23" s="271"/>
      <c r="BD23" s="272"/>
    </row>
    <row r="24" spans="2:56" ht="12.75" customHeight="1">
      <c r="B24" s="147">
        <v>1</v>
      </c>
      <c r="C24" s="278">
        <v>2</v>
      </c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4"/>
      <c r="W24" s="279">
        <v>3</v>
      </c>
      <c r="X24" s="223"/>
      <c r="Y24" s="223"/>
      <c r="Z24" s="223"/>
      <c r="AA24" s="223"/>
      <c r="AB24" s="223"/>
      <c r="AC24" s="224"/>
      <c r="AD24" s="279">
        <v>4</v>
      </c>
      <c r="AE24" s="223"/>
      <c r="AF24" s="223"/>
      <c r="AG24" s="223"/>
      <c r="AH24" s="223"/>
      <c r="AI24" s="223"/>
      <c r="AJ24" s="223"/>
      <c r="AK24" s="223"/>
      <c r="AL24" s="223"/>
      <c r="AM24" s="223"/>
      <c r="AN24" s="223"/>
      <c r="AO24" s="223"/>
      <c r="AP24" s="224"/>
      <c r="AQ24" s="279">
        <v>5</v>
      </c>
      <c r="AR24" s="223"/>
      <c r="AS24" s="223"/>
      <c r="AT24" s="223"/>
      <c r="AU24" s="223"/>
      <c r="AV24" s="223"/>
      <c r="AW24" s="223"/>
      <c r="AX24" s="224"/>
      <c r="AY24" s="279">
        <v>6</v>
      </c>
      <c r="AZ24" s="223"/>
      <c r="BA24" s="223"/>
      <c r="BB24" s="223"/>
      <c r="BC24" s="223"/>
      <c r="BD24" s="224"/>
    </row>
    <row r="25" spans="2:56" ht="12.75" customHeight="1">
      <c r="B25" s="104">
        <v>1</v>
      </c>
      <c r="C25" s="283" t="s">
        <v>366</v>
      </c>
      <c r="D25" s="223"/>
      <c r="E25" s="223"/>
      <c r="F25" s="223"/>
      <c r="G25" s="223"/>
      <c r="H25" s="223"/>
      <c r="I25" s="223"/>
      <c r="J25" s="223"/>
      <c r="K25" s="223"/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4"/>
      <c r="W25" s="277"/>
      <c r="X25" s="223"/>
      <c r="Y25" s="223"/>
      <c r="Z25" s="223"/>
      <c r="AA25" s="223"/>
      <c r="AB25" s="223"/>
      <c r="AC25" s="224"/>
      <c r="AD25" s="276"/>
      <c r="AE25" s="223"/>
      <c r="AF25" s="223"/>
      <c r="AG25" s="223"/>
      <c r="AH25" s="223"/>
      <c r="AI25" s="223"/>
      <c r="AJ25" s="223"/>
      <c r="AK25" s="223"/>
      <c r="AL25" s="223"/>
      <c r="AM25" s="223"/>
      <c r="AN25" s="223"/>
      <c r="AO25" s="223"/>
      <c r="AP25" s="224"/>
      <c r="AQ25" s="275"/>
      <c r="AR25" s="223"/>
      <c r="AS25" s="223"/>
      <c r="AT25" s="223"/>
      <c r="AU25" s="223"/>
      <c r="AV25" s="223"/>
      <c r="AW25" s="223"/>
      <c r="AX25" s="224"/>
      <c r="AY25" s="276"/>
      <c r="AZ25" s="223"/>
      <c r="BA25" s="223"/>
      <c r="BB25" s="223"/>
      <c r="BC25" s="223"/>
      <c r="BD25" s="224"/>
    </row>
    <row r="26" spans="2:56" ht="12.75" customHeight="1">
      <c r="B26" s="104">
        <v>2</v>
      </c>
      <c r="C26" s="283"/>
      <c r="D26" s="223"/>
      <c r="E26" s="223"/>
      <c r="F26" s="223"/>
      <c r="G26" s="223"/>
      <c r="H26" s="223"/>
      <c r="I26" s="223"/>
      <c r="J26" s="223"/>
      <c r="K26" s="223"/>
      <c r="L26" s="223"/>
      <c r="M26" s="223"/>
      <c r="N26" s="223"/>
      <c r="O26" s="223"/>
      <c r="P26" s="223"/>
      <c r="Q26" s="223"/>
      <c r="R26" s="223"/>
      <c r="S26" s="223"/>
      <c r="T26" s="223"/>
      <c r="U26" s="223"/>
      <c r="V26" s="224"/>
      <c r="W26" s="277"/>
      <c r="X26" s="223"/>
      <c r="Y26" s="223"/>
      <c r="Z26" s="223"/>
      <c r="AA26" s="223"/>
      <c r="AB26" s="223"/>
      <c r="AC26" s="224"/>
      <c r="AD26" s="276"/>
      <c r="AE26" s="223"/>
      <c r="AF26" s="223"/>
      <c r="AG26" s="223"/>
      <c r="AH26" s="223"/>
      <c r="AI26" s="223"/>
      <c r="AJ26" s="223"/>
      <c r="AK26" s="223"/>
      <c r="AL26" s="223"/>
      <c r="AM26" s="223"/>
      <c r="AN26" s="223"/>
      <c r="AO26" s="223"/>
      <c r="AP26" s="224"/>
      <c r="AQ26" s="275"/>
      <c r="AR26" s="223"/>
      <c r="AS26" s="223"/>
      <c r="AT26" s="223"/>
      <c r="AU26" s="223"/>
      <c r="AV26" s="223"/>
      <c r="AW26" s="223"/>
      <c r="AX26" s="224"/>
      <c r="AY26" s="276"/>
      <c r="AZ26" s="223"/>
      <c r="BA26" s="223"/>
      <c r="BB26" s="223"/>
      <c r="BC26" s="223"/>
      <c r="BD26" s="224"/>
    </row>
    <row r="27" spans="2:56" ht="12.75" customHeight="1">
      <c r="B27" s="104">
        <v>3</v>
      </c>
      <c r="C27" s="283"/>
      <c r="D27" s="223"/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4"/>
      <c r="W27" s="277"/>
      <c r="X27" s="223"/>
      <c r="Y27" s="223"/>
      <c r="Z27" s="223"/>
      <c r="AA27" s="223"/>
      <c r="AB27" s="223"/>
      <c r="AC27" s="224"/>
      <c r="AD27" s="276"/>
      <c r="AE27" s="223"/>
      <c r="AF27" s="223"/>
      <c r="AG27" s="223"/>
      <c r="AH27" s="223"/>
      <c r="AI27" s="223"/>
      <c r="AJ27" s="223"/>
      <c r="AK27" s="223"/>
      <c r="AL27" s="223"/>
      <c r="AM27" s="223"/>
      <c r="AN27" s="223"/>
      <c r="AO27" s="223"/>
      <c r="AP27" s="224"/>
      <c r="AQ27" s="275"/>
      <c r="AR27" s="223"/>
      <c r="AS27" s="223"/>
      <c r="AT27" s="223"/>
      <c r="AU27" s="223"/>
      <c r="AV27" s="223"/>
      <c r="AW27" s="223"/>
      <c r="AX27" s="224"/>
      <c r="AY27" s="276"/>
      <c r="AZ27" s="223"/>
      <c r="BA27" s="223"/>
      <c r="BB27" s="223"/>
      <c r="BC27" s="223"/>
      <c r="BD27" s="224"/>
    </row>
    <row r="28" spans="2:56" ht="12.75" customHeight="1">
      <c r="B28" s="104">
        <v>4</v>
      </c>
      <c r="C28" s="283"/>
      <c r="D28" s="223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4"/>
      <c r="W28" s="277"/>
      <c r="X28" s="223"/>
      <c r="Y28" s="223"/>
      <c r="Z28" s="223"/>
      <c r="AA28" s="223"/>
      <c r="AB28" s="223"/>
      <c r="AC28" s="224"/>
      <c r="AD28" s="276"/>
      <c r="AE28" s="223"/>
      <c r="AF28" s="223"/>
      <c r="AG28" s="223"/>
      <c r="AH28" s="223"/>
      <c r="AI28" s="223"/>
      <c r="AJ28" s="223"/>
      <c r="AK28" s="223"/>
      <c r="AL28" s="223"/>
      <c r="AM28" s="223"/>
      <c r="AN28" s="223"/>
      <c r="AO28" s="223"/>
      <c r="AP28" s="224"/>
      <c r="AQ28" s="275"/>
      <c r="AR28" s="223"/>
      <c r="AS28" s="223"/>
      <c r="AT28" s="223"/>
      <c r="AU28" s="223"/>
      <c r="AV28" s="223"/>
      <c r="AW28" s="223"/>
      <c r="AX28" s="224"/>
      <c r="AY28" s="276"/>
      <c r="AZ28" s="223"/>
      <c r="BA28" s="223"/>
      <c r="BB28" s="223"/>
      <c r="BC28" s="223"/>
      <c r="BD28" s="224"/>
    </row>
    <row r="29" spans="2:56" ht="12.75" customHeight="1">
      <c r="B29" s="104">
        <v>5</v>
      </c>
      <c r="C29" s="283"/>
      <c r="D29" s="223"/>
      <c r="E29" s="223"/>
      <c r="F29" s="223"/>
      <c r="G29" s="223"/>
      <c r="H29" s="223"/>
      <c r="I29" s="223"/>
      <c r="J29" s="223"/>
      <c r="K29" s="223"/>
      <c r="L29" s="223"/>
      <c r="M29" s="223"/>
      <c r="N29" s="223"/>
      <c r="O29" s="223"/>
      <c r="P29" s="223"/>
      <c r="Q29" s="223"/>
      <c r="R29" s="223"/>
      <c r="S29" s="223"/>
      <c r="T29" s="223"/>
      <c r="U29" s="223"/>
      <c r="V29" s="224"/>
      <c r="W29" s="277"/>
      <c r="X29" s="223"/>
      <c r="Y29" s="223"/>
      <c r="Z29" s="223"/>
      <c r="AA29" s="223"/>
      <c r="AB29" s="223"/>
      <c r="AC29" s="224"/>
      <c r="AD29" s="276"/>
      <c r="AE29" s="223"/>
      <c r="AF29" s="223"/>
      <c r="AG29" s="223"/>
      <c r="AH29" s="223"/>
      <c r="AI29" s="223"/>
      <c r="AJ29" s="223"/>
      <c r="AK29" s="223"/>
      <c r="AL29" s="223"/>
      <c r="AM29" s="223"/>
      <c r="AN29" s="223"/>
      <c r="AO29" s="223"/>
      <c r="AP29" s="224"/>
      <c r="AQ29" s="275"/>
      <c r="AR29" s="223"/>
      <c r="AS29" s="223"/>
      <c r="AT29" s="223"/>
      <c r="AU29" s="223"/>
      <c r="AV29" s="223"/>
      <c r="AW29" s="223"/>
      <c r="AX29" s="224"/>
      <c r="AY29" s="276"/>
      <c r="AZ29" s="223"/>
      <c r="BA29" s="223"/>
      <c r="BB29" s="223"/>
      <c r="BC29" s="223"/>
      <c r="BD29" s="224"/>
    </row>
    <row r="30" spans="2:56" ht="12.75" customHeight="1">
      <c r="B30" s="104">
        <v>6</v>
      </c>
      <c r="C30" s="283"/>
      <c r="D30" s="223"/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4"/>
      <c r="W30" s="277"/>
      <c r="X30" s="223"/>
      <c r="Y30" s="223"/>
      <c r="Z30" s="223"/>
      <c r="AA30" s="223"/>
      <c r="AB30" s="223"/>
      <c r="AC30" s="224"/>
      <c r="AD30" s="276"/>
      <c r="AE30" s="223"/>
      <c r="AF30" s="223"/>
      <c r="AG30" s="223"/>
      <c r="AH30" s="223"/>
      <c r="AI30" s="223"/>
      <c r="AJ30" s="223"/>
      <c r="AK30" s="223"/>
      <c r="AL30" s="223"/>
      <c r="AM30" s="223"/>
      <c r="AN30" s="223"/>
      <c r="AO30" s="223"/>
      <c r="AP30" s="224"/>
      <c r="AQ30" s="275"/>
      <c r="AR30" s="223"/>
      <c r="AS30" s="223"/>
      <c r="AT30" s="223"/>
      <c r="AU30" s="223"/>
      <c r="AV30" s="223"/>
      <c r="AW30" s="223"/>
      <c r="AX30" s="224"/>
      <c r="AY30" s="276"/>
      <c r="AZ30" s="223"/>
      <c r="BA30" s="223"/>
      <c r="BB30" s="223"/>
      <c r="BC30" s="223"/>
      <c r="BD30" s="224"/>
    </row>
    <row r="31" spans="2:56" ht="12.75" customHeight="1">
      <c r="B31" s="104">
        <v>7</v>
      </c>
      <c r="C31" s="283"/>
      <c r="D31" s="223"/>
      <c r="E31" s="223"/>
      <c r="F31" s="223"/>
      <c r="G31" s="223"/>
      <c r="H31" s="223"/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4"/>
      <c r="W31" s="277"/>
      <c r="X31" s="223"/>
      <c r="Y31" s="223"/>
      <c r="Z31" s="223"/>
      <c r="AA31" s="223"/>
      <c r="AB31" s="223"/>
      <c r="AC31" s="224"/>
      <c r="AD31" s="276"/>
      <c r="AE31" s="223"/>
      <c r="AF31" s="223"/>
      <c r="AG31" s="223"/>
      <c r="AH31" s="223"/>
      <c r="AI31" s="223"/>
      <c r="AJ31" s="223"/>
      <c r="AK31" s="223"/>
      <c r="AL31" s="223"/>
      <c r="AM31" s="223"/>
      <c r="AN31" s="223"/>
      <c r="AO31" s="223"/>
      <c r="AP31" s="224"/>
      <c r="AQ31" s="275"/>
      <c r="AR31" s="223"/>
      <c r="AS31" s="223"/>
      <c r="AT31" s="223"/>
      <c r="AU31" s="223"/>
      <c r="AV31" s="223"/>
      <c r="AW31" s="223"/>
      <c r="AX31" s="224"/>
      <c r="AY31" s="276"/>
      <c r="AZ31" s="223"/>
      <c r="BA31" s="223"/>
      <c r="BB31" s="223"/>
      <c r="BC31" s="223"/>
      <c r="BD31" s="224"/>
    </row>
    <row r="32" spans="2:56" ht="12.75" customHeight="1">
      <c r="B32" s="104">
        <v>8</v>
      </c>
      <c r="C32" s="283"/>
      <c r="D32" s="223"/>
      <c r="E32" s="223"/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4"/>
      <c r="W32" s="277"/>
      <c r="X32" s="223"/>
      <c r="Y32" s="223"/>
      <c r="Z32" s="223"/>
      <c r="AA32" s="223"/>
      <c r="AB32" s="223"/>
      <c r="AC32" s="224"/>
      <c r="AD32" s="276"/>
      <c r="AE32" s="223"/>
      <c r="AF32" s="223"/>
      <c r="AG32" s="223"/>
      <c r="AH32" s="223"/>
      <c r="AI32" s="223"/>
      <c r="AJ32" s="223"/>
      <c r="AK32" s="223"/>
      <c r="AL32" s="223"/>
      <c r="AM32" s="223"/>
      <c r="AN32" s="223"/>
      <c r="AO32" s="223"/>
      <c r="AP32" s="224"/>
      <c r="AQ32" s="275"/>
      <c r="AR32" s="223"/>
      <c r="AS32" s="223"/>
      <c r="AT32" s="223"/>
      <c r="AU32" s="223"/>
      <c r="AV32" s="223"/>
      <c r="AW32" s="223"/>
      <c r="AX32" s="224"/>
      <c r="AY32" s="276"/>
      <c r="AZ32" s="223"/>
      <c r="BA32" s="223"/>
      <c r="BB32" s="223"/>
      <c r="BC32" s="223"/>
      <c r="BD32" s="224"/>
    </row>
    <row r="33" spans="2:56" ht="12.75" customHeight="1">
      <c r="B33" s="104">
        <v>9</v>
      </c>
      <c r="C33" s="283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  <c r="T33" s="223"/>
      <c r="U33" s="223"/>
      <c r="V33" s="224"/>
      <c r="W33" s="277"/>
      <c r="X33" s="223"/>
      <c r="Y33" s="223"/>
      <c r="Z33" s="223"/>
      <c r="AA33" s="223"/>
      <c r="AB33" s="223"/>
      <c r="AC33" s="224"/>
      <c r="AD33" s="276"/>
      <c r="AE33" s="223"/>
      <c r="AF33" s="223"/>
      <c r="AG33" s="223"/>
      <c r="AH33" s="223"/>
      <c r="AI33" s="223"/>
      <c r="AJ33" s="223"/>
      <c r="AK33" s="223"/>
      <c r="AL33" s="223"/>
      <c r="AM33" s="223"/>
      <c r="AN33" s="223"/>
      <c r="AO33" s="223"/>
      <c r="AP33" s="224"/>
      <c r="AQ33" s="275"/>
      <c r="AR33" s="223"/>
      <c r="AS33" s="223"/>
      <c r="AT33" s="223"/>
      <c r="AU33" s="223"/>
      <c r="AV33" s="223"/>
      <c r="AW33" s="223"/>
      <c r="AX33" s="224"/>
      <c r="AY33" s="276"/>
      <c r="AZ33" s="223"/>
      <c r="BA33" s="223"/>
      <c r="BB33" s="223"/>
      <c r="BC33" s="223"/>
      <c r="BD33" s="224"/>
    </row>
    <row r="34" spans="2:56" ht="12.75" customHeight="1">
      <c r="B34" s="104">
        <v>10</v>
      </c>
      <c r="C34" s="283"/>
      <c r="D34" s="223"/>
      <c r="E34" s="223"/>
      <c r="F34" s="223"/>
      <c r="G34" s="223"/>
      <c r="H34" s="223"/>
      <c r="I34" s="223"/>
      <c r="J34" s="223"/>
      <c r="K34" s="223"/>
      <c r="L34" s="223"/>
      <c r="M34" s="223"/>
      <c r="N34" s="223"/>
      <c r="O34" s="223"/>
      <c r="P34" s="223"/>
      <c r="Q34" s="223"/>
      <c r="R34" s="223"/>
      <c r="S34" s="223"/>
      <c r="T34" s="223"/>
      <c r="U34" s="223"/>
      <c r="V34" s="224"/>
      <c r="W34" s="277"/>
      <c r="X34" s="223"/>
      <c r="Y34" s="223"/>
      <c r="Z34" s="223"/>
      <c r="AA34" s="223"/>
      <c r="AB34" s="223"/>
      <c r="AC34" s="224"/>
      <c r="AD34" s="276"/>
      <c r="AE34" s="223"/>
      <c r="AF34" s="223"/>
      <c r="AG34" s="223"/>
      <c r="AH34" s="223"/>
      <c r="AI34" s="223"/>
      <c r="AJ34" s="223"/>
      <c r="AK34" s="223"/>
      <c r="AL34" s="223"/>
      <c r="AM34" s="223"/>
      <c r="AN34" s="223"/>
      <c r="AO34" s="223"/>
      <c r="AP34" s="224"/>
      <c r="AQ34" s="275"/>
      <c r="AR34" s="223"/>
      <c r="AS34" s="223"/>
      <c r="AT34" s="223"/>
      <c r="AU34" s="223"/>
      <c r="AV34" s="223"/>
      <c r="AW34" s="223"/>
      <c r="AX34" s="224"/>
      <c r="AY34" s="276"/>
      <c r="AZ34" s="223"/>
      <c r="BA34" s="223"/>
      <c r="BB34" s="223"/>
      <c r="BC34" s="223"/>
      <c r="BD34" s="224"/>
    </row>
    <row r="35" spans="2:56" ht="12.75" customHeight="1"/>
    <row r="36" spans="2:56" ht="12.75" customHeight="1">
      <c r="B36" s="268" t="s">
        <v>684</v>
      </c>
      <c r="C36" s="269" t="s">
        <v>285</v>
      </c>
      <c r="D36" s="243"/>
      <c r="E36" s="243"/>
      <c r="F36" s="244"/>
      <c r="G36" s="274" t="s">
        <v>403</v>
      </c>
      <c r="H36" s="243"/>
      <c r="I36" s="243"/>
      <c r="J36" s="243"/>
      <c r="K36" s="243"/>
      <c r="L36" s="243"/>
      <c r="M36" s="243"/>
      <c r="N36" s="243"/>
      <c r="O36" s="243"/>
      <c r="P36" s="243"/>
      <c r="Q36" s="244"/>
      <c r="R36" s="269" t="s">
        <v>689</v>
      </c>
      <c r="S36" s="243"/>
      <c r="T36" s="243"/>
      <c r="U36" s="243"/>
      <c r="V36" s="243"/>
      <c r="W36" s="244"/>
      <c r="X36" s="268" t="s">
        <v>359</v>
      </c>
      <c r="Y36" s="269" t="s">
        <v>690</v>
      </c>
      <c r="Z36" s="243"/>
      <c r="AA36" s="244"/>
      <c r="AB36" s="284" t="s">
        <v>691</v>
      </c>
      <c r="AC36" s="244"/>
      <c r="AD36" s="269" t="s">
        <v>692</v>
      </c>
      <c r="AE36" s="243"/>
      <c r="AF36" s="244"/>
      <c r="AG36" s="269" t="s">
        <v>125</v>
      </c>
      <c r="AH36" s="243"/>
      <c r="AI36" s="244"/>
      <c r="AJ36" s="269" t="s">
        <v>138</v>
      </c>
      <c r="AK36" s="243"/>
      <c r="AL36" s="244"/>
      <c r="AM36" s="269" t="s">
        <v>693</v>
      </c>
      <c r="AN36" s="243"/>
      <c r="AO36" s="244"/>
      <c r="AP36" s="269" t="s">
        <v>694</v>
      </c>
      <c r="AQ36" s="243"/>
      <c r="AR36" s="244"/>
      <c r="AS36" s="269" t="s">
        <v>695</v>
      </c>
      <c r="AT36" s="243"/>
      <c r="AU36" s="244"/>
      <c r="AV36" s="269" t="s">
        <v>696</v>
      </c>
      <c r="AW36" s="243"/>
      <c r="AX36" s="244"/>
      <c r="AY36" s="269" t="s">
        <v>697</v>
      </c>
      <c r="AZ36" s="243"/>
      <c r="BA36" s="244"/>
      <c r="BB36" s="269" t="s">
        <v>698</v>
      </c>
      <c r="BC36" s="243"/>
      <c r="BD36" s="244"/>
    </row>
    <row r="37" spans="2:56" ht="12.75" customHeight="1">
      <c r="B37" s="221"/>
      <c r="C37" s="270"/>
      <c r="D37" s="271"/>
      <c r="E37" s="271"/>
      <c r="F37" s="272"/>
      <c r="G37" s="270"/>
      <c r="H37" s="271"/>
      <c r="I37" s="271"/>
      <c r="J37" s="271"/>
      <c r="K37" s="271"/>
      <c r="L37" s="271"/>
      <c r="M37" s="271"/>
      <c r="N37" s="271"/>
      <c r="O37" s="271"/>
      <c r="P37" s="271"/>
      <c r="Q37" s="272"/>
      <c r="R37" s="270"/>
      <c r="S37" s="271"/>
      <c r="T37" s="271"/>
      <c r="U37" s="271"/>
      <c r="V37" s="271"/>
      <c r="W37" s="272"/>
      <c r="X37" s="221"/>
      <c r="Y37" s="270"/>
      <c r="Z37" s="271"/>
      <c r="AA37" s="272"/>
      <c r="AB37" s="270"/>
      <c r="AC37" s="272"/>
      <c r="AD37" s="270"/>
      <c r="AE37" s="271"/>
      <c r="AF37" s="272"/>
      <c r="AG37" s="270"/>
      <c r="AH37" s="271"/>
      <c r="AI37" s="272"/>
      <c r="AJ37" s="270"/>
      <c r="AK37" s="271"/>
      <c r="AL37" s="272"/>
      <c r="AM37" s="270"/>
      <c r="AN37" s="271"/>
      <c r="AO37" s="272"/>
      <c r="AP37" s="270"/>
      <c r="AQ37" s="271"/>
      <c r="AR37" s="272"/>
      <c r="AS37" s="270"/>
      <c r="AT37" s="271"/>
      <c r="AU37" s="272"/>
      <c r="AV37" s="270"/>
      <c r="AW37" s="271"/>
      <c r="AX37" s="272"/>
      <c r="AY37" s="270"/>
      <c r="AZ37" s="271"/>
      <c r="BA37" s="272"/>
      <c r="BB37" s="270"/>
      <c r="BC37" s="271"/>
      <c r="BD37" s="272"/>
    </row>
    <row r="38" spans="2:56" ht="12.75" customHeight="1">
      <c r="B38" s="91"/>
      <c r="C38" s="252">
        <v>7</v>
      </c>
      <c r="D38" s="223"/>
      <c r="E38" s="223"/>
      <c r="F38" s="224"/>
      <c r="G38" s="252">
        <v>8</v>
      </c>
      <c r="H38" s="223"/>
      <c r="I38" s="223"/>
      <c r="J38" s="223"/>
      <c r="K38" s="223"/>
      <c r="L38" s="223"/>
      <c r="M38" s="223"/>
      <c r="N38" s="223"/>
      <c r="O38" s="223"/>
      <c r="P38" s="223"/>
      <c r="Q38" s="224"/>
      <c r="R38" s="252">
        <v>9</v>
      </c>
      <c r="S38" s="223"/>
      <c r="T38" s="223"/>
      <c r="U38" s="223"/>
      <c r="V38" s="223"/>
      <c r="W38" s="224"/>
      <c r="X38" s="78">
        <v>10</v>
      </c>
      <c r="Y38" s="252">
        <v>11</v>
      </c>
      <c r="Z38" s="223"/>
      <c r="AA38" s="224"/>
      <c r="AB38" s="252">
        <v>12</v>
      </c>
      <c r="AC38" s="224"/>
      <c r="AD38" s="252">
        <v>13</v>
      </c>
      <c r="AE38" s="223"/>
      <c r="AF38" s="224"/>
      <c r="AG38" s="252">
        <v>14</v>
      </c>
      <c r="AH38" s="223"/>
      <c r="AI38" s="224"/>
      <c r="AJ38" s="252">
        <v>15</v>
      </c>
      <c r="AK38" s="223"/>
      <c r="AL38" s="224"/>
      <c r="AM38" s="252">
        <v>16</v>
      </c>
      <c r="AN38" s="223"/>
      <c r="AO38" s="224"/>
      <c r="AP38" s="252">
        <v>17</v>
      </c>
      <c r="AQ38" s="223"/>
      <c r="AR38" s="224"/>
      <c r="AS38" s="252">
        <v>18</v>
      </c>
      <c r="AT38" s="223"/>
      <c r="AU38" s="224"/>
      <c r="AV38" s="252">
        <v>19</v>
      </c>
      <c r="AW38" s="223"/>
      <c r="AX38" s="224"/>
      <c r="AY38" s="252">
        <v>20</v>
      </c>
      <c r="AZ38" s="223"/>
      <c r="BA38" s="224"/>
      <c r="BB38" s="252">
        <v>21</v>
      </c>
      <c r="BC38" s="223"/>
      <c r="BD38" s="224"/>
    </row>
    <row r="39" spans="2:56" ht="12.75" customHeight="1">
      <c r="B39" s="78">
        <v>1</v>
      </c>
      <c r="C39" s="267"/>
      <c r="D39" s="78"/>
      <c r="E39" s="78"/>
      <c r="F39" s="267"/>
      <c r="G39" s="246"/>
      <c r="H39" s="223"/>
      <c r="I39" s="223"/>
      <c r="J39" s="223"/>
      <c r="K39" s="223"/>
      <c r="L39" s="223"/>
      <c r="M39" s="223"/>
      <c r="N39" s="223"/>
      <c r="O39" s="223"/>
      <c r="P39" s="223"/>
      <c r="Q39" s="224"/>
      <c r="R39" s="252"/>
      <c r="S39" s="223"/>
      <c r="T39" s="223"/>
      <c r="U39" s="223"/>
      <c r="V39" s="223"/>
      <c r="W39" s="224"/>
      <c r="X39" s="78"/>
      <c r="Y39" s="267"/>
      <c r="Z39" s="78"/>
      <c r="AA39" s="148"/>
      <c r="AB39" s="252"/>
      <c r="AC39" s="224"/>
      <c r="AD39" s="267"/>
      <c r="AE39" s="78"/>
      <c r="AF39" s="267"/>
      <c r="AG39" s="267"/>
      <c r="AH39" s="78"/>
      <c r="AI39" s="267"/>
      <c r="AJ39" s="267"/>
      <c r="AK39" s="78"/>
      <c r="AL39" s="267"/>
      <c r="AM39" s="267"/>
      <c r="AN39" s="78"/>
      <c r="AO39" s="267"/>
      <c r="AP39" s="252"/>
      <c r="AQ39" s="223"/>
      <c r="AR39" s="224"/>
      <c r="AS39" s="252"/>
      <c r="AT39" s="223"/>
      <c r="AU39" s="224"/>
      <c r="AV39" s="267"/>
      <c r="AW39" s="78"/>
      <c r="AX39" s="267"/>
      <c r="AY39" s="252"/>
      <c r="AZ39" s="223"/>
      <c r="BA39" s="224"/>
      <c r="BB39" s="252"/>
      <c r="BC39" s="223"/>
      <c r="BD39" s="224"/>
    </row>
    <row r="40" spans="2:56" ht="12.75" customHeight="1">
      <c r="B40" s="78">
        <v>2</v>
      </c>
      <c r="C40" s="220"/>
      <c r="D40" s="78"/>
      <c r="E40" s="78"/>
      <c r="F40" s="220"/>
      <c r="G40" s="246"/>
      <c r="H40" s="223"/>
      <c r="I40" s="223"/>
      <c r="J40" s="223"/>
      <c r="K40" s="223"/>
      <c r="L40" s="223"/>
      <c r="M40" s="223"/>
      <c r="N40" s="223"/>
      <c r="O40" s="223"/>
      <c r="P40" s="223"/>
      <c r="Q40" s="224"/>
      <c r="R40" s="252"/>
      <c r="S40" s="223"/>
      <c r="T40" s="223"/>
      <c r="U40" s="223"/>
      <c r="V40" s="223"/>
      <c r="W40" s="224"/>
      <c r="X40" s="78"/>
      <c r="Y40" s="220"/>
      <c r="Z40" s="78"/>
      <c r="AA40" s="148"/>
      <c r="AB40" s="252"/>
      <c r="AC40" s="224"/>
      <c r="AD40" s="220"/>
      <c r="AE40" s="78"/>
      <c r="AF40" s="220"/>
      <c r="AG40" s="220"/>
      <c r="AH40" s="78"/>
      <c r="AI40" s="220"/>
      <c r="AJ40" s="220"/>
      <c r="AK40" s="78"/>
      <c r="AL40" s="220"/>
      <c r="AM40" s="220"/>
      <c r="AN40" s="78"/>
      <c r="AO40" s="220"/>
      <c r="AP40" s="252"/>
      <c r="AQ40" s="223"/>
      <c r="AR40" s="224"/>
      <c r="AS40" s="252"/>
      <c r="AT40" s="223"/>
      <c r="AU40" s="224"/>
      <c r="AV40" s="220"/>
      <c r="AW40" s="78"/>
      <c r="AX40" s="220"/>
      <c r="AY40" s="252"/>
      <c r="AZ40" s="223"/>
      <c r="BA40" s="224"/>
      <c r="BB40" s="252"/>
      <c r="BC40" s="223"/>
      <c r="BD40" s="224"/>
    </row>
    <row r="41" spans="2:56" ht="12.75" customHeight="1">
      <c r="B41" s="78">
        <v>3</v>
      </c>
      <c r="C41" s="220"/>
      <c r="D41" s="78"/>
      <c r="E41" s="78"/>
      <c r="F41" s="220"/>
      <c r="G41" s="246"/>
      <c r="H41" s="223"/>
      <c r="I41" s="223"/>
      <c r="J41" s="223"/>
      <c r="K41" s="223"/>
      <c r="L41" s="223"/>
      <c r="M41" s="223"/>
      <c r="N41" s="223"/>
      <c r="O41" s="223"/>
      <c r="P41" s="223"/>
      <c r="Q41" s="224"/>
      <c r="R41" s="252"/>
      <c r="S41" s="223"/>
      <c r="T41" s="223"/>
      <c r="U41" s="223"/>
      <c r="V41" s="223"/>
      <c r="W41" s="224"/>
      <c r="X41" s="78"/>
      <c r="Y41" s="220"/>
      <c r="Z41" s="78"/>
      <c r="AA41" s="148"/>
      <c r="AB41" s="252"/>
      <c r="AC41" s="224"/>
      <c r="AD41" s="220"/>
      <c r="AE41" s="78"/>
      <c r="AF41" s="220"/>
      <c r="AG41" s="220"/>
      <c r="AH41" s="78"/>
      <c r="AI41" s="220"/>
      <c r="AJ41" s="220"/>
      <c r="AK41" s="78"/>
      <c r="AL41" s="220"/>
      <c r="AM41" s="220"/>
      <c r="AN41" s="78"/>
      <c r="AO41" s="220"/>
      <c r="AP41" s="252"/>
      <c r="AQ41" s="223"/>
      <c r="AR41" s="224"/>
      <c r="AS41" s="252"/>
      <c r="AT41" s="223"/>
      <c r="AU41" s="224"/>
      <c r="AV41" s="220"/>
      <c r="AW41" s="78"/>
      <c r="AX41" s="220"/>
      <c r="AY41" s="252"/>
      <c r="AZ41" s="223"/>
      <c r="BA41" s="224"/>
      <c r="BB41" s="252"/>
      <c r="BC41" s="223"/>
      <c r="BD41" s="224"/>
    </row>
    <row r="42" spans="2:56" ht="12.75" customHeight="1">
      <c r="B42" s="78">
        <v>4</v>
      </c>
      <c r="C42" s="220"/>
      <c r="D42" s="78"/>
      <c r="E42" s="78"/>
      <c r="F42" s="220"/>
      <c r="G42" s="246"/>
      <c r="H42" s="223"/>
      <c r="I42" s="223"/>
      <c r="J42" s="223"/>
      <c r="K42" s="223"/>
      <c r="L42" s="223"/>
      <c r="M42" s="223"/>
      <c r="N42" s="223"/>
      <c r="O42" s="223"/>
      <c r="P42" s="223"/>
      <c r="Q42" s="224"/>
      <c r="R42" s="252"/>
      <c r="S42" s="223"/>
      <c r="T42" s="223"/>
      <c r="U42" s="223"/>
      <c r="V42" s="223"/>
      <c r="W42" s="224"/>
      <c r="X42" s="78"/>
      <c r="Y42" s="220"/>
      <c r="Z42" s="78"/>
      <c r="AA42" s="148"/>
      <c r="AB42" s="252"/>
      <c r="AC42" s="224"/>
      <c r="AD42" s="220"/>
      <c r="AE42" s="78"/>
      <c r="AF42" s="220"/>
      <c r="AG42" s="220"/>
      <c r="AH42" s="78"/>
      <c r="AI42" s="220"/>
      <c r="AJ42" s="220"/>
      <c r="AK42" s="78"/>
      <c r="AL42" s="220"/>
      <c r="AM42" s="220"/>
      <c r="AN42" s="78"/>
      <c r="AO42" s="220"/>
      <c r="AP42" s="252"/>
      <c r="AQ42" s="223"/>
      <c r="AR42" s="224"/>
      <c r="AS42" s="252"/>
      <c r="AT42" s="223"/>
      <c r="AU42" s="224"/>
      <c r="AV42" s="220"/>
      <c r="AW42" s="78"/>
      <c r="AX42" s="220"/>
      <c r="AY42" s="252"/>
      <c r="AZ42" s="223"/>
      <c r="BA42" s="224"/>
      <c r="BB42" s="252"/>
      <c r="BC42" s="223"/>
      <c r="BD42" s="224"/>
    </row>
    <row r="43" spans="2:56" ht="12.75" customHeight="1">
      <c r="B43" s="78">
        <v>5</v>
      </c>
      <c r="C43" s="220"/>
      <c r="D43" s="78"/>
      <c r="E43" s="78"/>
      <c r="F43" s="220"/>
      <c r="G43" s="246"/>
      <c r="H43" s="223"/>
      <c r="I43" s="223"/>
      <c r="J43" s="223"/>
      <c r="K43" s="223"/>
      <c r="L43" s="223"/>
      <c r="M43" s="223"/>
      <c r="N43" s="223"/>
      <c r="O43" s="223"/>
      <c r="P43" s="223"/>
      <c r="Q43" s="224"/>
      <c r="R43" s="252"/>
      <c r="S43" s="223"/>
      <c r="T43" s="223"/>
      <c r="U43" s="223"/>
      <c r="V43" s="223"/>
      <c r="W43" s="224"/>
      <c r="X43" s="78"/>
      <c r="Y43" s="220"/>
      <c r="Z43" s="78"/>
      <c r="AA43" s="148"/>
      <c r="AB43" s="252"/>
      <c r="AC43" s="224"/>
      <c r="AD43" s="220"/>
      <c r="AE43" s="78"/>
      <c r="AF43" s="220"/>
      <c r="AG43" s="220"/>
      <c r="AH43" s="78"/>
      <c r="AI43" s="220"/>
      <c r="AJ43" s="220"/>
      <c r="AK43" s="78"/>
      <c r="AL43" s="220"/>
      <c r="AM43" s="220"/>
      <c r="AN43" s="78"/>
      <c r="AO43" s="220"/>
      <c r="AP43" s="252"/>
      <c r="AQ43" s="223"/>
      <c r="AR43" s="224"/>
      <c r="AS43" s="252"/>
      <c r="AT43" s="223"/>
      <c r="AU43" s="224"/>
      <c r="AV43" s="220"/>
      <c r="AW43" s="78"/>
      <c r="AX43" s="220"/>
      <c r="AY43" s="252"/>
      <c r="AZ43" s="223"/>
      <c r="BA43" s="224"/>
      <c r="BB43" s="252"/>
      <c r="BC43" s="223"/>
      <c r="BD43" s="224"/>
    </row>
    <row r="44" spans="2:56" ht="12.75" customHeight="1">
      <c r="B44" s="78">
        <v>6</v>
      </c>
      <c r="C44" s="220"/>
      <c r="D44" s="78"/>
      <c r="E44" s="78"/>
      <c r="F44" s="220"/>
      <c r="G44" s="246"/>
      <c r="H44" s="223"/>
      <c r="I44" s="223"/>
      <c r="J44" s="223"/>
      <c r="K44" s="223"/>
      <c r="L44" s="223"/>
      <c r="M44" s="223"/>
      <c r="N44" s="223"/>
      <c r="O44" s="223"/>
      <c r="P44" s="223"/>
      <c r="Q44" s="224"/>
      <c r="R44" s="252"/>
      <c r="S44" s="223"/>
      <c r="T44" s="223"/>
      <c r="U44" s="223"/>
      <c r="V44" s="223"/>
      <c r="W44" s="224"/>
      <c r="X44" s="78"/>
      <c r="Y44" s="220"/>
      <c r="Z44" s="78"/>
      <c r="AA44" s="148"/>
      <c r="AB44" s="252"/>
      <c r="AC44" s="224"/>
      <c r="AD44" s="220"/>
      <c r="AE44" s="78"/>
      <c r="AF44" s="220"/>
      <c r="AG44" s="220"/>
      <c r="AH44" s="78"/>
      <c r="AI44" s="220"/>
      <c r="AJ44" s="220"/>
      <c r="AK44" s="78"/>
      <c r="AL44" s="220"/>
      <c r="AM44" s="220"/>
      <c r="AN44" s="78"/>
      <c r="AO44" s="220"/>
      <c r="AP44" s="252"/>
      <c r="AQ44" s="223"/>
      <c r="AR44" s="224"/>
      <c r="AS44" s="252"/>
      <c r="AT44" s="223"/>
      <c r="AU44" s="224"/>
      <c r="AV44" s="220"/>
      <c r="AW44" s="78"/>
      <c r="AX44" s="220"/>
      <c r="AY44" s="252"/>
      <c r="AZ44" s="223"/>
      <c r="BA44" s="224"/>
      <c r="BB44" s="252"/>
      <c r="BC44" s="223"/>
      <c r="BD44" s="224"/>
    </row>
    <row r="45" spans="2:56" ht="12.75" customHeight="1">
      <c r="B45" s="78">
        <v>7</v>
      </c>
      <c r="C45" s="220"/>
      <c r="D45" s="78"/>
      <c r="E45" s="78"/>
      <c r="F45" s="220"/>
      <c r="G45" s="246"/>
      <c r="H45" s="223"/>
      <c r="I45" s="223"/>
      <c r="J45" s="223"/>
      <c r="K45" s="223"/>
      <c r="L45" s="223"/>
      <c r="M45" s="223"/>
      <c r="N45" s="223"/>
      <c r="O45" s="223"/>
      <c r="P45" s="223"/>
      <c r="Q45" s="224"/>
      <c r="R45" s="252"/>
      <c r="S45" s="223"/>
      <c r="T45" s="223"/>
      <c r="U45" s="223"/>
      <c r="V45" s="223"/>
      <c r="W45" s="224"/>
      <c r="X45" s="78"/>
      <c r="Y45" s="220"/>
      <c r="Z45" s="78"/>
      <c r="AA45" s="148"/>
      <c r="AB45" s="252"/>
      <c r="AC45" s="224"/>
      <c r="AD45" s="220"/>
      <c r="AE45" s="78"/>
      <c r="AF45" s="220"/>
      <c r="AG45" s="220"/>
      <c r="AH45" s="78"/>
      <c r="AI45" s="220"/>
      <c r="AJ45" s="220"/>
      <c r="AK45" s="78"/>
      <c r="AL45" s="220"/>
      <c r="AM45" s="220"/>
      <c r="AN45" s="78"/>
      <c r="AO45" s="220"/>
      <c r="AP45" s="252"/>
      <c r="AQ45" s="223"/>
      <c r="AR45" s="224"/>
      <c r="AS45" s="252"/>
      <c r="AT45" s="223"/>
      <c r="AU45" s="224"/>
      <c r="AV45" s="220"/>
      <c r="AW45" s="78"/>
      <c r="AX45" s="220"/>
      <c r="AY45" s="252"/>
      <c r="AZ45" s="223"/>
      <c r="BA45" s="224"/>
      <c r="BB45" s="252"/>
      <c r="BC45" s="223"/>
      <c r="BD45" s="224"/>
    </row>
    <row r="46" spans="2:56" ht="12.75" customHeight="1">
      <c r="B46" s="78">
        <v>8</v>
      </c>
      <c r="C46" s="220"/>
      <c r="D46" s="78"/>
      <c r="E46" s="78"/>
      <c r="F46" s="220"/>
      <c r="G46" s="246"/>
      <c r="H46" s="223"/>
      <c r="I46" s="223"/>
      <c r="J46" s="223"/>
      <c r="K46" s="223"/>
      <c r="L46" s="223"/>
      <c r="M46" s="223"/>
      <c r="N46" s="223"/>
      <c r="O46" s="223"/>
      <c r="P46" s="223"/>
      <c r="Q46" s="224"/>
      <c r="R46" s="252"/>
      <c r="S46" s="223"/>
      <c r="T46" s="223"/>
      <c r="U46" s="223"/>
      <c r="V46" s="223"/>
      <c r="W46" s="224"/>
      <c r="X46" s="78"/>
      <c r="Y46" s="220"/>
      <c r="Z46" s="78"/>
      <c r="AA46" s="148"/>
      <c r="AB46" s="252"/>
      <c r="AC46" s="224"/>
      <c r="AD46" s="220"/>
      <c r="AE46" s="78"/>
      <c r="AF46" s="220"/>
      <c r="AG46" s="220"/>
      <c r="AH46" s="78"/>
      <c r="AI46" s="220"/>
      <c r="AJ46" s="220"/>
      <c r="AK46" s="78"/>
      <c r="AL46" s="220"/>
      <c r="AM46" s="220"/>
      <c r="AN46" s="78"/>
      <c r="AO46" s="220"/>
      <c r="AP46" s="252"/>
      <c r="AQ46" s="223"/>
      <c r="AR46" s="224"/>
      <c r="AS46" s="252"/>
      <c r="AT46" s="223"/>
      <c r="AU46" s="224"/>
      <c r="AV46" s="220"/>
      <c r="AW46" s="78"/>
      <c r="AX46" s="220"/>
      <c r="AY46" s="252"/>
      <c r="AZ46" s="223"/>
      <c r="BA46" s="224"/>
      <c r="BB46" s="252"/>
      <c r="BC46" s="223"/>
      <c r="BD46" s="224"/>
    </row>
    <row r="47" spans="2:56" ht="12.75" customHeight="1">
      <c r="B47" s="78">
        <v>9</v>
      </c>
      <c r="C47" s="220"/>
      <c r="D47" s="78"/>
      <c r="E47" s="78"/>
      <c r="F47" s="220"/>
      <c r="G47" s="246"/>
      <c r="H47" s="223"/>
      <c r="I47" s="223"/>
      <c r="J47" s="223"/>
      <c r="K47" s="223"/>
      <c r="L47" s="223"/>
      <c r="M47" s="223"/>
      <c r="N47" s="223"/>
      <c r="O47" s="223"/>
      <c r="P47" s="223"/>
      <c r="Q47" s="224"/>
      <c r="R47" s="252"/>
      <c r="S47" s="223"/>
      <c r="T47" s="223"/>
      <c r="U47" s="223"/>
      <c r="V47" s="223"/>
      <c r="W47" s="224"/>
      <c r="X47" s="78"/>
      <c r="Y47" s="220"/>
      <c r="Z47" s="78"/>
      <c r="AA47" s="148"/>
      <c r="AB47" s="252"/>
      <c r="AC47" s="224"/>
      <c r="AD47" s="220"/>
      <c r="AE47" s="78"/>
      <c r="AF47" s="220"/>
      <c r="AG47" s="220"/>
      <c r="AH47" s="78"/>
      <c r="AI47" s="220"/>
      <c r="AJ47" s="220"/>
      <c r="AK47" s="78"/>
      <c r="AL47" s="220"/>
      <c r="AM47" s="220"/>
      <c r="AN47" s="78"/>
      <c r="AO47" s="220"/>
      <c r="AP47" s="252"/>
      <c r="AQ47" s="223"/>
      <c r="AR47" s="224"/>
      <c r="AS47" s="252"/>
      <c r="AT47" s="223"/>
      <c r="AU47" s="224"/>
      <c r="AV47" s="220"/>
      <c r="AW47" s="78"/>
      <c r="AX47" s="220"/>
      <c r="AY47" s="252"/>
      <c r="AZ47" s="223"/>
      <c r="BA47" s="224"/>
      <c r="BB47" s="252"/>
      <c r="BC47" s="223"/>
      <c r="BD47" s="224"/>
    </row>
    <row r="48" spans="2:56" ht="12.75" customHeight="1">
      <c r="B48" s="78">
        <v>10</v>
      </c>
      <c r="C48" s="221"/>
      <c r="D48" s="78"/>
      <c r="E48" s="78"/>
      <c r="F48" s="221"/>
      <c r="G48" s="246"/>
      <c r="H48" s="223"/>
      <c r="I48" s="223"/>
      <c r="J48" s="223"/>
      <c r="K48" s="223"/>
      <c r="L48" s="223"/>
      <c r="M48" s="223"/>
      <c r="N48" s="223"/>
      <c r="O48" s="223"/>
      <c r="P48" s="223"/>
      <c r="Q48" s="224"/>
      <c r="R48" s="252"/>
      <c r="S48" s="223"/>
      <c r="T48" s="223"/>
      <c r="U48" s="223"/>
      <c r="V48" s="223"/>
      <c r="W48" s="224"/>
      <c r="X48" s="78"/>
      <c r="Y48" s="221"/>
      <c r="Z48" s="78"/>
      <c r="AA48" s="148"/>
      <c r="AB48" s="252"/>
      <c r="AC48" s="224"/>
      <c r="AD48" s="221"/>
      <c r="AE48" s="78"/>
      <c r="AF48" s="221"/>
      <c r="AG48" s="221"/>
      <c r="AH48" s="78"/>
      <c r="AI48" s="221"/>
      <c r="AJ48" s="221"/>
      <c r="AK48" s="78"/>
      <c r="AL48" s="221"/>
      <c r="AM48" s="221"/>
      <c r="AN48" s="78"/>
      <c r="AO48" s="221"/>
      <c r="AP48" s="252"/>
      <c r="AQ48" s="223"/>
      <c r="AR48" s="224"/>
      <c r="AS48" s="252"/>
      <c r="AT48" s="223"/>
      <c r="AU48" s="224"/>
      <c r="AV48" s="221"/>
      <c r="AW48" s="78"/>
      <c r="AX48" s="221"/>
      <c r="AY48" s="252"/>
      <c r="AZ48" s="223"/>
      <c r="BA48" s="224"/>
      <c r="BB48" s="252"/>
      <c r="BC48" s="223"/>
      <c r="BD48" s="224"/>
    </row>
    <row r="49" spans="2:56" ht="12.75" customHeight="1"/>
    <row r="50" spans="2:56" ht="12.75" customHeight="1">
      <c r="B50" s="268" t="s">
        <v>684</v>
      </c>
      <c r="C50" s="269" t="s">
        <v>699</v>
      </c>
      <c r="D50" s="243"/>
      <c r="E50" s="243"/>
      <c r="F50" s="244"/>
      <c r="G50" s="269" t="s">
        <v>700</v>
      </c>
      <c r="H50" s="243"/>
      <c r="I50" s="243"/>
      <c r="J50" s="244"/>
      <c r="K50" s="269" t="s">
        <v>701</v>
      </c>
      <c r="L50" s="243"/>
      <c r="M50" s="243"/>
      <c r="N50" s="244"/>
      <c r="O50" s="269" t="s">
        <v>702</v>
      </c>
      <c r="P50" s="243"/>
      <c r="Q50" s="243"/>
      <c r="R50" s="244"/>
      <c r="S50" s="269" t="s">
        <v>128</v>
      </c>
      <c r="T50" s="243"/>
      <c r="U50" s="243"/>
      <c r="V50" s="244"/>
      <c r="W50" s="274" t="s">
        <v>703</v>
      </c>
      <c r="X50" s="243"/>
      <c r="Y50" s="243"/>
      <c r="Z50" s="243"/>
      <c r="AA50" s="243"/>
      <c r="AB50" s="243"/>
      <c r="AC50" s="244"/>
      <c r="AD50" s="274" t="s">
        <v>686</v>
      </c>
      <c r="AE50" s="243"/>
      <c r="AF50" s="243"/>
      <c r="AG50" s="243"/>
      <c r="AH50" s="243"/>
      <c r="AI50" s="243"/>
      <c r="AJ50" s="243"/>
      <c r="AK50" s="243"/>
      <c r="AL50" s="243"/>
      <c r="AM50" s="243"/>
      <c r="AN50" s="243"/>
      <c r="AO50" s="243"/>
      <c r="AP50" s="244"/>
      <c r="AQ50" s="274" t="s">
        <v>687</v>
      </c>
      <c r="AR50" s="243"/>
      <c r="AS50" s="243"/>
      <c r="AT50" s="243"/>
      <c r="AU50" s="243"/>
      <c r="AV50" s="243"/>
      <c r="AW50" s="243"/>
      <c r="AX50" s="244"/>
      <c r="AY50" s="274" t="s">
        <v>688</v>
      </c>
      <c r="AZ50" s="243"/>
      <c r="BA50" s="243"/>
      <c r="BB50" s="243"/>
      <c r="BC50" s="243"/>
      <c r="BD50" s="244"/>
    </row>
    <row r="51" spans="2:56" ht="12.75" customHeight="1">
      <c r="B51" s="221"/>
      <c r="C51" s="270"/>
      <c r="D51" s="271"/>
      <c r="E51" s="271"/>
      <c r="F51" s="272"/>
      <c r="G51" s="270"/>
      <c r="H51" s="271"/>
      <c r="I51" s="271"/>
      <c r="J51" s="272"/>
      <c r="K51" s="270"/>
      <c r="L51" s="271"/>
      <c r="M51" s="271"/>
      <c r="N51" s="272"/>
      <c r="O51" s="270"/>
      <c r="P51" s="271"/>
      <c r="Q51" s="271"/>
      <c r="R51" s="272"/>
      <c r="S51" s="270"/>
      <c r="T51" s="271"/>
      <c r="U51" s="271"/>
      <c r="V51" s="272"/>
      <c r="W51" s="270"/>
      <c r="X51" s="271"/>
      <c r="Y51" s="271"/>
      <c r="Z51" s="271"/>
      <c r="AA51" s="271"/>
      <c r="AB51" s="271"/>
      <c r="AC51" s="272"/>
      <c r="AD51" s="270"/>
      <c r="AE51" s="271"/>
      <c r="AF51" s="271"/>
      <c r="AG51" s="271"/>
      <c r="AH51" s="271"/>
      <c r="AI51" s="271"/>
      <c r="AJ51" s="271"/>
      <c r="AK51" s="271"/>
      <c r="AL51" s="271"/>
      <c r="AM51" s="271"/>
      <c r="AN51" s="271"/>
      <c r="AO51" s="271"/>
      <c r="AP51" s="272"/>
      <c r="AQ51" s="270"/>
      <c r="AR51" s="271"/>
      <c r="AS51" s="271"/>
      <c r="AT51" s="271"/>
      <c r="AU51" s="271"/>
      <c r="AV51" s="271"/>
      <c r="AW51" s="271"/>
      <c r="AX51" s="272"/>
      <c r="AY51" s="270"/>
      <c r="AZ51" s="271"/>
      <c r="BA51" s="271"/>
      <c r="BB51" s="271"/>
      <c r="BC51" s="271"/>
      <c r="BD51" s="272"/>
    </row>
    <row r="52" spans="2:56" ht="12.75" customHeight="1">
      <c r="B52" s="104"/>
      <c r="C52" s="273">
        <v>22</v>
      </c>
      <c r="D52" s="223"/>
      <c r="E52" s="223"/>
      <c r="F52" s="224"/>
      <c r="G52" s="273">
        <v>23</v>
      </c>
      <c r="H52" s="223"/>
      <c r="I52" s="223"/>
      <c r="J52" s="224"/>
      <c r="K52" s="273">
        <v>24</v>
      </c>
      <c r="L52" s="223"/>
      <c r="M52" s="223"/>
      <c r="N52" s="224"/>
      <c r="O52" s="273">
        <v>25</v>
      </c>
      <c r="P52" s="223"/>
      <c r="Q52" s="223"/>
      <c r="R52" s="224"/>
      <c r="S52" s="273">
        <v>26</v>
      </c>
      <c r="T52" s="223"/>
      <c r="U52" s="223"/>
      <c r="V52" s="224"/>
      <c r="W52" s="275">
        <v>27</v>
      </c>
      <c r="X52" s="223"/>
      <c r="Y52" s="223"/>
      <c r="Z52" s="223"/>
      <c r="AA52" s="223"/>
      <c r="AB52" s="223"/>
      <c r="AC52" s="224"/>
      <c r="AD52" s="275">
        <v>28</v>
      </c>
      <c r="AE52" s="223"/>
      <c r="AF52" s="223"/>
      <c r="AG52" s="223"/>
      <c r="AH52" s="223"/>
      <c r="AI52" s="223"/>
      <c r="AJ52" s="223"/>
      <c r="AK52" s="223"/>
      <c r="AL52" s="223"/>
      <c r="AM52" s="223"/>
      <c r="AN52" s="223"/>
      <c r="AO52" s="223"/>
      <c r="AP52" s="224"/>
      <c r="AQ52" s="275">
        <v>29</v>
      </c>
      <c r="AR52" s="223"/>
      <c r="AS52" s="223"/>
      <c r="AT52" s="223"/>
      <c r="AU52" s="223"/>
      <c r="AV52" s="223"/>
      <c r="AW52" s="223"/>
      <c r="AX52" s="224"/>
      <c r="AY52" s="275">
        <v>30</v>
      </c>
      <c r="AZ52" s="223"/>
      <c r="BA52" s="223"/>
      <c r="BB52" s="223"/>
      <c r="BC52" s="223"/>
      <c r="BD52" s="224"/>
    </row>
    <row r="53" spans="2:56" ht="12.75" customHeight="1">
      <c r="B53" s="78">
        <v>1</v>
      </c>
      <c r="C53" s="267"/>
      <c r="D53" s="78"/>
      <c r="E53" s="78"/>
      <c r="F53" s="267"/>
      <c r="G53" s="267"/>
      <c r="H53" s="78"/>
      <c r="I53" s="78"/>
      <c r="J53" s="267"/>
      <c r="K53" s="267"/>
      <c r="L53" s="78"/>
      <c r="M53" s="78"/>
      <c r="N53" s="267"/>
      <c r="O53" s="267"/>
      <c r="P53" s="78"/>
      <c r="Q53" s="78"/>
      <c r="R53" s="267"/>
      <c r="S53" s="267"/>
      <c r="T53" s="78"/>
      <c r="U53" s="78"/>
      <c r="V53" s="267"/>
      <c r="W53" s="252"/>
      <c r="X53" s="223"/>
      <c r="Y53" s="223"/>
      <c r="Z53" s="223"/>
      <c r="AA53" s="223"/>
      <c r="AB53" s="223"/>
      <c r="AC53" s="224"/>
      <c r="AD53" s="246"/>
      <c r="AE53" s="223"/>
      <c r="AF53" s="223"/>
      <c r="AG53" s="223"/>
      <c r="AH53" s="223"/>
      <c r="AI53" s="223"/>
      <c r="AJ53" s="223"/>
      <c r="AK53" s="223"/>
      <c r="AL53" s="223"/>
      <c r="AM53" s="223"/>
      <c r="AN53" s="223"/>
      <c r="AO53" s="223"/>
      <c r="AP53" s="224"/>
      <c r="AQ53" s="252"/>
      <c r="AR53" s="223"/>
      <c r="AS53" s="223"/>
      <c r="AT53" s="223"/>
      <c r="AU53" s="223"/>
      <c r="AV53" s="223"/>
      <c r="AW53" s="223"/>
      <c r="AX53" s="224"/>
      <c r="AY53" s="246"/>
      <c r="AZ53" s="223"/>
      <c r="BA53" s="223"/>
      <c r="BB53" s="223"/>
      <c r="BC53" s="223"/>
      <c r="BD53" s="224"/>
    </row>
    <row r="54" spans="2:56" ht="12.75" customHeight="1">
      <c r="B54" s="78">
        <v>2</v>
      </c>
      <c r="C54" s="220"/>
      <c r="D54" s="78"/>
      <c r="E54" s="78"/>
      <c r="F54" s="220"/>
      <c r="G54" s="220"/>
      <c r="H54" s="78"/>
      <c r="I54" s="78"/>
      <c r="J54" s="220"/>
      <c r="K54" s="220"/>
      <c r="L54" s="78"/>
      <c r="M54" s="78"/>
      <c r="N54" s="220"/>
      <c r="O54" s="220"/>
      <c r="P54" s="78"/>
      <c r="Q54" s="78"/>
      <c r="R54" s="220"/>
      <c r="S54" s="220"/>
      <c r="T54" s="78"/>
      <c r="U54" s="78"/>
      <c r="V54" s="220"/>
      <c r="W54" s="252"/>
      <c r="X54" s="223"/>
      <c r="Y54" s="223"/>
      <c r="Z54" s="223"/>
      <c r="AA54" s="223"/>
      <c r="AB54" s="223"/>
      <c r="AC54" s="224"/>
      <c r="AD54" s="246"/>
      <c r="AE54" s="223"/>
      <c r="AF54" s="223"/>
      <c r="AG54" s="223"/>
      <c r="AH54" s="223"/>
      <c r="AI54" s="223"/>
      <c r="AJ54" s="223"/>
      <c r="AK54" s="223"/>
      <c r="AL54" s="223"/>
      <c r="AM54" s="223"/>
      <c r="AN54" s="223"/>
      <c r="AO54" s="223"/>
      <c r="AP54" s="224"/>
      <c r="AQ54" s="252"/>
      <c r="AR54" s="223"/>
      <c r="AS54" s="223"/>
      <c r="AT54" s="223"/>
      <c r="AU54" s="223"/>
      <c r="AV54" s="223"/>
      <c r="AW54" s="223"/>
      <c r="AX54" s="224"/>
      <c r="AY54" s="246"/>
      <c r="AZ54" s="223"/>
      <c r="BA54" s="223"/>
      <c r="BB54" s="223"/>
      <c r="BC54" s="223"/>
      <c r="BD54" s="224"/>
    </row>
    <row r="55" spans="2:56" ht="12.75" customHeight="1">
      <c r="B55" s="78">
        <v>3</v>
      </c>
      <c r="C55" s="220"/>
      <c r="D55" s="78"/>
      <c r="E55" s="78"/>
      <c r="F55" s="220"/>
      <c r="G55" s="220"/>
      <c r="H55" s="78"/>
      <c r="I55" s="78"/>
      <c r="J55" s="220"/>
      <c r="K55" s="220"/>
      <c r="L55" s="78"/>
      <c r="M55" s="78"/>
      <c r="N55" s="220"/>
      <c r="O55" s="220"/>
      <c r="P55" s="78"/>
      <c r="Q55" s="78"/>
      <c r="R55" s="220"/>
      <c r="S55" s="220"/>
      <c r="T55" s="78"/>
      <c r="U55" s="78"/>
      <c r="V55" s="220"/>
      <c r="W55" s="252"/>
      <c r="X55" s="223"/>
      <c r="Y55" s="223"/>
      <c r="Z55" s="223"/>
      <c r="AA55" s="223"/>
      <c r="AB55" s="223"/>
      <c r="AC55" s="224"/>
      <c r="AD55" s="246"/>
      <c r="AE55" s="223"/>
      <c r="AF55" s="223"/>
      <c r="AG55" s="223"/>
      <c r="AH55" s="223"/>
      <c r="AI55" s="223"/>
      <c r="AJ55" s="223"/>
      <c r="AK55" s="223"/>
      <c r="AL55" s="223"/>
      <c r="AM55" s="223"/>
      <c r="AN55" s="223"/>
      <c r="AO55" s="223"/>
      <c r="AP55" s="224"/>
      <c r="AQ55" s="252"/>
      <c r="AR55" s="223"/>
      <c r="AS55" s="223"/>
      <c r="AT55" s="223"/>
      <c r="AU55" s="223"/>
      <c r="AV55" s="223"/>
      <c r="AW55" s="223"/>
      <c r="AX55" s="224"/>
      <c r="AY55" s="246"/>
      <c r="AZ55" s="223"/>
      <c r="BA55" s="223"/>
      <c r="BB55" s="223"/>
      <c r="BC55" s="223"/>
      <c r="BD55" s="224"/>
    </row>
    <row r="56" spans="2:56" ht="12.75" customHeight="1">
      <c r="B56" s="78">
        <v>4</v>
      </c>
      <c r="C56" s="220"/>
      <c r="D56" s="78"/>
      <c r="E56" s="78"/>
      <c r="F56" s="220"/>
      <c r="G56" s="220"/>
      <c r="H56" s="78"/>
      <c r="I56" s="78"/>
      <c r="J56" s="220"/>
      <c r="K56" s="220"/>
      <c r="L56" s="78"/>
      <c r="M56" s="78"/>
      <c r="N56" s="220"/>
      <c r="O56" s="220"/>
      <c r="P56" s="78"/>
      <c r="Q56" s="78"/>
      <c r="R56" s="220"/>
      <c r="S56" s="220"/>
      <c r="T56" s="78"/>
      <c r="U56" s="78"/>
      <c r="V56" s="220"/>
      <c r="W56" s="252"/>
      <c r="X56" s="223"/>
      <c r="Y56" s="223"/>
      <c r="Z56" s="223"/>
      <c r="AA56" s="223"/>
      <c r="AB56" s="223"/>
      <c r="AC56" s="224"/>
      <c r="AD56" s="246"/>
      <c r="AE56" s="223"/>
      <c r="AF56" s="223"/>
      <c r="AG56" s="223"/>
      <c r="AH56" s="223"/>
      <c r="AI56" s="223"/>
      <c r="AJ56" s="223"/>
      <c r="AK56" s="223"/>
      <c r="AL56" s="223"/>
      <c r="AM56" s="223"/>
      <c r="AN56" s="223"/>
      <c r="AO56" s="223"/>
      <c r="AP56" s="224"/>
      <c r="AQ56" s="252"/>
      <c r="AR56" s="223"/>
      <c r="AS56" s="223"/>
      <c r="AT56" s="223"/>
      <c r="AU56" s="223"/>
      <c r="AV56" s="223"/>
      <c r="AW56" s="223"/>
      <c r="AX56" s="224"/>
      <c r="AY56" s="246"/>
      <c r="AZ56" s="223"/>
      <c r="BA56" s="223"/>
      <c r="BB56" s="223"/>
      <c r="BC56" s="223"/>
      <c r="BD56" s="224"/>
    </row>
    <row r="57" spans="2:56" ht="12.75" customHeight="1">
      <c r="B57" s="78">
        <v>5</v>
      </c>
      <c r="C57" s="220"/>
      <c r="D57" s="78"/>
      <c r="E57" s="78"/>
      <c r="F57" s="220"/>
      <c r="G57" s="220"/>
      <c r="H57" s="78"/>
      <c r="I57" s="78"/>
      <c r="J57" s="220"/>
      <c r="K57" s="220"/>
      <c r="L57" s="78"/>
      <c r="M57" s="78"/>
      <c r="N57" s="220"/>
      <c r="O57" s="220"/>
      <c r="P57" s="78"/>
      <c r="Q57" s="78"/>
      <c r="R57" s="220"/>
      <c r="S57" s="220"/>
      <c r="T57" s="78"/>
      <c r="U57" s="78"/>
      <c r="V57" s="220"/>
      <c r="W57" s="252"/>
      <c r="X57" s="223"/>
      <c r="Y57" s="223"/>
      <c r="Z57" s="223"/>
      <c r="AA57" s="223"/>
      <c r="AB57" s="223"/>
      <c r="AC57" s="224"/>
      <c r="AD57" s="246"/>
      <c r="AE57" s="223"/>
      <c r="AF57" s="223"/>
      <c r="AG57" s="223"/>
      <c r="AH57" s="223"/>
      <c r="AI57" s="223"/>
      <c r="AJ57" s="223"/>
      <c r="AK57" s="223"/>
      <c r="AL57" s="223"/>
      <c r="AM57" s="223"/>
      <c r="AN57" s="223"/>
      <c r="AO57" s="223"/>
      <c r="AP57" s="224"/>
      <c r="AQ57" s="252"/>
      <c r="AR57" s="223"/>
      <c r="AS57" s="223"/>
      <c r="AT57" s="223"/>
      <c r="AU57" s="223"/>
      <c r="AV57" s="223"/>
      <c r="AW57" s="223"/>
      <c r="AX57" s="224"/>
      <c r="AY57" s="246"/>
      <c r="AZ57" s="223"/>
      <c r="BA57" s="223"/>
      <c r="BB57" s="223"/>
      <c r="BC57" s="223"/>
      <c r="BD57" s="224"/>
    </row>
    <row r="58" spans="2:56" ht="12.75" customHeight="1">
      <c r="B58" s="78">
        <v>6</v>
      </c>
      <c r="C58" s="220"/>
      <c r="D58" s="78"/>
      <c r="E58" s="78"/>
      <c r="F58" s="220"/>
      <c r="G58" s="220"/>
      <c r="H58" s="78"/>
      <c r="I58" s="78"/>
      <c r="J58" s="220"/>
      <c r="K58" s="220"/>
      <c r="L58" s="78"/>
      <c r="M58" s="78"/>
      <c r="N58" s="220"/>
      <c r="O58" s="220"/>
      <c r="P58" s="78"/>
      <c r="Q58" s="78"/>
      <c r="R58" s="220"/>
      <c r="S58" s="220"/>
      <c r="T58" s="78"/>
      <c r="U58" s="78"/>
      <c r="V58" s="220"/>
      <c r="W58" s="252"/>
      <c r="X58" s="223"/>
      <c r="Y58" s="223"/>
      <c r="Z58" s="223"/>
      <c r="AA58" s="223"/>
      <c r="AB58" s="223"/>
      <c r="AC58" s="224"/>
      <c r="AD58" s="246"/>
      <c r="AE58" s="223"/>
      <c r="AF58" s="223"/>
      <c r="AG58" s="223"/>
      <c r="AH58" s="223"/>
      <c r="AI58" s="223"/>
      <c r="AJ58" s="223"/>
      <c r="AK58" s="223"/>
      <c r="AL58" s="223"/>
      <c r="AM58" s="223"/>
      <c r="AN58" s="223"/>
      <c r="AO58" s="223"/>
      <c r="AP58" s="224"/>
      <c r="AQ58" s="252"/>
      <c r="AR58" s="223"/>
      <c r="AS58" s="223"/>
      <c r="AT58" s="223"/>
      <c r="AU58" s="223"/>
      <c r="AV58" s="223"/>
      <c r="AW58" s="223"/>
      <c r="AX58" s="224"/>
      <c r="AY58" s="246"/>
      <c r="AZ58" s="223"/>
      <c r="BA58" s="223"/>
      <c r="BB58" s="223"/>
      <c r="BC58" s="223"/>
      <c r="BD58" s="224"/>
    </row>
    <row r="59" spans="2:56" ht="12.75" customHeight="1">
      <c r="B59" s="78">
        <v>7</v>
      </c>
      <c r="C59" s="220"/>
      <c r="D59" s="78"/>
      <c r="E59" s="78"/>
      <c r="F59" s="220"/>
      <c r="G59" s="220"/>
      <c r="H59" s="78"/>
      <c r="I59" s="78"/>
      <c r="J59" s="220"/>
      <c r="K59" s="220"/>
      <c r="L59" s="78"/>
      <c r="M59" s="78"/>
      <c r="N59" s="220"/>
      <c r="O59" s="220"/>
      <c r="P59" s="78"/>
      <c r="Q59" s="78"/>
      <c r="R59" s="220"/>
      <c r="S59" s="220"/>
      <c r="T59" s="78"/>
      <c r="U59" s="78"/>
      <c r="V59" s="220"/>
      <c r="W59" s="252"/>
      <c r="X59" s="223"/>
      <c r="Y59" s="223"/>
      <c r="Z59" s="223"/>
      <c r="AA59" s="223"/>
      <c r="AB59" s="223"/>
      <c r="AC59" s="224"/>
      <c r="AD59" s="246"/>
      <c r="AE59" s="223"/>
      <c r="AF59" s="223"/>
      <c r="AG59" s="223"/>
      <c r="AH59" s="223"/>
      <c r="AI59" s="223"/>
      <c r="AJ59" s="223"/>
      <c r="AK59" s="223"/>
      <c r="AL59" s="223"/>
      <c r="AM59" s="223"/>
      <c r="AN59" s="223"/>
      <c r="AO59" s="223"/>
      <c r="AP59" s="224"/>
      <c r="AQ59" s="252"/>
      <c r="AR59" s="223"/>
      <c r="AS59" s="223"/>
      <c r="AT59" s="223"/>
      <c r="AU59" s="223"/>
      <c r="AV59" s="223"/>
      <c r="AW59" s="223"/>
      <c r="AX59" s="224"/>
      <c r="AY59" s="246"/>
      <c r="AZ59" s="223"/>
      <c r="BA59" s="223"/>
      <c r="BB59" s="223"/>
      <c r="BC59" s="223"/>
      <c r="BD59" s="224"/>
    </row>
    <row r="60" spans="2:56" ht="12.75" customHeight="1">
      <c r="B60" s="78">
        <v>8</v>
      </c>
      <c r="C60" s="220"/>
      <c r="D60" s="78"/>
      <c r="E60" s="78"/>
      <c r="F60" s="220"/>
      <c r="G60" s="220"/>
      <c r="H60" s="78"/>
      <c r="I60" s="78"/>
      <c r="J60" s="220"/>
      <c r="K60" s="220"/>
      <c r="L60" s="78"/>
      <c r="M60" s="78"/>
      <c r="N60" s="220"/>
      <c r="O60" s="220"/>
      <c r="P60" s="78"/>
      <c r="Q60" s="78"/>
      <c r="R60" s="220"/>
      <c r="S60" s="220"/>
      <c r="T60" s="78"/>
      <c r="U60" s="78"/>
      <c r="V60" s="220"/>
      <c r="W60" s="252"/>
      <c r="X60" s="223"/>
      <c r="Y60" s="223"/>
      <c r="Z60" s="223"/>
      <c r="AA60" s="223"/>
      <c r="AB60" s="223"/>
      <c r="AC60" s="224"/>
      <c r="AD60" s="246"/>
      <c r="AE60" s="223"/>
      <c r="AF60" s="223"/>
      <c r="AG60" s="223"/>
      <c r="AH60" s="223"/>
      <c r="AI60" s="223"/>
      <c r="AJ60" s="223"/>
      <c r="AK60" s="223"/>
      <c r="AL60" s="223"/>
      <c r="AM60" s="223"/>
      <c r="AN60" s="223"/>
      <c r="AO60" s="223"/>
      <c r="AP60" s="224"/>
      <c r="AQ60" s="252"/>
      <c r="AR60" s="223"/>
      <c r="AS60" s="223"/>
      <c r="AT60" s="223"/>
      <c r="AU60" s="223"/>
      <c r="AV60" s="223"/>
      <c r="AW60" s="223"/>
      <c r="AX60" s="224"/>
      <c r="AY60" s="246"/>
      <c r="AZ60" s="223"/>
      <c r="BA60" s="223"/>
      <c r="BB60" s="223"/>
      <c r="BC60" s="223"/>
      <c r="BD60" s="224"/>
    </row>
    <row r="61" spans="2:56" ht="12.75" customHeight="1">
      <c r="B61" s="78">
        <v>9</v>
      </c>
      <c r="C61" s="220"/>
      <c r="D61" s="78"/>
      <c r="E61" s="78"/>
      <c r="F61" s="220"/>
      <c r="G61" s="220"/>
      <c r="H61" s="78"/>
      <c r="I61" s="78"/>
      <c r="J61" s="220"/>
      <c r="K61" s="220"/>
      <c r="L61" s="78"/>
      <c r="M61" s="78"/>
      <c r="N61" s="220"/>
      <c r="O61" s="220"/>
      <c r="P61" s="78"/>
      <c r="Q61" s="78"/>
      <c r="R61" s="220"/>
      <c r="S61" s="220"/>
      <c r="T61" s="78"/>
      <c r="U61" s="78"/>
      <c r="V61" s="220"/>
      <c r="W61" s="252"/>
      <c r="X61" s="223"/>
      <c r="Y61" s="223"/>
      <c r="Z61" s="223"/>
      <c r="AA61" s="223"/>
      <c r="AB61" s="223"/>
      <c r="AC61" s="224"/>
      <c r="AD61" s="246"/>
      <c r="AE61" s="223"/>
      <c r="AF61" s="223"/>
      <c r="AG61" s="223"/>
      <c r="AH61" s="223"/>
      <c r="AI61" s="223"/>
      <c r="AJ61" s="223"/>
      <c r="AK61" s="223"/>
      <c r="AL61" s="223"/>
      <c r="AM61" s="223"/>
      <c r="AN61" s="223"/>
      <c r="AO61" s="223"/>
      <c r="AP61" s="224"/>
      <c r="AQ61" s="252"/>
      <c r="AR61" s="223"/>
      <c r="AS61" s="223"/>
      <c r="AT61" s="223"/>
      <c r="AU61" s="223"/>
      <c r="AV61" s="223"/>
      <c r="AW61" s="223"/>
      <c r="AX61" s="224"/>
      <c r="AY61" s="246"/>
      <c r="AZ61" s="223"/>
      <c r="BA61" s="223"/>
      <c r="BB61" s="223"/>
      <c r="BC61" s="223"/>
      <c r="BD61" s="224"/>
    </row>
    <row r="62" spans="2:56" ht="12.75" customHeight="1">
      <c r="B62" s="78">
        <v>10</v>
      </c>
      <c r="C62" s="221"/>
      <c r="D62" s="78"/>
      <c r="E62" s="78"/>
      <c r="F62" s="221"/>
      <c r="G62" s="221"/>
      <c r="H62" s="78"/>
      <c r="I62" s="78"/>
      <c r="J62" s="221"/>
      <c r="K62" s="221"/>
      <c r="L62" s="78"/>
      <c r="M62" s="78"/>
      <c r="N62" s="221"/>
      <c r="O62" s="221"/>
      <c r="P62" s="78"/>
      <c r="Q62" s="78"/>
      <c r="R62" s="221"/>
      <c r="S62" s="221"/>
      <c r="T62" s="78"/>
      <c r="U62" s="78"/>
      <c r="V62" s="221"/>
      <c r="W62" s="252"/>
      <c r="X62" s="223"/>
      <c r="Y62" s="223"/>
      <c r="Z62" s="223"/>
      <c r="AA62" s="223"/>
      <c r="AB62" s="223"/>
      <c r="AC62" s="224"/>
      <c r="AD62" s="246"/>
      <c r="AE62" s="223"/>
      <c r="AF62" s="223"/>
      <c r="AG62" s="223"/>
      <c r="AH62" s="223"/>
      <c r="AI62" s="223"/>
      <c r="AJ62" s="223"/>
      <c r="AK62" s="223"/>
      <c r="AL62" s="223"/>
      <c r="AM62" s="223"/>
      <c r="AN62" s="223"/>
      <c r="AO62" s="223"/>
      <c r="AP62" s="224"/>
      <c r="AQ62" s="252"/>
      <c r="AR62" s="223"/>
      <c r="AS62" s="223"/>
      <c r="AT62" s="223"/>
      <c r="AU62" s="223"/>
      <c r="AV62" s="223"/>
      <c r="AW62" s="223"/>
      <c r="AX62" s="224"/>
      <c r="AY62" s="246"/>
      <c r="AZ62" s="223"/>
      <c r="BA62" s="223"/>
      <c r="BB62" s="223"/>
      <c r="BC62" s="223"/>
      <c r="BD62" s="224"/>
    </row>
    <row r="63" spans="2:56" ht="12.75" customHeight="1"/>
    <row r="64" spans="2:56" ht="12.75" customHeight="1"/>
    <row r="65" spans="2:52" ht="12.75" customHeight="1">
      <c r="B65" s="3" t="s">
        <v>704</v>
      </c>
      <c r="F65" s="3" t="s">
        <v>10</v>
      </c>
      <c r="G65" s="62"/>
      <c r="H65" s="62"/>
      <c r="I65" s="62"/>
      <c r="J65" s="62"/>
      <c r="K65" s="62"/>
      <c r="L65" s="62"/>
      <c r="M65" s="62"/>
      <c r="N65" s="62"/>
      <c r="O65" s="62"/>
      <c r="P65" s="62"/>
      <c r="Y65" s="225" t="s">
        <v>705</v>
      </c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T65" s="3" t="s">
        <v>706</v>
      </c>
    </row>
    <row r="66" spans="2:52" ht="12.75" customHeight="1">
      <c r="Y66" s="225" t="s">
        <v>707</v>
      </c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T66" s="225" t="s">
        <v>662</v>
      </c>
      <c r="AU66" s="194"/>
      <c r="AV66" s="194"/>
      <c r="AW66" s="194"/>
      <c r="AX66" s="194"/>
      <c r="AY66" s="194"/>
      <c r="AZ66" s="194"/>
    </row>
    <row r="67" spans="2:52" ht="12.75" customHeight="1">
      <c r="B67" s="3" t="s">
        <v>708</v>
      </c>
      <c r="F67" s="3" t="s">
        <v>10</v>
      </c>
      <c r="G67" s="62"/>
      <c r="H67" s="62"/>
      <c r="I67" s="62"/>
      <c r="J67" s="62"/>
      <c r="K67" s="62"/>
      <c r="L67" s="62"/>
      <c r="M67" s="62"/>
      <c r="N67" s="62"/>
      <c r="O67" s="62"/>
      <c r="P67" s="62"/>
    </row>
    <row r="68" spans="2:52" ht="12.75" customHeight="1"/>
    <row r="69" spans="2:52" ht="12.75" customHeight="1"/>
    <row r="70" spans="2:52" ht="12.75" customHeight="1">
      <c r="Y70" s="225" t="s">
        <v>709</v>
      </c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T70" s="225" t="s">
        <v>710</v>
      </c>
      <c r="AU70" s="194"/>
      <c r="AV70" s="194"/>
      <c r="AW70" s="194"/>
      <c r="AX70" s="194"/>
      <c r="AY70" s="194"/>
      <c r="AZ70" s="194"/>
    </row>
    <row r="71" spans="2:52" ht="12.75" customHeight="1"/>
    <row r="72" spans="2:52" ht="12.75" customHeight="1"/>
    <row r="73" spans="2:52" ht="12.75" customHeight="1"/>
    <row r="74" spans="2:52" ht="12.75" customHeight="1"/>
    <row r="75" spans="2:52" ht="12.75" customHeight="1"/>
    <row r="76" spans="2:52" ht="12.75" customHeight="1"/>
    <row r="77" spans="2:52" ht="12.75" customHeight="1"/>
    <row r="78" spans="2:52" ht="12.75" customHeight="1"/>
    <row r="79" spans="2:52" ht="12.75" customHeight="1"/>
    <row r="80" spans="2:52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1">
    <mergeCell ref="B36:B37"/>
    <mergeCell ref="C36:F37"/>
    <mergeCell ref="G36:Q37"/>
    <mergeCell ref="R36:W37"/>
    <mergeCell ref="X36:X37"/>
    <mergeCell ref="Y36:AA37"/>
    <mergeCell ref="AB36:AC37"/>
    <mergeCell ref="AS41:AU41"/>
    <mergeCell ref="AP42:AR42"/>
    <mergeCell ref="AS42:AU42"/>
    <mergeCell ref="AJ39:AJ48"/>
    <mergeCell ref="AL39:AL48"/>
    <mergeCell ref="AM39:AM48"/>
    <mergeCell ref="AO39:AO48"/>
    <mergeCell ref="AS40:AU40"/>
    <mergeCell ref="AP41:AR41"/>
    <mergeCell ref="G47:Q47"/>
    <mergeCell ref="G48:Q48"/>
    <mergeCell ref="AP48:AR48"/>
    <mergeCell ref="AS48:AU48"/>
    <mergeCell ref="AS45:AU45"/>
    <mergeCell ref="C38:F38"/>
    <mergeCell ref="C39:C48"/>
    <mergeCell ref="F39:F48"/>
    <mergeCell ref="C31:V31"/>
    <mergeCell ref="W31:AC31"/>
    <mergeCell ref="C32:V32"/>
    <mergeCell ref="W32:AC32"/>
    <mergeCell ref="AY36:BA37"/>
    <mergeCell ref="BB36:BD37"/>
    <mergeCell ref="AD36:AF37"/>
    <mergeCell ref="AG36:AI37"/>
    <mergeCell ref="AJ36:AL37"/>
    <mergeCell ref="AM36:AO37"/>
    <mergeCell ref="AP36:AR37"/>
    <mergeCell ref="AS36:AU37"/>
    <mergeCell ref="AV36:AX37"/>
    <mergeCell ref="AD31:AP31"/>
    <mergeCell ref="AD32:AP32"/>
    <mergeCell ref="AQ32:AX32"/>
    <mergeCell ref="AY32:BD32"/>
    <mergeCell ref="C33:V33"/>
    <mergeCell ref="W33:AC33"/>
    <mergeCell ref="AD33:AP33"/>
    <mergeCell ref="AQ33:AX33"/>
    <mergeCell ref="AY33:BD33"/>
    <mergeCell ref="C34:V34"/>
    <mergeCell ref="W34:AC34"/>
    <mergeCell ref="B22:B23"/>
    <mergeCell ref="C22:V23"/>
    <mergeCell ref="W22:AC23"/>
    <mergeCell ref="AQ27:AX27"/>
    <mergeCell ref="AY27:BD27"/>
    <mergeCell ref="AD29:AP29"/>
    <mergeCell ref="AQ29:AX29"/>
    <mergeCell ref="AD30:AP30"/>
    <mergeCell ref="AQ30:AX30"/>
    <mergeCell ref="AY30:BD30"/>
    <mergeCell ref="C29:V29"/>
    <mergeCell ref="C30:V30"/>
    <mergeCell ref="W30:AC30"/>
    <mergeCell ref="W27:AC27"/>
    <mergeCell ref="AD27:AP27"/>
    <mergeCell ref="C25:V25"/>
    <mergeCell ref="C26:V26"/>
    <mergeCell ref="W26:AC26"/>
    <mergeCell ref="AD26:AP26"/>
    <mergeCell ref="AQ26:AX26"/>
    <mergeCell ref="AY26:BD26"/>
    <mergeCell ref="C27:V27"/>
    <mergeCell ref="C28:V28"/>
    <mergeCell ref="W28:AC28"/>
    <mergeCell ref="BI10:BO10"/>
    <mergeCell ref="AU12:AV12"/>
    <mergeCell ref="AZ12:BD12"/>
    <mergeCell ref="AU14:AV14"/>
    <mergeCell ref="AU16:AV16"/>
    <mergeCell ref="AX16:AY16"/>
    <mergeCell ref="AZ16:BD16"/>
    <mergeCell ref="AT18:BD18"/>
    <mergeCell ref="H12:AC12"/>
    <mergeCell ref="H14:AC14"/>
    <mergeCell ref="AZ14:BD14"/>
    <mergeCell ref="J16:K16"/>
    <mergeCell ref="N16:O16"/>
    <mergeCell ref="R16:S16"/>
    <mergeCell ref="AI16:AJ16"/>
    <mergeCell ref="J18:K18"/>
    <mergeCell ref="N18:O18"/>
    <mergeCell ref="R18:S18"/>
    <mergeCell ref="V18:W18"/>
    <mergeCell ref="C24:V24"/>
    <mergeCell ref="W24:AC24"/>
    <mergeCell ref="AD24:AP24"/>
    <mergeCell ref="AQ24:AX24"/>
    <mergeCell ref="AY24:BD24"/>
    <mergeCell ref="W25:AC25"/>
    <mergeCell ref="AY25:BD25"/>
    <mergeCell ref="Q3:BD3"/>
    <mergeCell ref="Q5:BD5"/>
    <mergeCell ref="AU10:AV10"/>
    <mergeCell ref="AZ10:BD10"/>
    <mergeCell ref="AD22:AP23"/>
    <mergeCell ref="AQ22:AX23"/>
    <mergeCell ref="AY22:BD23"/>
    <mergeCell ref="AD62:AP62"/>
    <mergeCell ref="Y65:AN65"/>
    <mergeCell ref="Y66:AN66"/>
    <mergeCell ref="AT66:AZ66"/>
    <mergeCell ref="Y70:AN70"/>
    <mergeCell ref="AT70:AZ70"/>
    <mergeCell ref="AD25:AP25"/>
    <mergeCell ref="AQ25:AX25"/>
    <mergeCell ref="AQ31:AX31"/>
    <mergeCell ref="AY31:BD31"/>
    <mergeCell ref="AD28:AP28"/>
    <mergeCell ref="AQ28:AX28"/>
    <mergeCell ref="AY28:BD28"/>
    <mergeCell ref="W29:AC29"/>
    <mergeCell ref="AY29:BD29"/>
    <mergeCell ref="AD34:AP34"/>
    <mergeCell ref="AQ34:AX34"/>
    <mergeCell ref="AY34:BD34"/>
    <mergeCell ref="AP43:AR43"/>
    <mergeCell ref="AS43:AU43"/>
    <mergeCell ref="AP44:AR44"/>
    <mergeCell ref="AS44:AU44"/>
    <mergeCell ref="AP45:AR45"/>
    <mergeCell ref="BB42:BD42"/>
    <mergeCell ref="W61:AC61"/>
    <mergeCell ref="AD61:AP61"/>
    <mergeCell ref="AQ61:AX61"/>
    <mergeCell ref="AY61:BD61"/>
    <mergeCell ref="W62:AC62"/>
    <mergeCell ref="AQ62:AX62"/>
    <mergeCell ref="AY62:BD62"/>
    <mergeCell ref="S50:V51"/>
    <mergeCell ref="W50:AC51"/>
    <mergeCell ref="AD50:AP51"/>
    <mergeCell ref="AQ50:AX51"/>
    <mergeCell ref="AY50:BD51"/>
    <mergeCell ref="S52:V52"/>
    <mergeCell ref="W52:AC52"/>
    <mergeCell ref="AY52:BD52"/>
    <mergeCell ref="AD52:AP52"/>
    <mergeCell ref="AQ52:AX52"/>
    <mergeCell ref="W53:AC53"/>
    <mergeCell ref="AD53:AP53"/>
    <mergeCell ref="AQ53:AX53"/>
    <mergeCell ref="AY53:BD53"/>
    <mergeCell ref="AY54:BD54"/>
    <mergeCell ref="AQ56:AX56"/>
    <mergeCell ref="AY56:BD56"/>
    <mergeCell ref="W58:AC58"/>
    <mergeCell ref="W59:AC59"/>
    <mergeCell ref="AD59:AP59"/>
    <mergeCell ref="AQ59:AX59"/>
    <mergeCell ref="AY59:BD59"/>
    <mergeCell ref="W60:AC60"/>
    <mergeCell ref="AD60:AP60"/>
    <mergeCell ref="W54:AC54"/>
    <mergeCell ref="W55:AC55"/>
    <mergeCell ref="AD55:AP55"/>
    <mergeCell ref="AQ55:AX55"/>
    <mergeCell ref="AY55:BD55"/>
    <mergeCell ref="W56:AC56"/>
    <mergeCell ref="AD56:AP56"/>
    <mergeCell ref="W57:AC57"/>
    <mergeCell ref="AD57:AP57"/>
    <mergeCell ref="AQ57:AX57"/>
    <mergeCell ref="AY57:BD57"/>
    <mergeCell ref="AD58:AP58"/>
    <mergeCell ref="AQ58:AX58"/>
    <mergeCell ref="AY58:BD58"/>
    <mergeCell ref="AQ60:AX60"/>
    <mergeCell ref="AY60:BD60"/>
    <mergeCell ref="BB47:BD47"/>
    <mergeCell ref="AY43:BA43"/>
    <mergeCell ref="AY44:BA44"/>
    <mergeCell ref="BB44:BD44"/>
    <mergeCell ref="AY40:BA40"/>
    <mergeCell ref="BB40:BD40"/>
    <mergeCell ref="AP40:AR40"/>
    <mergeCell ref="AD54:AP54"/>
    <mergeCell ref="AQ54:AX54"/>
    <mergeCell ref="AY48:BA48"/>
    <mergeCell ref="BB48:BD48"/>
    <mergeCell ref="AY38:BA38"/>
    <mergeCell ref="G43:Q43"/>
    <mergeCell ref="G44:Q44"/>
    <mergeCell ref="G45:Q45"/>
    <mergeCell ref="AP46:AR46"/>
    <mergeCell ref="AS46:AU46"/>
    <mergeCell ref="AP47:AR47"/>
    <mergeCell ref="AS47:AU47"/>
    <mergeCell ref="AV39:AV48"/>
    <mergeCell ref="AX39:AX48"/>
    <mergeCell ref="AY47:BA47"/>
    <mergeCell ref="G38:Q38"/>
    <mergeCell ref="R38:W38"/>
    <mergeCell ref="Y38:AA38"/>
    <mergeCell ref="AB38:AC38"/>
    <mergeCell ref="AD38:AF38"/>
    <mergeCell ref="AG38:AI38"/>
    <mergeCell ref="G40:Q40"/>
    <mergeCell ref="R40:W40"/>
    <mergeCell ref="G39:Q39"/>
    <mergeCell ref="G46:Q46"/>
    <mergeCell ref="R48:W48"/>
    <mergeCell ref="AB48:AC48"/>
    <mergeCell ref="R39:W39"/>
    <mergeCell ref="BB38:BD38"/>
    <mergeCell ref="AB39:AC39"/>
    <mergeCell ref="AP39:AR39"/>
    <mergeCell ref="AS39:AU39"/>
    <mergeCell ref="AY39:BA39"/>
    <mergeCell ref="BB39:BD39"/>
    <mergeCell ref="AD39:AD48"/>
    <mergeCell ref="AF39:AF48"/>
    <mergeCell ref="AG39:AG48"/>
    <mergeCell ref="AI39:AI48"/>
    <mergeCell ref="AB47:AC47"/>
    <mergeCell ref="BB43:BD43"/>
    <mergeCell ref="BB45:BD45"/>
    <mergeCell ref="AY46:BA46"/>
    <mergeCell ref="BB46:BD46"/>
    <mergeCell ref="AY41:BA41"/>
    <mergeCell ref="BB41:BD41"/>
    <mergeCell ref="AY42:BA42"/>
    <mergeCell ref="AY45:BA45"/>
    <mergeCell ref="AJ38:AL38"/>
    <mergeCell ref="AM38:AO38"/>
    <mergeCell ref="AP38:AR38"/>
    <mergeCell ref="AS38:AU38"/>
    <mergeCell ref="AV38:AX38"/>
    <mergeCell ref="S53:S62"/>
    <mergeCell ref="V53:V62"/>
    <mergeCell ref="C52:F52"/>
    <mergeCell ref="G52:J52"/>
    <mergeCell ref="K52:N52"/>
    <mergeCell ref="O52:R52"/>
    <mergeCell ref="C53:C62"/>
    <mergeCell ref="F53:F62"/>
    <mergeCell ref="G53:G62"/>
    <mergeCell ref="B50:B51"/>
    <mergeCell ref="C50:F51"/>
    <mergeCell ref="G50:J51"/>
    <mergeCell ref="K50:N51"/>
    <mergeCell ref="O50:R51"/>
    <mergeCell ref="J53:J62"/>
    <mergeCell ref="K53:K62"/>
    <mergeCell ref="N53:N62"/>
    <mergeCell ref="O53:O62"/>
    <mergeCell ref="R53:R62"/>
    <mergeCell ref="G41:Q41"/>
    <mergeCell ref="G42:Q42"/>
    <mergeCell ref="Y39:Y48"/>
    <mergeCell ref="R41:W41"/>
    <mergeCell ref="AB40:AC40"/>
    <mergeCell ref="AB41:AC41"/>
    <mergeCell ref="R42:W42"/>
    <mergeCell ref="AB42:AC42"/>
    <mergeCell ref="R43:W43"/>
    <mergeCell ref="AB43:AC43"/>
    <mergeCell ref="R44:W44"/>
    <mergeCell ref="AB44:AC44"/>
    <mergeCell ref="R45:W45"/>
    <mergeCell ref="AB45:AC45"/>
    <mergeCell ref="R46:W46"/>
    <mergeCell ref="AB46:AC46"/>
    <mergeCell ref="R47:W47"/>
  </mergeCells>
  <pageMargins left="0.11811023622047245" right="0" top="0.55118110236220474" bottom="0" header="0" footer="0"/>
  <pageSetup paperSize="5" scale="6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00"/>
  <sheetViews>
    <sheetView workbookViewId="0"/>
  </sheetViews>
  <sheetFormatPr defaultColWidth="12.5703125" defaultRowHeight="15" customHeight="1"/>
  <cols>
    <col min="1" max="1" width="6.140625" customWidth="1"/>
    <col min="2" max="2" width="8.5703125" customWidth="1"/>
    <col min="3" max="3" width="24.7109375" customWidth="1"/>
    <col min="4" max="4" width="14.85546875" customWidth="1"/>
    <col min="5" max="5" width="24" customWidth="1"/>
    <col min="6" max="26" width="8.5703125" customWidth="1"/>
  </cols>
  <sheetData>
    <row r="1" spans="2:5" ht="12.75" customHeight="1"/>
    <row r="2" spans="2:5" ht="12.75" customHeight="1"/>
    <row r="3" spans="2:5" ht="12.75" customHeight="1">
      <c r="D3" s="58" t="s">
        <v>711</v>
      </c>
      <c r="E3" s="60"/>
    </row>
    <row r="4" spans="2:5" ht="12.75" customHeight="1">
      <c r="D4" s="79" t="s">
        <v>712</v>
      </c>
      <c r="E4" s="94"/>
    </row>
    <row r="5" spans="2:5" ht="12.75" customHeight="1">
      <c r="D5" s="61" t="s">
        <v>713</v>
      </c>
      <c r="E5" s="63"/>
    </row>
    <row r="6" spans="2:5" ht="12.75" customHeight="1"/>
    <row r="7" spans="2:5" ht="12.75" customHeight="1">
      <c r="B7" s="64" t="s">
        <v>714</v>
      </c>
      <c r="D7" s="64" t="s">
        <v>715</v>
      </c>
    </row>
    <row r="8" spans="2:5" ht="12.75" customHeight="1"/>
    <row r="9" spans="2:5" ht="12.75" customHeight="1"/>
    <row r="10" spans="2:5" ht="12.75" customHeight="1">
      <c r="B10" s="91" t="s">
        <v>716</v>
      </c>
      <c r="C10" s="91" t="s">
        <v>102</v>
      </c>
      <c r="D10" s="91" t="s">
        <v>717</v>
      </c>
      <c r="E10" s="91" t="s">
        <v>104</v>
      </c>
    </row>
    <row r="11" spans="2:5" ht="12.75" customHeight="1"/>
    <row r="12" spans="2:5" ht="12.75" customHeight="1">
      <c r="B12" s="64" t="s">
        <v>718</v>
      </c>
    </row>
    <row r="13" spans="2:5" ht="12.75" customHeight="1"/>
    <row r="14" spans="2:5" ht="12.75" customHeight="1">
      <c r="B14" s="78" t="s">
        <v>719</v>
      </c>
      <c r="C14" s="106" t="s">
        <v>708</v>
      </c>
      <c r="D14" s="78" t="s">
        <v>720</v>
      </c>
      <c r="E14" s="149" t="s">
        <v>704</v>
      </c>
    </row>
    <row r="15" spans="2:5" ht="12.75" customHeight="1">
      <c r="B15" s="95"/>
      <c r="C15" s="11"/>
      <c r="D15" s="150"/>
      <c r="E15" s="95"/>
    </row>
    <row r="16" spans="2:5" ht="12.75" customHeight="1">
      <c r="B16" s="56" t="s">
        <v>721</v>
      </c>
      <c r="C16" s="64" t="s">
        <v>722</v>
      </c>
      <c r="D16" s="150" t="s">
        <v>723</v>
      </c>
      <c r="E16" s="56" t="s">
        <v>724</v>
      </c>
    </row>
    <row r="17" spans="2:7" ht="12.75" customHeight="1">
      <c r="B17" s="56"/>
      <c r="D17" s="150" t="s">
        <v>725</v>
      </c>
      <c r="E17" s="56" t="s">
        <v>726</v>
      </c>
    </row>
    <row r="18" spans="2:7" ht="12.75" customHeight="1">
      <c r="B18" s="56"/>
      <c r="D18" s="150" t="s">
        <v>727</v>
      </c>
      <c r="E18" s="56" t="s">
        <v>728</v>
      </c>
    </row>
    <row r="19" spans="2:7" ht="12.75" customHeight="1">
      <c r="B19" s="56"/>
      <c r="D19" s="150" t="s">
        <v>729</v>
      </c>
      <c r="E19" s="56" t="s">
        <v>730</v>
      </c>
    </row>
    <row r="20" spans="2:7" ht="12.75" customHeight="1">
      <c r="B20" s="57"/>
      <c r="C20" s="62"/>
      <c r="D20" s="57"/>
      <c r="E20" s="57"/>
    </row>
    <row r="21" spans="2:7" ht="12.75" customHeight="1">
      <c r="B21" s="56"/>
      <c r="D21" s="56"/>
      <c r="E21" s="56"/>
    </row>
    <row r="22" spans="2:7" ht="12.75" customHeight="1">
      <c r="B22" s="56" t="s">
        <v>731</v>
      </c>
      <c r="C22" s="64" t="s">
        <v>732</v>
      </c>
      <c r="D22" s="150" t="s">
        <v>733</v>
      </c>
      <c r="E22" s="56" t="s">
        <v>734</v>
      </c>
    </row>
    <row r="23" spans="2:7" ht="12.75" customHeight="1">
      <c r="B23" s="56"/>
      <c r="D23" s="150" t="s">
        <v>735</v>
      </c>
      <c r="E23" s="56" t="s">
        <v>736</v>
      </c>
    </row>
    <row r="24" spans="2:7" ht="12.75" customHeight="1">
      <c r="B24" s="56"/>
      <c r="D24" s="150" t="s">
        <v>737</v>
      </c>
      <c r="E24" s="56" t="s">
        <v>738</v>
      </c>
      <c r="G24" s="64" t="s">
        <v>739</v>
      </c>
    </row>
    <row r="25" spans="2:7" ht="12.75" customHeight="1">
      <c r="B25" s="56"/>
      <c r="D25" s="150" t="s">
        <v>740</v>
      </c>
      <c r="E25" s="56" t="s">
        <v>741</v>
      </c>
    </row>
    <row r="26" spans="2:7" ht="12.75" customHeight="1">
      <c r="B26" s="57"/>
      <c r="C26" s="62"/>
      <c r="D26" s="57"/>
      <c r="E26" s="57"/>
    </row>
    <row r="27" spans="2:7" ht="12.75" customHeight="1">
      <c r="B27" s="56"/>
      <c r="D27" s="56"/>
      <c r="E27" s="56"/>
    </row>
    <row r="28" spans="2:7" ht="12.75" customHeight="1">
      <c r="B28" s="56" t="s">
        <v>742</v>
      </c>
      <c r="C28" s="64" t="s">
        <v>743</v>
      </c>
      <c r="D28" s="150" t="s">
        <v>744</v>
      </c>
      <c r="E28" s="56" t="s">
        <v>745</v>
      </c>
    </row>
    <row r="29" spans="2:7" ht="12.75" customHeight="1">
      <c r="B29" s="56"/>
      <c r="D29" s="150" t="s">
        <v>746</v>
      </c>
      <c r="E29" s="56" t="s">
        <v>747</v>
      </c>
    </row>
    <row r="30" spans="2:7" ht="12.75" customHeight="1">
      <c r="B30" s="56"/>
      <c r="D30" s="150" t="s">
        <v>748</v>
      </c>
      <c r="E30" s="56" t="s">
        <v>749</v>
      </c>
    </row>
    <row r="31" spans="2:7" ht="12.75" customHeight="1">
      <c r="B31" s="56"/>
      <c r="D31" s="150" t="s">
        <v>750</v>
      </c>
      <c r="E31" s="56" t="s">
        <v>751</v>
      </c>
    </row>
    <row r="32" spans="2:7" ht="12.75" customHeight="1">
      <c r="B32" s="57"/>
      <c r="C32" s="62"/>
      <c r="D32" s="57"/>
      <c r="E32" s="57"/>
    </row>
    <row r="33" spans="2:17" ht="12.75" customHeight="1">
      <c r="B33" s="56"/>
      <c r="D33" s="56"/>
      <c r="E33" s="56"/>
    </row>
    <row r="34" spans="2:17" ht="12.75" customHeight="1">
      <c r="B34" s="56" t="s">
        <v>752</v>
      </c>
      <c r="C34" s="64" t="s">
        <v>753</v>
      </c>
      <c r="D34" s="150" t="s">
        <v>754</v>
      </c>
      <c r="E34" s="56" t="s">
        <v>755</v>
      </c>
    </row>
    <row r="35" spans="2:17" ht="12.75" customHeight="1">
      <c r="B35" s="56"/>
      <c r="D35" s="150" t="s">
        <v>756</v>
      </c>
      <c r="E35" s="56" t="s">
        <v>757</v>
      </c>
      <c r="Q35" s="94"/>
    </row>
    <row r="36" spans="2:17" ht="12.75" customHeight="1">
      <c r="B36" s="56"/>
      <c r="D36" s="150" t="s">
        <v>758</v>
      </c>
      <c r="E36" s="56" t="s">
        <v>759</v>
      </c>
    </row>
    <row r="37" spans="2:17" ht="12.75" customHeight="1">
      <c r="B37" s="56"/>
      <c r="D37" s="150" t="s">
        <v>760</v>
      </c>
      <c r="E37" s="56" t="s">
        <v>761</v>
      </c>
    </row>
    <row r="38" spans="2:17" ht="12.75" customHeight="1">
      <c r="B38" s="56"/>
      <c r="D38" s="56"/>
      <c r="E38" s="56"/>
    </row>
    <row r="39" spans="2:17" ht="12.75" customHeight="1">
      <c r="B39" s="57"/>
      <c r="C39" s="61"/>
      <c r="D39" s="57"/>
      <c r="E39" s="57"/>
    </row>
    <row r="40" spans="2:17" ht="12.75" customHeight="1"/>
    <row r="41" spans="2:17" ht="12.75" customHeight="1"/>
    <row r="42" spans="2:17" ht="12.75" customHeight="1">
      <c r="D42" s="64" t="s">
        <v>604</v>
      </c>
    </row>
    <row r="43" spans="2:17" ht="12.75" customHeight="1"/>
    <row r="44" spans="2:17" ht="12.75" customHeight="1">
      <c r="D44" s="64" t="s">
        <v>274</v>
      </c>
    </row>
    <row r="45" spans="2:17" ht="12.75" customHeight="1"/>
    <row r="46" spans="2:17" ht="12.75" customHeight="1"/>
    <row r="47" spans="2:17" ht="12.75" customHeight="1"/>
    <row r="48" spans="2:17" ht="12.75" customHeight="1">
      <c r="D48" s="64" t="s">
        <v>762</v>
      </c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13"/>
  <sheetViews>
    <sheetView workbookViewId="0"/>
  </sheetViews>
  <sheetFormatPr defaultColWidth="12.5703125" defaultRowHeight="15" customHeight="1"/>
  <cols>
    <col min="1" max="1" width="4.140625" customWidth="1"/>
    <col min="2" max="2" width="3.85546875" customWidth="1"/>
    <col min="3" max="3" width="5" customWidth="1"/>
    <col min="4" max="5" width="8.5703125" customWidth="1"/>
    <col min="6" max="6" width="4" customWidth="1"/>
    <col min="7" max="7" width="5.7109375" customWidth="1"/>
    <col min="8" max="9" width="5.140625" customWidth="1"/>
    <col min="10" max="10" width="3.85546875" customWidth="1"/>
    <col min="11" max="11" width="4.140625" customWidth="1"/>
    <col min="12" max="12" width="3.85546875" customWidth="1"/>
    <col min="13" max="13" width="5" customWidth="1"/>
    <col min="14" max="14" width="4.140625" customWidth="1"/>
    <col min="15" max="15" width="4.42578125" customWidth="1"/>
    <col min="16" max="16" width="4.28515625" customWidth="1"/>
    <col min="17" max="17" width="4.7109375" customWidth="1"/>
    <col min="18" max="18" width="4.85546875" customWidth="1"/>
    <col min="19" max="19" width="4.42578125" customWidth="1"/>
    <col min="20" max="20" width="5.42578125" customWidth="1"/>
    <col min="21" max="22" width="5.140625" customWidth="1"/>
    <col min="23" max="23" width="4.5703125" customWidth="1"/>
    <col min="24" max="24" width="6" customWidth="1"/>
    <col min="25" max="25" width="4.42578125" customWidth="1"/>
    <col min="26" max="26" width="5.28515625" customWidth="1"/>
    <col min="27" max="27" width="6.7109375" customWidth="1"/>
    <col min="28" max="29" width="6" customWidth="1"/>
    <col min="30" max="30" width="5.7109375" customWidth="1"/>
    <col min="31" max="31" width="6.85546875" customWidth="1"/>
    <col min="32" max="32" width="8.5703125" customWidth="1"/>
  </cols>
  <sheetData>
    <row r="1" spans="1:32" ht="12.75" customHeight="1"/>
    <row r="2" spans="1:32" ht="12.75" customHeight="1">
      <c r="E2" s="69"/>
      <c r="Z2" s="285" t="s">
        <v>529</v>
      </c>
      <c r="AA2" s="223"/>
      <c r="AB2" s="223"/>
      <c r="AC2" s="224"/>
    </row>
    <row r="3" spans="1:32" ht="12.75" customHeight="1">
      <c r="B3" s="69"/>
      <c r="C3" s="69" t="s">
        <v>332</v>
      </c>
      <c r="D3" s="69"/>
      <c r="E3" s="69"/>
      <c r="F3" s="71" t="s">
        <v>10</v>
      </c>
      <c r="G3" s="69" t="s">
        <v>102</v>
      </c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 t="s">
        <v>530</v>
      </c>
      <c r="W3" s="69" t="s">
        <v>372</v>
      </c>
      <c r="X3" s="69"/>
      <c r="Y3" s="69" t="s">
        <v>10</v>
      </c>
      <c r="Z3" s="69" t="s">
        <v>373</v>
      </c>
      <c r="AA3" s="69"/>
      <c r="AB3" s="69"/>
      <c r="AC3" s="69"/>
      <c r="AD3" s="69"/>
      <c r="AE3" s="69"/>
      <c r="AF3" s="69"/>
    </row>
    <row r="4" spans="1:32" ht="12.75" customHeight="1">
      <c r="B4" s="69"/>
      <c r="C4" s="69" t="s">
        <v>331</v>
      </c>
      <c r="D4" s="69"/>
      <c r="E4" s="69"/>
      <c r="F4" s="71" t="s">
        <v>10</v>
      </c>
      <c r="G4" s="69" t="s">
        <v>104</v>
      </c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 t="s">
        <v>375</v>
      </c>
      <c r="X4" s="69"/>
      <c r="Y4" s="69" t="s">
        <v>10</v>
      </c>
      <c r="Z4" s="69" t="s">
        <v>332</v>
      </c>
      <c r="AA4" s="69"/>
      <c r="AB4" s="69"/>
      <c r="AC4" s="69"/>
      <c r="AD4" s="69"/>
      <c r="AE4" s="69"/>
      <c r="AF4" s="69"/>
    </row>
    <row r="5" spans="1:32" ht="12.75" customHeight="1">
      <c r="B5" s="69"/>
      <c r="C5" s="69" t="s">
        <v>330</v>
      </c>
      <c r="D5" s="69"/>
      <c r="E5" s="69"/>
      <c r="F5" s="71" t="s">
        <v>10</v>
      </c>
      <c r="G5" s="69" t="s">
        <v>106</v>
      </c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 t="s">
        <v>379</v>
      </c>
      <c r="X5" s="69"/>
      <c r="Y5" s="69" t="s">
        <v>10</v>
      </c>
      <c r="Z5" s="69" t="s">
        <v>331</v>
      </c>
      <c r="AA5" s="69"/>
      <c r="AB5" s="69"/>
      <c r="AC5" s="69"/>
      <c r="AD5" s="69"/>
      <c r="AE5" s="69"/>
      <c r="AF5" s="69"/>
    </row>
    <row r="6" spans="1:32" ht="12.75" customHeight="1">
      <c r="B6" s="69"/>
      <c r="C6" s="69"/>
      <c r="D6" s="69"/>
      <c r="E6" s="69"/>
      <c r="F6" s="71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</row>
    <row r="7" spans="1:32" ht="12.75" customHeight="1">
      <c r="B7" s="69"/>
      <c r="C7" s="69" t="s">
        <v>381</v>
      </c>
      <c r="D7" s="69"/>
      <c r="E7" s="69"/>
      <c r="F7" s="71" t="s">
        <v>10</v>
      </c>
      <c r="G7" s="108">
        <v>3</v>
      </c>
      <c r="H7" s="108">
        <v>3</v>
      </c>
      <c r="I7" s="108">
        <v>2</v>
      </c>
      <c r="J7" s="108">
        <v>7</v>
      </c>
      <c r="K7" s="108">
        <v>0</v>
      </c>
      <c r="L7" s="108">
        <v>4</v>
      </c>
      <c r="M7" s="108">
        <v>0</v>
      </c>
      <c r="N7" s="108">
        <v>1</v>
      </c>
      <c r="O7" s="108">
        <v>1</v>
      </c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</row>
    <row r="8" spans="1:32" ht="12.75" customHeight="1">
      <c r="B8" s="69"/>
      <c r="C8" s="69"/>
      <c r="D8" s="69"/>
      <c r="E8" s="69"/>
      <c r="F8" s="71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</row>
    <row r="9" spans="1:32" ht="12.75" customHeight="1"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</row>
    <row r="10" spans="1:32" ht="12.75" customHeight="1">
      <c r="B10" s="69"/>
      <c r="C10" s="196" t="s">
        <v>531</v>
      </c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</row>
    <row r="11" spans="1:32" ht="12.75" customHeight="1"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</row>
    <row r="12" spans="1:32" ht="12.75" customHeight="1">
      <c r="B12" s="69"/>
      <c r="C12" s="69" t="s">
        <v>385</v>
      </c>
      <c r="D12" s="69"/>
      <c r="E12" s="69"/>
      <c r="F12" s="71" t="s">
        <v>10</v>
      </c>
      <c r="G12" s="108" t="s">
        <v>463</v>
      </c>
      <c r="H12" s="108" t="s">
        <v>464</v>
      </c>
      <c r="I12" s="108" t="s">
        <v>468</v>
      </c>
      <c r="J12" s="108" t="s">
        <v>486</v>
      </c>
      <c r="K12" s="108" t="s">
        <v>477</v>
      </c>
      <c r="L12" s="108" t="s">
        <v>485</v>
      </c>
      <c r="M12" s="108" t="s">
        <v>477</v>
      </c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69"/>
    </row>
    <row r="13" spans="1:32" ht="12.75" customHeight="1">
      <c r="B13" s="69"/>
      <c r="C13" s="69" t="s">
        <v>387</v>
      </c>
      <c r="D13" s="69"/>
      <c r="E13" s="69"/>
      <c r="F13" s="71" t="s">
        <v>10</v>
      </c>
      <c r="G13" s="108">
        <v>3</v>
      </c>
      <c r="H13" s="108">
        <v>3</v>
      </c>
      <c r="I13" s="108">
        <v>2</v>
      </c>
      <c r="J13" s="108">
        <v>7</v>
      </c>
      <c r="K13" s="108">
        <v>0</v>
      </c>
      <c r="L13" s="108">
        <v>4</v>
      </c>
      <c r="M13" s="108">
        <v>2</v>
      </c>
      <c r="N13" s="108">
        <v>9</v>
      </c>
      <c r="O13" s="108">
        <v>0</v>
      </c>
      <c r="P13" s="108">
        <v>9</v>
      </c>
      <c r="Q13" s="108">
        <v>1</v>
      </c>
      <c r="R13" s="108">
        <v>6</v>
      </c>
      <c r="S13" s="108">
        <v>0</v>
      </c>
      <c r="T13" s="108">
        <v>0</v>
      </c>
      <c r="U13" s="108">
        <v>0</v>
      </c>
      <c r="V13" s="108">
        <v>3</v>
      </c>
      <c r="W13" s="109"/>
      <c r="X13" s="109"/>
      <c r="Y13" s="109"/>
      <c r="Z13" s="69"/>
      <c r="AA13" s="69"/>
      <c r="AB13" s="69"/>
      <c r="AC13" s="69"/>
      <c r="AD13" s="69"/>
      <c r="AE13" s="69"/>
      <c r="AF13" s="69"/>
    </row>
    <row r="14" spans="1:32" ht="12.75" customHeight="1"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</row>
    <row r="15" spans="1:32" ht="12.75" customHeight="1">
      <c r="A15" s="89"/>
      <c r="B15" s="69"/>
      <c r="C15" s="128" t="s">
        <v>532</v>
      </c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124"/>
    </row>
    <row r="16" spans="1:32" ht="12.75" customHeight="1">
      <c r="A16" s="8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122"/>
    </row>
    <row r="17" spans="1:32" ht="12.75" customHeight="1">
      <c r="A17" s="89"/>
      <c r="B17" s="69"/>
      <c r="C17" s="69" t="s">
        <v>111</v>
      </c>
      <c r="D17" s="69" t="s">
        <v>533</v>
      </c>
      <c r="E17" s="69"/>
      <c r="F17" s="71" t="s">
        <v>10</v>
      </c>
      <c r="G17" s="108" t="s">
        <v>475</v>
      </c>
      <c r="H17" s="108" t="s">
        <v>464</v>
      </c>
      <c r="I17" s="108" t="s">
        <v>466</v>
      </c>
      <c r="J17" s="108" t="s">
        <v>488</v>
      </c>
      <c r="K17" s="108" t="s">
        <v>485</v>
      </c>
      <c r="L17" s="108" t="s">
        <v>498</v>
      </c>
      <c r="M17" s="108" t="s">
        <v>468</v>
      </c>
      <c r="N17" s="108" t="s">
        <v>464</v>
      </c>
      <c r="O17" s="108"/>
      <c r="P17" s="108" t="s">
        <v>464</v>
      </c>
      <c r="Q17" s="108" t="s">
        <v>474</v>
      </c>
      <c r="R17" s="108"/>
      <c r="S17" s="108" t="s">
        <v>504</v>
      </c>
      <c r="T17" s="108" t="s">
        <v>464</v>
      </c>
      <c r="U17" s="108" t="s">
        <v>469</v>
      </c>
      <c r="V17" s="108" t="s">
        <v>590</v>
      </c>
      <c r="W17" s="108" t="s">
        <v>464</v>
      </c>
      <c r="X17" s="108" t="s">
        <v>468</v>
      </c>
      <c r="Y17" s="108"/>
      <c r="Z17" s="108"/>
      <c r="AA17" s="108"/>
      <c r="AB17" s="108"/>
      <c r="AC17" s="108"/>
      <c r="AD17" s="108"/>
      <c r="AE17" s="108"/>
      <c r="AF17" s="122"/>
    </row>
    <row r="18" spans="1:32" ht="12.75" customHeight="1">
      <c r="A18" s="89"/>
      <c r="B18" s="69"/>
      <c r="C18" s="69" t="s">
        <v>115</v>
      </c>
      <c r="D18" s="69" t="s">
        <v>285</v>
      </c>
      <c r="E18" s="69"/>
      <c r="F18" s="71" t="s">
        <v>10</v>
      </c>
      <c r="G18" s="108">
        <v>1</v>
      </c>
      <c r="H18" s="69" t="s">
        <v>534</v>
      </c>
      <c r="I18" s="69"/>
      <c r="J18" s="69"/>
      <c r="K18" s="69"/>
      <c r="L18" s="69" t="s">
        <v>394</v>
      </c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122"/>
    </row>
    <row r="19" spans="1:32" ht="12.75" customHeight="1">
      <c r="A19" s="89"/>
      <c r="B19" s="69"/>
      <c r="C19" s="69" t="s">
        <v>118</v>
      </c>
      <c r="D19" s="69" t="s">
        <v>596</v>
      </c>
      <c r="E19" s="69"/>
      <c r="F19" s="71" t="s">
        <v>10</v>
      </c>
      <c r="G19" s="129">
        <v>2</v>
      </c>
      <c r="H19" s="69" t="s">
        <v>536</v>
      </c>
      <c r="I19" s="69"/>
      <c r="J19" s="69"/>
      <c r="K19" s="69"/>
      <c r="L19" s="69" t="s">
        <v>537</v>
      </c>
      <c r="M19" s="69"/>
      <c r="N19" s="69"/>
      <c r="O19" s="69"/>
      <c r="P19" s="69" t="s">
        <v>538</v>
      </c>
      <c r="Q19" s="69"/>
      <c r="R19" s="69"/>
      <c r="S19" s="69"/>
      <c r="T19" s="69" t="s">
        <v>539</v>
      </c>
      <c r="U19" s="69"/>
      <c r="V19" s="69"/>
      <c r="W19" s="69"/>
      <c r="X19" s="69"/>
      <c r="Y19" s="69" t="s">
        <v>540</v>
      </c>
      <c r="Z19" s="69"/>
      <c r="AA19" s="69"/>
      <c r="AB19" s="69"/>
      <c r="AC19" s="69"/>
      <c r="AD19" s="69"/>
      <c r="AE19" s="69"/>
      <c r="AF19" s="122"/>
    </row>
    <row r="20" spans="1:32" ht="12.75" customHeight="1">
      <c r="A20" s="89"/>
      <c r="B20" s="69"/>
      <c r="C20" s="69" t="s">
        <v>121</v>
      </c>
      <c r="D20" s="69" t="s">
        <v>541</v>
      </c>
      <c r="E20" s="69"/>
      <c r="F20" s="71" t="s">
        <v>10</v>
      </c>
      <c r="G20" s="108" t="s">
        <v>487</v>
      </c>
      <c r="H20" s="108" t="s">
        <v>488</v>
      </c>
      <c r="I20" s="108" t="s">
        <v>475</v>
      </c>
      <c r="J20" s="108" t="s">
        <v>464</v>
      </c>
      <c r="K20" s="108" t="s">
        <v>474</v>
      </c>
      <c r="L20" s="108" t="s">
        <v>464</v>
      </c>
      <c r="M20" s="108" t="s">
        <v>485</v>
      </c>
      <c r="N20" s="108" t="s">
        <v>489</v>
      </c>
      <c r="O20" s="109"/>
      <c r="P20" s="109"/>
      <c r="Q20" s="109"/>
      <c r="R20" s="109"/>
      <c r="S20" s="109"/>
      <c r="T20" s="109"/>
      <c r="U20" s="109"/>
      <c r="V20" s="109"/>
      <c r="W20" s="69"/>
      <c r="X20" s="69"/>
      <c r="Y20" s="69"/>
      <c r="Z20" s="69"/>
      <c r="AA20" s="69"/>
      <c r="AB20" s="69"/>
      <c r="AC20" s="69"/>
      <c r="AD20" s="69"/>
      <c r="AE20" s="69"/>
      <c r="AF20" s="122"/>
    </row>
    <row r="21" spans="1:32" ht="12.75" customHeight="1">
      <c r="A21" s="89"/>
      <c r="B21" s="69"/>
      <c r="C21" s="69" t="s">
        <v>124</v>
      </c>
      <c r="D21" s="69" t="s">
        <v>542</v>
      </c>
      <c r="E21" s="69"/>
      <c r="F21" s="71" t="s">
        <v>10</v>
      </c>
      <c r="G21" s="69" t="s">
        <v>349</v>
      </c>
      <c r="H21" s="69"/>
      <c r="I21" s="129" t="s">
        <v>484</v>
      </c>
      <c r="J21" s="108" t="s">
        <v>488</v>
      </c>
      <c r="K21" s="108" t="s">
        <v>474</v>
      </c>
      <c r="L21" s="108" t="s">
        <v>464</v>
      </c>
      <c r="M21" s="108" t="s">
        <v>484</v>
      </c>
      <c r="N21" s="108" t="s">
        <v>464</v>
      </c>
      <c r="O21" s="71"/>
      <c r="P21" s="71" t="s">
        <v>397</v>
      </c>
      <c r="Q21" s="71"/>
      <c r="R21" s="108">
        <v>1</v>
      </c>
      <c r="S21" s="108">
        <v>3</v>
      </c>
      <c r="T21" s="71"/>
      <c r="U21" s="71" t="s">
        <v>422</v>
      </c>
      <c r="V21" s="71"/>
      <c r="W21" s="108">
        <v>0</v>
      </c>
      <c r="X21" s="108">
        <v>3</v>
      </c>
      <c r="Y21" s="71"/>
      <c r="Z21" s="71" t="s">
        <v>543</v>
      </c>
      <c r="AA21" s="71"/>
      <c r="AB21" s="108">
        <v>2</v>
      </c>
      <c r="AC21" s="108">
        <v>0</v>
      </c>
      <c r="AD21" s="108">
        <v>1</v>
      </c>
      <c r="AE21" s="108">
        <v>8</v>
      </c>
      <c r="AF21" s="122"/>
    </row>
    <row r="22" spans="1:32" ht="12.75" customHeight="1">
      <c r="A22" s="89"/>
      <c r="B22" s="69"/>
      <c r="C22" s="69" t="s">
        <v>127</v>
      </c>
      <c r="D22" s="69" t="s">
        <v>425</v>
      </c>
      <c r="E22" s="69"/>
      <c r="F22" s="71" t="s">
        <v>10</v>
      </c>
      <c r="G22" s="108">
        <v>1</v>
      </c>
      <c r="H22" s="108">
        <v>4</v>
      </c>
      <c r="I22" s="108">
        <v>1</v>
      </c>
      <c r="J22" s="108">
        <v>0</v>
      </c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122"/>
    </row>
    <row r="23" spans="1:32" ht="12.75" customHeight="1">
      <c r="A23" s="89"/>
      <c r="B23" s="69"/>
      <c r="C23" s="69" t="s">
        <v>130</v>
      </c>
      <c r="D23" s="69" t="s">
        <v>545</v>
      </c>
      <c r="E23" s="69"/>
      <c r="F23" s="71" t="s">
        <v>10</v>
      </c>
      <c r="G23" s="109" t="s">
        <v>111</v>
      </c>
      <c r="H23" s="69" t="s">
        <v>546</v>
      </c>
      <c r="I23" s="69"/>
      <c r="J23" s="69"/>
      <c r="K23" s="69"/>
      <c r="L23" s="69" t="s">
        <v>547</v>
      </c>
      <c r="M23" s="69"/>
      <c r="N23" s="69"/>
      <c r="O23" s="69"/>
      <c r="P23" s="69" t="s">
        <v>548</v>
      </c>
      <c r="Q23" s="69"/>
      <c r="R23" s="69"/>
      <c r="S23" s="69"/>
      <c r="T23" s="69" t="s">
        <v>549</v>
      </c>
      <c r="U23" s="69"/>
      <c r="V23" s="69"/>
      <c r="W23" s="69"/>
      <c r="X23" s="69"/>
      <c r="Y23" s="69" t="s">
        <v>540</v>
      </c>
      <c r="Z23" s="69"/>
      <c r="AA23" s="69"/>
      <c r="AB23" s="69"/>
      <c r="AC23" s="69"/>
      <c r="AD23" s="69"/>
      <c r="AE23" s="69"/>
      <c r="AF23" s="122"/>
    </row>
    <row r="24" spans="1:32" ht="12.75" customHeight="1">
      <c r="A24" s="89"/>
      <c r="B24" s="69"/>
      <c r="C24" s="69" t="s">
        <v>134</v>
      </c>
      <c r="D24" s="69" t="s">
        <v>550</v>
      </c>
      <c r="E24" s="69"/>
      <c r="F24" s="71" t="s">
        <v>10</v>
      </c>
      <c r="G24" s="109">
        <v>2</v>
      </c>
      <c r="H24" s="69" t="s">
        <v>111</v>
      </c>
      <c r="I24" s="69" t="s">
        <v>115</v>
      </c>
      <c r="J24" s="69" t="s">
        <v>118</v>
      </c>
      <c r="K24" s="69" t="s">
        <v>121</v>
      </c>
      <c r="L24" s="69" t="s">
        <v>551</v>
      </c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122"/>
    </row>
    <row r="25" spans="1:32" ht="12.75" customHeight="1">
      <c r="A25" s="89"/>
      <c r="B25" s="69"/>
      <c r="C25" s="69" t="s">
        <v>137</v>
      </c>
      <c r="D25" s="69" t="s">
        <v>599</v>
      </c>
      <c r="E25" s="69"/>
      <c r="F25" s="71" t="s">
        <v>10</v>
      </c>
      <c r="G25" s="137">
        <v>2</v>
      </c>
      <c r="H25" s="69" t="s">
        <v>438</v>
      </c>
      <c r="I25" s="69"/>
      <c r="J25" s="69"/>
      <c r="K25" s="69"/>
      <c r="L25" s="69" t="s">
        <v>553</v>
      </c>
      <c r="M25" s="69"/>
      <c r="N25" s="69"/>
      <c r="O25" s="69"/>
      <c r="P25" s="69" t="s">
        <v>554</v>
      </c>
      <c r="Q25" s="69"/>
      <c r="R25" s="69"/>
      <c r="S25" s="69"/>
      <c r="T25" s="69" t="s">
        <v>441</v>
      </c>
      <c r="U25" s="69"/>
      <c r="V25" s="69"/>
      <c r="W25" s="69"/>
      <c r="X25" s="69"/>
      <c r="Z25" s="69"/>
      <c r="AA25" s="69"/>
      <c r="AB25" s="69"/>
      <c r="AC25" s="69"/>
      <c r="AD25" s="69"/>
      <c r="AE25" s="69"/>
      <c r="AF25" s="122"/>
    </row>
    <row r="26" spans="1:32" ht="12.75" customHeight="1">
      <c r="A26" s="89"/>
      <c r="B26" s="69"/>
      <c r="C26" s="69" t="s">
        <v>145</v>
      </c>
      <c r="D26" s="69" t="s">
        <v>555</v>
      </c>
      <c r="E26" s="69"/>
      <c r="F26" s="71" t="s">
        <v>10</v>
      </c>
      <c r="G26" s="108">
        <v>3</v>
      </c>
      <c r="H26" s="108" t="s">
        <v>600</v>
      </c>
      <c r="I26" s="108">
        <v>2</v>
      </c>
      <c r="J26" s="109">
        <v>0</v>
      </c>
      <c r="K26" s="69" t="s">
        <v>601</v>
      </c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122"/>
    </row>
    <row r="27" spans="1:32" ht="12.75" customHeight="1">
      <c r="A27" s="89"/>
      <c r="B27" s="69"/>
      <c r="C27" s="69" t="s">
        <v>424</v>
      </c>
      <c r="D27" s="69" t="s">
        <v>557</v>
      </c>
      <c r="E27" s="69"/>
      <c r="F27" s="71" t="s">
        <v>10</v>
      </c>
      <c r="G27" s="108">
        <v>4</v>
      </c>
      <c r="H27" s="108">
        <v>8</v>
      </c>
      <c r="I27" s="71" t="s">
        <v>558</v>
      </c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122"/>
    </row>
    <row r="28" spans="1:32" ht="12.75" customHeight="1">
      <c r="A28" s="89"/>
      <c r="B28" s="138"/>
      <c r="C28" s="125"/>
      <c r="D28" s="125"/>
      <c r="E28" s="125"/>
      <c r="F28" s="126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7"/>
    </row>
    <row r="29" spans="1:32" ht="12.75" customHeight="1">
      <c r="A29" s="89"/>
      <c r="B29" s="69"/>
      <c r="C29" s="128" t="s">
        <v>449</v>
      </c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122"/>
    </row>
    <row r="30" spans="1:32" ht="12.75" customHeight="1">
      <c r="A30" s="89"/>
      <c r="B30" s="69"/>
      <c r="C30" s="69" t="s">
        <v>111</v>
      </c>
      <c r="D30" s="69" t="s">
        <v>340</v>
      </c>
      <c r="E30" s="69"/>
      <c r="F30" s="71" t="s">
        <v>10</v>
      </c>
      <c r="G30" s="108">
        <v>3</v>
      </c>
      <c r="H30" s="108">
        <v>3</v>
      </c>
      <c r="I30" s="108">
        <v>2</v>
      </c>
      <c r="J30" s="108">
        <v>7</v>
      </c>
      <c r="K30" s="108">
        <v>0</v>
      </c>
      <c r="L30" s="108">
        <v>4</v>
      </c>
      <c r="M30" s="108">
        <v>4</v>
      </c>
      <c r="N30" s="108">
        <v>9</v>
      </c>
      <c r="O30" s="108">
        <v>1</v>
      </c>
      <c r="P30" s="108">
        <v>0</v>
      </c>
      <c r="Q30" s="108">
        <v>3</v>
      </c>
      <c r="R30" s="108">
        <v>0</v>
      </c>
      <c r="S30" s="108">
        <v>0</v>
      </c>
      <c r="T30" s="108">
        <v>0</v>
      </c>
      <c r="U30" s="108">
        <v>0</v>
      </c>
      <c r="V30" s="108">
        <v>3</v>
      </c>
      <c r="W30" s="108"/>
      <c r="X30" s="71"/>
      <c r="Y30" s="71"/>
      <c r="Z30" s="71"/>
      <c r="AA30" s="71"/>
      <c r="AB30" s="71"/>
      <c r="AC30" s="71"/>
      <c r="AD30" s="71"/>
      <c r="AE30" s="71"/>
      <c r="AF30" s="122"/>
    </row>
    <row r="31" spans="1:32" ht="12.75" customHeight="1">
      <c r="A31" s="89"/>
      <c r="B31" s="69"/>
      <c r="C31" s="69" t="s">
        <v>115</v>
      </c>
      <c r="D31" s="69" t="s">
        <v>391</v>
      </c>
      <c r="E31" s="69"/>
      <c r="F31" s="71" t="s">
        <v>10</v>
      </c>
      <c r="G31" s="108" t="s">
        <v>468</v>
      </c>
      <c r="H31" s="108" t="s">
        <v>477</v>
      </c>
      <c r="I31" s="108" t="s">
        <v>469</v>
      </c>
      <c r="J31" s="108" t="s">
        <v>474</v>
      </c>
      <c r="K31" s="108" t="s">
        <v>464</v>
      </c>
      <c r="L31" s="108" t="s">
        <v>466</v>
      </c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22"/>
    </row>
    <row r="32" spans="1:32" ht="12.75" customHeight="1">
      <c r="A32" s="89"/>
      <c r="B32" s="69"/>
      <c r="C32" s="69" t="s">
        <v>118</v>
      </c>
      <c r="D32" s="69" t="s">
        <v>559</v>
      </c>
      <c r="E32" s="69"/>
      <c r="F32" s="71" t="s">
        <v>10</v>
      </c>
      <c r="G32" s="71" t="s">
        <v>397</v>
      </c>
      <c r="H32" s="129">
        <v>0</v>
      </c>
      <c r="I32" s="108">
        <v>9</v>
      </c>
      <c r="J32" s="71"/>
      <c r="K32" s="71"/>
      <c r="L32" s="108">
        <v>1</v>
      </c>
      <c r="M32" s="108">
        <v>0</v>
      </c>
      <c r="N32" s="71"/>
      <c r="O32" s="71" t="s">
        <v>560</v>
      </c>
      <c r="P32" s="108">
        <v>1</v>
      </c>
      <c r="Q32" s="108">
        <v>9</v>
      </c>
      <c r="R32" s="108">
        <v>9</v>
      </c>
      <c r="S32" s="108">
        <v>3</v>
      </c>
      <c r="T32" s="71"/>
      <c r="U32" s="71" t="s">
        <v>359</v>
      </c>
      <c r="V32" s="71"/>
      <c r="W32" s="108">
        <v>2</v>
      </c>
      <c r="X32" s="108">
        <v>5</v>
      </c>
      <c r="Y32" s="108"/>
      <c r="Z32" s="71"/>
      <c r="AA32" s="71"/>
      <c r="AB32" s="71"/>
      <c r="AC32" s="71"/>
      <c r="AD32" s="71"/>
      <c r="AE32" s="71"/>
      <c r="AF32" s="122"/>
    </row>
    <row r="33" spans="1:32" ht="12.75" customHeight="1">
      <c r="A33" s="89" t="s">
        <v>574</v>
      </c>
      <c r="B33" s="69"/>
      <c r="C33" s="69" t="s">
        <v>121</v>
      </c>
      <c r="D33" s="69" t="s">
        <v>128</v>
      </c>
      <c r="E33" s="69"/>
      <c r="F33" s="71" t="s">
        <v>10</v>
      </c>
      <c r="G33" s="108">
        <v>0</v>
      </c>
      <c r="H33" s="108">
        <v>2</v>
      </c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122"/>
    </row>
    <row r="34" spans="1:32" ht="12.75" customHeight="1">
      <c r="A34" s="89"/>
      <c r="B34" s="69"/>
      <c r="C34" s="69" t="s">
        <v>124</v>
      </c>
      <c r="D34" s="69" t="s">
        <v>345</v>
      </c>
      <c r="E34" s="69"/>
      <c r="F34" s="71" t="s">
        <v>10</v>
      </c>
      <c r="G34" s="230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22"/>
    </row>
    <row r="35" spans="1:32" ht="12.75" customHeight="1">
      <c r="A35" s="89"/>
      <c r="B35" s="69"/>
      <c r="C35" s="69"/>
      <c r="D35" s="69"/>
      <c r="E35" s="69"/>
      <c r="F35" s="71"/>
      <c r="G35" s="69" t="s">
        <v>561</v>
      </c>
      <c r="H35" s="69"/>
      <c r="I35" s="69"/>
      <c r="J35" s="69"/>
      <c r="K35" s="69"/>
      <c r="L35" s="257" t="s">
        <v>102</v>
      </c>
      <c r="M35" s="223"/>
      <c r="N35" s="223"/>
      <c r="O35" s="223"/>
      <c r="P35" s="224"/>
      <c r="Q35" s="131"/>
      <c r="R35" s="131" t="s">
        <v>562</v>
      </c>
      <c r="S35" s="131"/>
      <c r="T35" s="131"/>
      <c r="U35" s="131"/>
      <c r="V35" s="257" t="s">
        <v>106</v>
      </c>
      <c r="W35" s="223"/>
      <c r="X35" s="223"/>
      <c r="Y35" s="223"/>
      <c r="Z35" s="224"/>
      <c r="AA35" s="69"/>
      <c r="AB35" s="69"/>
      <c r="AC35" s="69"/>
      <c r="AD35" s="69"/>
      <c r="AE35" s="69"/>
      <c r="AF35" s="122"/>
    </row>
    <row r="36" spans="1:32" ht="12.75" customHeight="1">
      <c r="A36" s="89"/>
      <c r="B36" s="69"/>
      <c r="C36" s="69"/>
      <c r="D36" s="69"/>
      <c r="E36" s="69"/>
      <c r="F36" s="71"/>
      <c r="G36" s="69" t="s">
        <v>563</v>
      </c>
      <c r="H36" s="69"/>
      <c r="I36" s="69"/>
      <c r="J36" s="69"/>
      <c r="K36" s="69"/>
      <c r="L36" s="257" t="s">
        <v>104</v>
      </c>
      <c r="M36" s="223"/>
      <c r="N36" s="223"/>
      <c r="O36" s="223"/>
      <c r="P36" s="224"/>
      <c r="Q36" s="131"/>
      <c r="R36" s="131" t="s">
        <v>417</v>
      </c>
      <c r="S36" s="131"/>
      <c r="T36" s="131"/>
      <c r="U36" s="131"/>
      <c r="V36" s="257" t="s">
        <v>418</v>
      </c>
      <c r="W36" s="223"/>
      <c r="X36" s="223"/>
      <c r="Y36" s="223"/>
      <c r="Z36" s="224"/>
      <c r="AA36" s="69"/>
      <c r="AB36" s="69"/>
      <c r="AC36" s="69"/>
      <c r="AD36" s="69"/>
      <c r="AE36" s="69"/>
      <c r="AF36" s="122"/>
    </row>
    <row r="37" spans="1:32" ht="12.75" customHeight="1">
      <c r="A37" s="89"/>
      <c r="B37" s="69"/>
      <c r="C37" s="69" t="s">
        <v>127</v>
      </c>
      <c r="D37" s="69" t="s">
        <v>564</v>
      </c>
      <c r="E37" s="69"/>
      <c r="F37" s="71" t="s">
        <v>10</v>
      </c>
      <c r="G37" s="108" t="s">
        <v>111</v>
      </c>
      <c r="H37" s="71"/>
      <c r="I37" s="71" t="s">
        <v>565</v>
      </c>
      <c r="J37" s="71"/>
      <c r="K37" s="71"/>
      <c r="L37" s="71" t="s">
        <v>566</v>
      </c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69"/>
      <c r="X37" s="69"/>
      <c r="Y37" s="69"/>
      <c r="Z37" s="69"/>
      <c r="AA37" s="69"/>
      <c r="AB37" s="69"/>
      <c r="AC37" s="69"/>
      <c r="AD37" s="69"/>
      <c r="AE37" s="69"/>
      <c r="AF37" s="122"/>
    </row>
    <row r="38" spans="1:32" ht="12.75" customHeight="1">
      <c r="A38" s="89"/>
      <c r="B38" s="69"/>
      <c r="C38" s="69" t="s">
        <v>130</v>
      </c>
      <c r="D38" s="69" t="s">
        <v>567</v>
      </c>
      <c r="E38" s="69"/>
      <c r="F38" s="71" t="s">
        <v>10</v>
      </c>
      <c r="G38" s="257" t="s">
        <v>568</v>
      </c>
      <c r="H38" s="223"/>
      <c r="I38" s="223"/>
      <c r="J38" s="223"/>
      <c r="K38" s="224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69"/>
      <c r="X38" s="69"/>
      <c r="Y38" s="69"/>
      <c r="Z38" s="69"/>
      <c r="AA38" s="69"/>
      <c r="AB38" s="69"/>
      <c r="AC38" s="69"/>
      <c r="AD38" s="69"/>
      <c r="AE38" s="69"/>
      <c r="AF38" s="122"/>
    </row>
    <row r="39" spans="1:32" ht="12.75" customHeight="1">
      <c r="A39" s="89"/>
      <c r="B39" s="69"/>
      <c r="C39" s="69" t="s">
        <v>134</v>
      </c>
      <c r="D39" s="69" t="s">
        <v>569</v>
      </c>
      <c r="E39" s="69"/>
      <c r="F39" s="71" t="s">
        <v>10</v>
      </c>
      <c r="G39" s="71" t="s">
        <v>570</v>
      </c>
      <c r="H39" s="71"/>
      <c r="I39" s="108"/>
      <c r="J39" s="108"/>
      <c r="K39" s="71"/>
      <c r="L39" s="71" t="s">
        <v>398</v>
      </c>
      <c r="M39" s="71"/>
      <c r="N39" s="108"/>
      <c r="O39" s="108"/>
      <c r="P39" s="71"/>
      <c r="Q39" s="71" t="s">
        <v>560</v>
      </c>
      <c r="R39" s="71"/>
      <c r="S39" s="108"/>
      <c r="T39" s="108"/>
      <c r="U39" s="108"/>
      <c r="V39" s="108"/>
      <c r="W39" s="69"/>
      <c r="X39" s="69"/>
      <c r="Y39" s="69"/>
      <c r="Z39" s="69"/>
      <c r="AA39" s="69"/>
      <c r="AB39" s="69"/>
      <c r="AC39" s="69"/>
      <c r="AD39" s="69"/>
      <c r="AE39" s="69"/>
      <c r="AF39" s="122"/>
    </row>
    <row r="40" spans="1:32" ht="12.75" customHeight="1">
      <c r="A40" s="89"/>
      <c r="B40" s="138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7"/>
    </row>
    <row r="41" spans="1:32" ht="12.75" customHeight="1">
      <c r="A41" s="89"/>
      <c r="B41" s="69"/>
      <c r="C41" s="128" t="s">
        <v>443</v>
      </c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122"/>
    </row>
    <row r="42" spans="1:32" ht="12.75" customHeight="1">
      <c r="A42" s="89"/>
      <c r="B42" s="69"/>
      <c r="C42" s="69" t="s">
        <v>111</v>
      </c>
      <c r="D42" s="69" t="s">
        <v>340</v>
      </c>
      <c r="E42" s="69"/>
      <c r="F42" s="71" t="s">
        <v>10</v>
      </c>
      <c r="G42" s="108">
        <v>3</v>
      </c>
      <c r="H42" s="108">
        <v>3</v>
      </c>
      <c r="I42" s="108">
        <v>2</v>
      </c>
      <c r="J42" s="108">
        <v>7</v>
      </c>
      <c r="K42" s="108">
        <v>0</v>
      </c>
      <c r="L42" s="108">
        <v>4</v>
      </c>
      <c r="M42" s="108">
        <v>0</v>
      </c>
      <c r="N42" s="108">
        <v>2</v>
      </c>
      <c r="O42" s="108">
        <v>0</v>
      </c>
      <c r="P42" s="108">
        <v>8</v>
      </c>
      <c r="Q42" s="108">
        <v>8</v>
      </c>
      <c r="R42" s="108">
        <v>7</v>
      </c>
      <c r="S42" s="108">
        <v>0</v>
      </c>
      <c r="T42" s="108">
        <v>0</v>
      </c>
      <c r="U42" s="108">
        <v>0</v>
      </c>
      <c r="V42" s="108">
        <v>1</v>
      </c>
      <c r="W42" s="108"/>
      <c r="X42" s="71"/>
      <c r="Y42" s="71"/>
      <c r="Z42" s="71"/>
      <c r="AA42" s="71"/>
      <c r="AB42" s="71"/>
      <c r="AC42" s="71"/>
      <c r="AD42" s="71"/>
      <c r="AE42" s="71"/>
      <c r="AF42" s="122"/>
    </row>
    <row r="43" spans="1:32" ht="12.75" customHeight="1">
      <c r="A43" s="89"/>
      <c r="B43" s="69"/>
      <c r="C43" s="69" t="s">
        <v>115</v>
      </c>
      <c r="D43" s="69" t="s">
        <v>391</v>
      </c>
      <c r="E43" s="69"/>
      <c r="F43" s="71" t="s">
        <v>10</v>
      </c>
      <c r="G43" s="108" t="s">
        <v>485</v>
      </c>
      <c r="H43" s="108" t="s">
        <v>464</v>
      </c>
      <c r="I43" s="108" t="s">
        <v>484</v>
      </c>
      <c r="J43" s="108" t="s">
        <v>477</v>
      </c>
      <c r="K43" s="108" t="s">
        <v>468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22"/>
    </row>
    <row r="44" spans="1:32" ht="12.75" customHeight="1">
      <c r="A44" s="89"/>
      <c r="B44" s="69"/>
      <c r="C44" s="69" t="s">
        <v>118</v>
      </c>
      <c r="D44" s="69" t="s">
        <v>559</v>
      </c>
      <c r="E44" s="69"/>
      <c r="F44" s="71" t="s">
        <v>10</v>
      </c>
      <c r="G44" s="71" t="s">
        <v>397</v>
      </c>
      <c r="H44" s="129">
        <v>0</v>
      </c>
      <c r="I44" s="108">
        <v>2</v>
      </c>
      <c r="J44" s="71"/>
      <c r="K44" s="71" t="s">
        <v>398</v>
      </c>
      <c r="L44" s="108">
        <v>0</v>
      </c>
      <c r="M44" s="108">
        <v>8</v>
      </c>
      <c r="N44" s="71"/>
      <c r="O44" s="71" t="s">
        <v>560</v>
      </c>
      <c r="P44" s="108">
        <v>1</v>
      </c>
      <c r="Q44" s="108">
        <v>9</v>
      </c>
      <c r="R44" s="108">
        <v>8</v>
      </c>
      <c r="S44" s="108">
        <v>7</v>
      </c>
      <c r="T44" s="71"/>
      <c r="U44" s="71" t="s">
        <v>359</v>
      </c>
      <c r="V44" s="71"/>
      <c r="W44" s="108">
        <v>3</v>
      </c>
      <c r="X44" s="108">
        <v>1</v>
      </c>
      <c r="Y44" s="108"/>
      <c r="Z44" s="71"/>
      <c r="AA44" s="71"/>
      <c r="AB44" s="71"/>
      <c r="AC44" s="71"/>
      <c r="AD44" s="71"/>
      <c r="AE44" s="71"/>
      <c r="AF44" s="122"/>
    </row>
    <row r="45" spans="1:32" ht="12.75" customHeight="1">
      <c r="A45" s="89"/>
      <c r="B45" s="69"/>
      <c r="C45" s="69" t="s">
        <v>121</v>
      </c>
      <c r="D45" s="69" t="s">
        <v>128</v>
      </c>
      <c r="E45" s="69"/>
      <c r="F45" s="71" t="s">
        <v>10</v>
      </c>
      <c r="G45" s="108">
        <v>2</v>
      </c>
      <c r="H45" s="108">
        <v>0</v>
      </c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122"/>
    </row>
    <row r="46" spans="1:32" ht="12.75" customHeight="1">
      <c r="A46" s="89"/>
      <c r="B46" s="69"/>
      <c r="C46" s="69" t="s">
        <v>124</v>
      </c>
      <c r="D46" s="69" t="s">
        <v>345</v>
      </c>
      <c r="E46" s="69"/>
      <c r="F46" s="71" t="s">
        <v>10</v>
      </c>
      <c r="G46" s="230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22"/>
    </row>
    <row r="47" spans="1:32" ht="12.75" customHeight="1">
      <c r="A47" s="89"/>
      <c r="B47" s="69"/>
      <c r="C47" s="69"/>
      <c r="D47" s="69"/>
      <c r="E47" s="69"/>
      <c r="F47" s="71"/>
      <c r="G47" s="69" t="s">
        <v>561</v>
      </c>
      <c r="H47" s="69"/>
      <c r="I47" s="69"/>
      <c r="J47" s="69"/>
      <c r="K47" s="69"/>
      <c r="L47" s="257" t="s">
        <v>102</v>
      </c>
      <c r="M47" s="223"/>
      <c r="N47" s="223"/>
      <c r="O47" s="223"/>
      <c r="P47" s="224"/>
      <c r="Q47" s="131"/>
      <c r="R47" s="131" t="s">
        <v>562</v>
      </c>
      <c r="S47" s="131"/>
      <c r="T47" s="131"/>
      <c r="U47" s="131"/>
      <c r="V47" s="257" t="s">
        <v>106</v>
      </c>
      <c r="W47" s="223"/>
      <c r="X47" s="223"/>
      <c r="Y47" s="223"/>
      <c r="Z47" s="224"/>
      <c r="AA47" s="69"/>
      <c r="AB47" s="69"/>
      <c r="AC47" s="69"/>
      <c r="AD47" s="69"/>
      <c r="AE47" s="69"/>
      <c r="AF47" s="122"/>
    </row>
    <row r="48" spans="1:32" ht="12.75" customHeight="1">
      <c r="A48" s="89"/>
      <c r="B48" s="69"/>
      <c r="C48" s="69"/>
      <c r="D48" s="69"/>
      <c r="E48" s="69"/>
      <c r="F48" s="71"/>
      <c r="G48" s="69" t="s">
        <v>563</v>
      </c>
      <c r="H48" s="69"/>
      <c r="I48" s="69"/>
      <c r="J48" s="69"/>
      <c r="K48" s="69"/>
      <c r="L48" s="257" t="s">
        <v>104</v>
      </c>
      <c r="M48" s="223"/>
      <c r="N48" s="223"/>
      <c r="O48" s="223"/>
      <c r="P48" s="224"/>
      <c r="Q48" s="131"/>
      <c r="R48" s="131" t="s">
        <v>417</v>
      </c>
      <c r="S48" s="131"/>
      <c r="T48" s="131"/>
      <c r="U48" s="131"/>
      <c r="V48" s="257" t="s">
        <v>418</v>
      </c>
      <c r="W48" s="223"/>
      <c r="X48" s="223"/>
      <c r="Y48" s="223"/>
      <c r="Z48" s="224"/>
      <c r="AA48" s="69"/>
      <c r="AB48" s="69"/>
      <c r="AC48" s="69"/>
      <c r="AD48" s="69"/>
      <c r="AE48" s="69"/>
      <c r="AF48" s="122"/>
    </row>
    <row r="49" spans="1:32" ht="12.75" customHeight="1">
      <c r="A49" s="89"/>
      <c r="B49" s="69"/>
      <c r="C49" s="69" t="s">
        <v>127</v>
      </c>
      <c r="D49" s="69" t="s">
        <v>564</v>
      </c>
      <c r="E49" s="69"/>
      <c r="F49" s="71" t="s">
        <v>10</v>
      </c>
      <c r="G49" s="108" t="s">
        <v>111</v>
      </c>
      <c r="H49" s="71"/>
      <c r="I49" s="71" t="s">
        <v>565</v>
      </c>
      <c r="J49" s="71"/>
      <c r="K49" s="71"/>
      <c r="L49" s="71" t="s">
        <v>566</v>
      </c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69"/>
      <c r="X49" s="69"/>
      <c r="Y49" s="69"/>
      <c r="Z49" s="69"/>
      <c r="AA49" s="69"/>
      <c r="AB49" s="69"/>
      <c r="AC49" s="69"/>
      <c r="AD49" s="69"/>
      <c r="AE49" s="69"/>
      <c r="AF49" s="122"/>
    </row>
    <row r="50" spans="1:32" ht="12.75" customHeight="1">
      <c r="A50" s="89"/>
      <c r="B50" s="69"/>
      <c r="C50" s="69" t="s">
        <v>130</v>
      </c>
      <c r="D50" s="69" t="s">
        <v>567</v>
      </c>
      <c r="E50" s="69"/>
      <c r="F50" s="71" t="s">
        <v>10</v>
      </c>
      <c r="G50" s="257" t="s">
        <v>568</v>
      </c>
      <c r="H50" s="223"/>
      <c r="I50" s="223"/>
      <c r="J50" s="223"/>
      <c r="K50" s="224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69"/>
      <c r="X50" s="69"/>
      <c r="Y50" s="69"/>
      <c r="Z50" s="69"/>
      <c r="AA50" s="69"/>
      <c r="AB50" s="69"/>
      <c r="AC50" s="69"/>
      <c r="AD50" s="69"/>
      <c r="AE50" s="69"/>
      <c r="AF50" s="122"/>
    </row>
    <row r="51" spans="1:32" ht="12.75" customHeight="1">
      <c r="A51" s="89"/>
      <c r="B51" s="138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7"/>
    </row>
    <row r="52" spans="1:32" ht="12.75" customHeight="1">
      <c r="A52" s="89"/>
      <c r="B52" s="69"/>
      <c r="C52" s="128" t="s">
        <v>455</v>
      </c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122"/>
    </row>
    <row r="53" spans="1:32" ht="12.75" customHeight="1">
      <c r="A53" s="89"/>
      <c r="B53" s="69"/>
      <c r="C53" s="69" t="s">
        <v>111</v>
      </c>
      <c r="D53" s="69" t="s">
        <v>340</v>
      </c>
      <c r="E53" s="69"/>
      <c r="F53" s="71" t="s">
        <v>10</v>
      </c>
      <c r="G53" s="108">
        <v>3</v>
      </c>
      <c r="H53" s="108">
        <v>3</v>
      </c>
      <c r="I53" s="108">
        <v>2</v>
      </c>
      <c r="J53" s="108">
        <v>7</v>
      </c>
      <c r="K53" s="108">
        <v>0</v>
      </c>
      <c r="L53" s="108">
        <v>4</v>
      </c>
      <c r="M53" s="108">
        <v>1</v>
      </c>
      <c r="N53" s="108">
        <v>1</v>
      </c>
      <c r="O53" s="108">
        <v>0</v>
      </c>
      <c r="P53" s="108">
        <v>6</v>
      </c>
      <c r="Q53" s="108">
        <v>8</v>
      </c>
      <c r="R53" s="108">
        <v>9</v>
      </c>
      <c r="S53" s="108">
        <v>0</v>
      </c>
      <c r="T53" s="108">
        <v>0</v>
      </c>
      <c r="U53" s="108">
        <v>0</v>
      </c>
      <c r="V53" s="108">
        <v>6</v>
      </c>
      <c r="W53" s="108"/>
      <c r="X53" s="69"/>
      <c r="Y53" s="69"/>
      <c r="Z53" s="69"/>
      <c r="AA53" s="69"/>
      <c r="AB53" s="69"/>
      <c r="AC53" s="69"/>
      <c r="AD53" s="69"/>
      <c r="AE53" s="69"/>
      <c r="AF53" s="122"/>
    </row>
    <row r="54" spans="1:32" ht="12.75" customHeight="1">
      <c r="A54" s="89"/>
      <c r="B54" s="69"/>
      <c r="C54" s="69" t="s">
        <v>115</v>
      </c>
      <c r="D54" s="69" t="s">
        <v>391</v>
      </c>
      <c r="E54" s="69"/>
      <c r="F54" s="71" t="s">
        <v>10</v>
      </c>
      <c r="G54" s="108" t="s">
        <v>463</v>
      </c>
      <c r="H54" s="108" t="s">
        <v>464</v>
      </c>
      <c r="I54" s="108" t="s">
        <v>468</v>
      </c>
      <c r="J54" s="108" t="s">
        <v>486</v>
      </c>
      <c r="K54" s="108" t="s">
        <v>477</v>
      </c>
      <c r="L54" s="108" t="s">
        <v>485</v>
      </c>
      <c r="M54" s="108" t="s">
        <v>477</v>
      </c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9"/>
      <c r="Y54" s="109"/>
      <c r="Z54" s="109"/>
      <c r="AA54" s="109"/>
      <c r="AB54" s="109"/>
      <c r="AC54" s="109"/>
      <c r="AD54" s="109"/>
      <c r="AE54" s="109"/>
      <c r="AF54" s="122"/>
    </row>
    <row r="55" spans="1:32" ht="12.75" customHeight="1">
      <c r="A55" s="89"/>
      <c r="B55" s="69"/>
      <c r="C55" s="69" t="s">
        <v>118</v>
      </c>
      <c r="D55" s="69" t="s">
        <v>359</v>
      </c>
      <c r="E55" s="69"/>
      <c r="F55" s="71" t="s">
        <v>10</v>
      </c>
      <c r="G55" s="108">
        <v>2</v>
      </c>
      <c r="H55" s="108">
        <v>9</v>
      </c>
      <c r="I55" s="69"/>
      <c r="J55" s="69" t="s">
        <v>399</v>
      </c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122"/>
    </row>
    <row r="56" spans="1:32" ht="12.75" customHeight="1">
      <c r="A56" s="89"/>
      <c r="B56" s="69"/>
      <c r="C56" s="69" t="s">
        <v>121</v>
      </c>
      <c r="D56" s="69" t="s">
        <v>571</v>
      </c>
      <c r="E56" s="69"/>
      <c r="F56" s="71" t="s">
        <v>10</v>
      </c>
      <c r="G56" s="132" t="s">
        <v>111</v>
      </c>
      <c r="H56" s="69" t="s">
        <v>534</v>
      </c>
      <c r="I56" s="69"/>
      <c r="J56" s="69"/>
      <c r="K56" s="69"/>
      <c r="L56" s="69" t="s">
        <v>394</v>
      </c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122"/>
    </row>
    <row r="57" spans="1:32" ht="12.75" customHeight="1">
      <c r="A57" s="89"/>
      <c r="B57" s="69"/>
      <c r="C57" s="69" t="s">
        <v>124</v>
      </c>
      <c r="D57" s="69" t="s">
        <v>128</v>
      </c>
      <c r="E57" s="69"/>
      <c r="F57" s="71" t="s">
        <v>10</v>
      </c>
      <c r="G57" s="108">
        <v>2</v>
      </c>
      <c r="H57" s="108">
        <v>0</v>
      </c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122"/>
    </row>
    <row r="58" spans="1:32" ht="12.75" customHeight="1">
      <c r="A58" s="89"/>
      <c r="B58" s="69"/>
      <c r="C58" s="69" t="s">
        <v>127</v>
      </c>
      <c r="D58" s="69" t="s">
        <v>345</v>
      </c>
      <c r="E58" s="69"/>
      <c r="F58" s="71" t="s">
        <v>10</v>
      </c>
      <c r="G58" s="230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22"/>
    </row>
    <row r="59" spans="1:32" ht="12.75" customHeight="1">
      <c r="A59" s="89"/>
      <c r="B59" s="69"/>
      <c r="C59" s="69"/>
      <c r="D59" s="69"/>
      <c r="E59" s="69"/>
      <c r="F59" s="69"/>
      <c r="G59" s="69" t="s">
        <v>561</v>
      </c>
      <c r="H59" s="69"/>
      <c r="I59" s="69"/>
      <c r="J59" s="69"/>
      <c r="K59" s="69"/>
      <c r="L59" s="257" t="s">
        <v>102</v>
      </c>
      <c r="M59" s="223"/>
      <c r="N59" s="223"/>
      <c r="O59" s="223"/>
      <c r="P59" s="224"/>
      <c r="Q59" s="131"/>
      <c r="R59" s="131" t="s">
        <v>562</v>
      </c>
      <c r="S59" s="131"/>
      <c r="T59" s="131"/>
      <c r="U59" s="131"/>
      <c r="V59" s="257" t="s">
        <v>106</v>
      </c>
      <c r="W59" s="223"/>
      <c r="X59" s="223"/>
      <c r="Y59" s="223"/>
      <c r="Z59" s="224"/>
      <c r="AA59" s="69"/>
      <c r="AB59" s="69"/>
      <c r="AC59" s="69"/>
      <c r="AD59" s="69"/>
      <c r="AE59" s="69"/>
      <c r="AF59" s="122"/>
    </row>
    <row r="60" spans="1:32" ht="12.75" customHeight="1">
      <c r="A60" s="89"/>
      <c r="B60" s="69"/>
      <c r="C60" s="69"/>
      <c r="D60" s="69"/>
      <c r="E60" s="69"/>
      <c r="F60" s="69"/>
      <c r="G60" s="69" t="s">
        <v>563</v>
      </c>
      <c r="H60" s="69"/>
      <c r="I60" s="69"/>
      <c r="J60" s="69"/>
      <c r="K60" s="69"/>
      <c r="L60" s="257" t="s">
        <v>104</v>
      </c>
      <c r="M60" s="223"/>
      <c r="N60" s="223"/>
      <c r="O60" s="223"/>
      <c r="P60" s="224"/>
      <c r="Q60" s="131"/>
      <c r="R60" s="131" t="s">
        <v>417</v>
      </c>
      <c r="S60" s="131"/>
      <c r="T60" s="131"/>
      <c r="U60" s="131"/>
      <c r="V60" s="257" t="s">
        <v>418</v>
      </c>
      <c r="W60" s="223"/>
      <c r="X60" s="223"/>
      <c r="Y60" s="223"/>
      <c r="Z60" s="224"/>
      <c r="AA60" s="69"/>
      <c r="AB60" s="69"/>
      <c r="AC60" s="69"/>
      <c r="AD60" s="69"/>
      <c r="AE60" s="69"/>
      <c r="AF60" s="122"/>
    </row>
    <row r="61" spans="1:32" ht="12.75" customHeight="1">
      <c r="A61" s="89"/>
      <c r="B61" s="138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7"/>
    </row>
    <row r="62" spans="1:32" ht="12.75" customHeight="1">
      <c r="A62" s="89"/>
      <c r="B62" s="69"/>
      <c r="C62" s="128" t="s">
        <v>572</v>
      </c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122"/>
    </row>
    <row r="63" spans="1:32" ht="12.75" customHeight="1">
      <c r="A63" s="89"/>
      <c r="B63" s="69"/>
      <c r="C63" s="69" t="s">
        <v>111</v>
      </c>
      <c r="D63" s="69" t="s">
        <v>340</v>
      </c>
      <c r="E63" s="69"/>
      <c r="F63" s="71" t="s">
        <v>10</v>
      </c>
      <c r="G63" s="108">
        <v>3</v>
      </c>
      <c r="H63" s="108">
        <v>3</v>
      </c>
      <c r="I63" s="108">
        <v>2</v>
      </c>
      <c r="J63" s="108">
        <v>7</v>
      </c>
      <c r="K63" s="108">
        <v>0</v>
      </c>
      <c r="L63" s="108">
        <v>4</v>
      </c>
      <c r="M63" s="108">
        <v>0</v>
      </c>
      <c r="N63" s="108">
        <v>1</v>
      </c>
      <c r="O63" s="108">
        <v>0</v>
      </c>
      <c r="P63" s="108">
        <v>7</v>
      </c>
      <c r="Q63" s="108">
        <v>5</v>
      </c>
      <c r="R63" s="108">
        <v>1</v>
      </c>
      <c r="S63" s="108">
        <v>0</v>
      </c>
      <c r="T63" s="108">
        <v>0</v>
      </c>
      <c r="U63" s="108">
        <v>4</v>
      </c>
      <c r="V63" s="108">
        <v>6</v>
      </c>
      <c r="W63" s="109"/>
      <c r="X63" s="69"/>
      <c r="Y63" s="69"/>
      <c r="Z63" s="69"/>
      <c r="AA63" s="69"/>
      <c r="AB63" s="69"/>
      <c r="AC63" s="69"/>
      <c r="AD63" s="69"/>
      <c r="AE63" s="69"/>
      <c r="AF63" s="122"/>
    </row>
    <row r="64" spans="1:32" ht="12.75" customHeight="1">
      <c r="A64" s="89"/>
      <c r="B64" s="69"/>
      <c r="C64" s="69" t="s">
        <v>115</v>
      </c>
      <c r="D64" s="69" t="s">
        <v>391</v>
      </c>
      <c r="E64" s="69"/>
      <c r="F64" s="71" t="s">
        <v>10</v>
      </c>
      <c r="G64" s="108" t="s">
        <v>475</v>
      </c>
      <c r="H64" s="108" t="s">
        <v>469</v>
      </c>
      <c r="I64" s="108" t="s">
        <v>485</v>
      </c>
      <c r="J64" s="108" t="s">
        <v>464</v>
      </c>
      <c r="K64" s="108" t="s">
        <v>468</v>
      </c>
      <c r="L64" s="108" t="s">
        <v>491</v>
      </c>
      <c r="M64" s="108" t="s">
        <v>477</v>
      </c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22"/>
    </row>
    <row r="65" spans="1:32" ht="12.75" customHeight="1">
      <c r="A65" s="89"/>
      <c r="B65" s="69"/>
      <c r="C65" s="69" t="s">
        <v>118</v>
      </c>
      <c r="D65" s="69" t="s">
        <v>359</v>
      </c>
      <c r="E65" s="69"/>
      <c r="F65" s="71" t="s">
        <v>10</v>
      </c>
      <c r="G65" s="108">
        <v>6</v>
      </c>
      <c r="H65" s="108">
        <v>7</v>
      </c>
      <c r="I65" s="69"/>
      <c r="J65" s="69" t="s">
        <v>399</v>
      </c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122"/>
    </row>
    <row r="66" spans="1:32" ht="12.75" customHeight="1">
      <c r="A66" s="89"/>
      <c r="B66" s="69"/>
      <c r="C66" s="69" t="s">
        <v>121</v>
      </c>
      <c r="D66" s="69" t="s">
        <v>128</v>
      </c>
      <c r="E66" s="69"/>
      <c r="F66" s="71" t="s">
        <v>10</v>
      </c>
      <c r="G66" s="108">
        <v>2</v>
      </c>
      <c r="H66" s="108">
        <v>0</v>
      </c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122"/>
    </row>
    <row r="67" spans="1:32" ht="12.75" customHeight="1">
      <c r="A67" s="89"/>
      <c r="B67" s="69"/>
      <c r="C67" s="69" t="s">
        <v>124</v>
      </c>
      <c r="D67" s="69" t="s">
        <v>345</v>
      </c>
      <c r="E67" s="69"/>
      <c r="F67" s="71" t="s">
        <v>10</v>
      </c>
      <c r="G67" s="230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22"/>
    </row>
    <row r="68" spans="1:32" ht="12.75" customHeight="1">
      <c r="A68" s="89"/>
      <c r="B68" s="69"/>
      <c r="C68" s="69"/>
      <c r="D68" s="69"/>
      <c r="E68" s="69"/>
      <c r="F68" s="71"/>
      <c r="G68" s="69" t="s">
        <v>561</v>
      </c>
      <c r="H68" s="69"/>
      <c r="I68" s="69"/>
      <c r="J68" s="69"/>
      <c r="K68" s="69"/>
      <c r="L68" s="257" t="s">
        <v>102</v>
      </c>
      <c r="M68" s="223"/>
      <c r="N68" s="223"/>
      <c r="O68" s="223"/>
      <c r="P68" s="224"/>
      <c r="Q68" s="69"/>
      <c r="R68" s="69" t="s">
        <v>562</v>
      </c>
      <c r="S68" s="69"/>
      <c r="T68" s="69"/>
      <c r="U68" s="69"/>
      <c r="V68" s="257" t="s">
        <v>106</v>
      </c>
      <c r="W68" s="223"/>
      <c r="X68" s="223"/>
      <c r="Y68" s="223"/>
      <c r="Z68" s="224"/>
      <c r="AA68" s="69"/>
      <c r="AB68" s="69"/>
      <c r="AC68" s="69"/>
      <c r="AD68" s="69"/>
      <c r="AE68" s="69"/>
      <c r="AF68" s="122"/>
    </row>
    <row r="69" spans="1:32" ht="12.75" customHeight="1">
      <c r="A69" s="89"/>
      <c r="B69" s="69"/>
      <c r="C69" s="69"/>
      <c r="D69" s="69"/>
      <c r="E69" s="69"/>
      <c r="F69" s="69"/>
      <c r="G69" s="69" t="s">
        <v>563</v>
      </c>
      <c r="H69" s="69"/>
      <c r="I69" s="69"/>
      <c r="J69" s="69"/>
      <c r="K69" s="69"/>
      <c r="L69" s="257" t="s">
        <v>104</v>
      </c>
      <c r="M69" s="223"/>
      <c r="N69" s="223"/>
      <c r="O69" s="223"/>
      <c r="P69" s="224"/>
      <c r="Q69" s="69"/>
      <c r="R69" s="69" t="s">
        <v>417</v>
      </c>
      <c r="S69" s="69"/>
      <c r="T69" s="69"/>
      <c r="U69" s="69"/>
      <c r="V69" s="257" t="s">
        <v>418</v>
      </c>
      <c r="W69" s="223"/>
      <c r="X69" s="223"/>
      <c r="Y69" s="223"/>
      <c r="Z69" s="224"/>
      <c r="AA69" s="69"/>
      <c r="AB69" s="69"/>
      <c r="AC69" s="69"/>
      <c r="AD69" s="69"/>
      <c r="AE69" s="69"/>
      <c r="AF69" s="122"/>
    </row>
    <row r="70" spans="1:32" ht="12.75" customHeight="1">
      <c r="A70" s="89"/>
      <c r="B70" s="138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7"/>
    </row>
    <row r="71" spans="1:32" ht="12.75" customHeight="1">
      <c r="A71" s="89"/>
      <c r="B71" s="69"/>
      <c r="C71" s="128" t="s">
        <v>472</v>
      </c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9"/>
      <c r="AF71" s="122"/>
    </row>
    <row r="72" spans="1:32" ht="12.75" customHeight="1">
      <c r="A72" s="89"/>
      <c r="B72" s="69"/>
      <c r="C72" s="69" t="s">
        <v>111</v>
      </c>
      <c r="D72" s="69" t="s">
        <v>340</v>
      </c>
      <c r="E72" s="69"/>
      <c r="F72" s="71" t="s">
        <v>10</v>
      </c>
      <c r="G72" s="108">
        <v>3</v>
      </c>
      <c r="H72" s="108">
        <v>3</v>
      </c>
      <c r="I72" s="108">
        <v>2</v>
      </c>
      <c r="J72" s="108">
        <v>7</v>
      </c>
      <c r="K72" s="108">
        <v>0</v>
      </c>
      <c r="L72" s="108">
        <v>4</v>
      </c>
      <c r="M72" s="108">
        <v>1</v>
      </c>
      <c r="N72" s="108">
        <v>5</v>
      </c>
      <c r="O72" s="108" t="s">
        <v>477</v>
      </c>
      <c r="P72" s="108">
        <v>2</v>
      </c>
      <c r="Q72" s="108">
        <v>7</v>
      </c>
      <c r="R72" s="108">
        <v>9</v>
      </c>
      <c r="S72" s="108">
        <v>0</v>
      </c>
      <c r="T72" s="108">
        <v>0</v>
      </c>
      <c r="U72" s="108">
        <v>0</v>
      </c>
      <c r="V72" s="108">
        <v>4</v>
      </c>
      <c r="W72" s="108"/>
      <c r="X72" s="69"/>
      <c r="Y72" s="69"/>
      <c r="Z72" s="69"/>
      <c r="AA72" s="69"/>
      <c r="AB72" s="69"/>
      <c r="AC72" s="69"/>
      <c r="AD72" s="69"/>
      <c r="AE72" s="69"/>
      <c r="AF72" s="122"/>
    </row>
    <row r="73" spans="1:32" ht="12.75" customHeight="1">
      <c r="A73" s="89"/>
      <c r="B73" s="69"/>
      <c r="C73" s="69" t="s">
        <v>115</v>
      </c>
      <c r="D73" s="69" t="s">
        <v>391</v>
      </c>
      <c r="E73" s="69"/>
      <c r="F73" s="71" t="s">
        <v>10</v>
      </c>
      <c r="G73" s="108" t="s">
        <v>491</v>
      </c>
      <c r="H73" s="108" t="s">
        <v>467</v>
      </c>
      <c r="I73" s="108" t="s">
        <v>474</v>
      </c>
      <c r="J73" s="108" t="s">
        <v>469</v>
      </c>
      <c r="K73" s="108"/>
      <c r="L73" s="108" t="s">
        <v>484</v>
      </c>
      <c r="M73" s="108" t="s">
        <v>464</v>
      </c>
      <c r="N73" s="109" t="s">
        <v>485</v>
      </c>
      <c r="O73" s="109" t="s">
        <v>476</v>
      </c>
      <c r="P73" s="109" t="s">
        <v>477</v>
      </c>
      <c r="Q73" s="109" t="s">
        <v>484</v>
      </c>
      <c r="R73" s="109" t="s">
        <v>477</v>
      </c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22"/>
    </row>
    <row r="74" spans="1:32" ht="12.75" customHeight="1">
      <c r="A74" s="89"/>
      <c r="B74" s="69"/>
      <c r="C74" s="69" t="s">
        <v>118</v>
      </c>
      <c r="D74" s="69" t="s">
        <v>359</v>
      </c>
      <c r="E74" s="69"/>
      <c r="F74" s="71" t="s">
        <v>10</v>
      </c>
      <c r="G74" s="108">
        <v>3</v>
      </c>
      <c r="H74" s="108">
        <v>9</v>
      </c>
      <c r="I74" s="69"/>
      <c r="J74" s="69" t="s">
        <v>399</v>
      </c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122"/>
    </row>
    <row r="75" spans="1:32" ht="12.75" customHeight="1">
      <c r="A75" s="89"/>
      <c r="B75" s="69"/>
      <c r="C75" s="69" t="s">
        <v>121</v>
      </c>
      <c r="D75" s="69" t="s">
        <v>128</v>
      </c>
      <c r="E75" s="69"/>
      <c r="F75" s="71" t="s">
        <v>10</v>
      </c>
      <c r="G75" s="108">
        <v>8</v>
      </c>
      <c r="H75" s="108">
        <v>5</v>
      </c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122"/>
    </row>
    <row r="76" spans="1:32" ht="12.75" customHeight="1">
      <c r="A76" s="89"/>
      <c r="B76" s="69"/>
      <c r="C76" s="69" t="s">
        <v>124</v>
      </c>
      <c r="D76" s="69" t="s">
        <v>345</v>
      </c>
      <c r="E76" s="69"/>
      <c r="F76" s="71" t="s">
        <v>10</v>
      </c>
      <c r="G76" s="230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22"/>
    </row>
    <row r="77" spans="1:32" ht="12.75" customHeight="1">
      <c r="A77" s="89"/>
      <c r="B77" s="69"/>
      <c r="C77" s="69"/>
      <c r="D77" s="69"/>
      <c r="E77" s="69"/>
      <c r="F77" s="69"/>
      <c r="G77" s="69" t="s">
        <v>561</v>
      </c>
      <c r="H77" s="69"/>
      <c r="I77" s="69"/>
      <c r="J77" s="69"/>
      <c r="K77" s="69"/>
      <c r="L77" s="257" t="s">
        <v>102</v>
      </c>
      <c r="M77" s="223"/>
      <c r="N77" s="223"/>
      <c r="O77" s="223"/>
      <c r="P77" s="224"/>
      <c r="Q77" s="69"/>
      <c r="R77" s="69" t="s">
        <v>562</v>
      </c>
      <c r="S77" s="69"/>
      <c r="T77" s="69"/>
      <c r="U77" s="69"/>
      <c r="V77" s="257" t="s">
        <v>106</v>
      </c>
      <c r="W77" s="223"/>
      <c r="X77" s="223"/>
      <c r="Y77" s="223"/>
      <c r="Z77" s="224"/>
      <c r="AA77" s="69"/>
      <c r="AB77" s="69"/>
      <c r="AC77" s="69"/>
      <c r="AD77" s="69"/>
      <c r="AE77" s="69"/>
      <c r="AF77" s="122"/>
    </row>
    <row r="78" spans="1:32" ht="12.75" customHeight="1">
      <c r="A78" s="89"/>
      <c r="B78" s="69"/>
      <c r="C78" s="69"/>
      <c r="D78" s="69"/>
      <c r="E78" s="69"/>
      <c r="F78" s="69"/>
      <c r="G78" s="69" t="s">
        <v>563</v>
      </c>
      <c r="H78" s="69"/>
      <c r="I78" s="69"/>
      <c r="J78" s="69"/>
      <c r="K78" s="69"/>
      <c r="L78" s="257" t="s">
        <v>104</v>
      </c>
      <c r="M78" s="223"/>
      <c r="N78" s="223"/>
      <c r="O78" s="223"/>
      <c r="P78" s="224"/>
      <c r="Q78" s="69"/>
      <c r="R78" s="69" t="s">
        <v>417</v>
      </c>
      <c r="S78" s="69"/>
      <c r="T78" s="69"/>
      <c r="U78" s="69"/>
      <c r="V78" s="257" t="s">
        <v>418</v>
      </c>
      <c r="W78" s="223"/>
      <c r="X78" s="223"/>
      <c r="Y78" s="223"/>
      <c r="Z78" s="224"/>
      <c r="AA78" s="69"/>
      <c r="AB78" s="69"/>
      <c r="AC78" s="69"/>
      <c r="AD78" s="69"/>
      <c r="AE78" s="69"/>
      <c r="AF78" s="122"/>
    </row>
    <row r="79" spans="1:32" ht="12.75" customHeight="1">
      <c r="A79" s="89"/>
      <c r="B79" s="138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7"/>
    </row>
    <row r="80" spans="1:32" ht="12.75" customHeight="1"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</row>
    <row r="81" spans="2:32" ht="12.75" customHeight="1"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 t="s">
        <v>763</v>
      </c>
      <c r="X81" s="69"/>
      <c r="Y81" s="69"/>
      <c r="Z81" s="69"/>
      <c r="AA81" s="69"/>
      <c r="AB81" s="69"/>
      <c r="AC81" s="69"/>
      <c r="AD81" s="69"/>
      <c r="AE81" s="69"/>
      <c r="AF81" s="69"/>
    </row>
    <row r="82" spans="2:32" ht="12.75" customHeight="1"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</row>
    <row r="83" spans="2:32" ht="12.75" customHeight="1">
      <c r="B83" s="69"/>
      <c r="C83" s="69"/>
      <c r="D83" s="69"/>
      <c r="E83" s="69"/>
      <c r="F83" s="69"/>
      <c r="G83" s="69" t="s">
        <v>588</v>
      </c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 t="s">
        <v>481</v>
      </c>
      <c r="X83" s="69"/>
      <c r="Y83" s="69"/>
      <c r="Z83" s="69"/>
      <c r="AA83" s="69"/>
      <c r="AB83" s="69"/>
      <c r="AC83" s="69"/>
      <c r="AD83" s="69"/>
      <c r="AE83" s="69"/>
      <c r="AF83" s="69"/>
    </row>
    <row r="84" spans="2:32" ht="12.75" customHeight="1">
      <c r="B84" s="69"/>
      <c r="C84" s="69"/>
      <c r="D84" s="69"/>
      <c r="E84" s="69"/>
      <c r="F84" s="69" t="s">
        <v>597</v>
      </c>
      <c r="G84" s="69" t="s">
        <v>274</v>
      </c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</row>
    <row r="85" spans="2:32" ht="12.75" customHeight="1">
      <c r="B85" s="69"/>
      <c r="C85" s="69"/>
      <c r="D85" s="69"/>
      <c r="E85" s="69"/>
      <c r="F85" s="69"/>
      <c r="G85" s="69" t="s">
        <v>598</v>
      </c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</row>
    <row r="86" spans="2:32" ht="12.75" customHeight="1"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  <c r="AC86" s="69"/>
      <c r="AD86" s="69"/>
      <c r="AE86" s="69"/>
      <c r="AF86" s="69"/>
    </row>
    <row r="87" spans="2:32" ht="12.75" customHeight="1"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</row>
    <row r="88" spans="2:32" ht="12.75" customHeight="1"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</row>
    <row r="89" spans="2:32" ht="12.75" customHeight="1">
      <c r="B89" s="69"/>
      <c r="C89" s="69"/>
      <c r="D89" s="69"/>
      <c r="E89" s="69"/>
      <c r="F89" s="69"/>
      <c r="G89" s="69" t="s">
        <v>366</v>
      </c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 t="s">
        <v>764</v>
      </c>
      <c r="X89" s="69"/>
      <c r="Y89" s="69"/>
      <c r="Z89" s="69"/>
      <c r="AA89" s="69"/>
      <c r="AB89" s="69"/>
      <c r="AC89" s="69"/>
      <c r="AD89" s="69"/>
      <c r="AE89" s="69"/>
      <c r="AF89" s="69"/>
    </row>
    <row r="90" spans="2:32" ht="12.75" customHeight="1"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  <c r="AC90" s="69"/>
      <c r="AD90" s="69"/>
      <c r="AE90" s="69"/>
      <c r="AF90" s="69"/>
    </row>
    <row r="91" spans="2:32" ht="12.75" customHeight="1"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  <c r="AC91" s="69"/>
      <c r="AD91" s="69"/>
      <c r="AE91" s="69"/>
      <c r="AF91" s="69"/>
    </row>
    <row r="92" spans="2:32" ht="12.75" customHeight="1"/>
    <row r="93" spans="2:32" ht="12.75" customHeight="1"/>
    <row r="94" spans="2:32" ht="12.75" customHeight="1"/>
    <row r="95" spans="2:32" ht="12.75" customHeight="1"/>
    <row r="96" spans="2:32" ht="12.75" customHeight="1"/>
    <row r="97" spans="2:32" ht="12.75" customHeight="1"/>
    <row r="98" spans="2:32" ht="12.75" customHeight="1"/>
    <row r="99" spans="2:32" ht="12.75" customHeight="1"/>
    <row r="100" spans="2:32" ht="12.75" customHeight="1"/>
    <row r="101" spans="2:32" ht="12.75" customHeight="1"/>
    <row r="102" spans="2:32" ht="12.75" customHeight="1"/>
    <row r="103" spans="2:32" ht="12.75" customHeight="1"/>
    <row r="104" spans="2:32" ht="12.75" customHeight="1"/>
    <row r="105" spans="2:32" ht="12.75" customHeight="1"/>
    <row r="106" spans="2:32" ht="12.75" customHeight="1">
      <c r="E106" s="69"/>
      <c r="Z106" s="285" t="s">
        <v>529</v>
      </c>
      <c r="AA106" s="223"/>
      <c r="AB106" s="223"/>
      <c r="AC106" s="224"/>
    </row>
    <row r="107" spans="2:32" ht="12.75" customHeight="1">
      <c r="B107" s="69"/>
      <c r="C107" s="69" t="s">
        <v>332</v>
      </c>
      <c r="D107" s="69"/>
      <c r="E107" s="69"/>
      <c r="F107" s="71" t="s">
        <v>10</v>
      </c>
      <c r="G107" s="69" t="s">
        <v>102</v>
      </c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 t="s">
        <v>530</v>
      </c>
      <c r="W107" s="69" t="s">
        <v>372</v>
      </c>
      <c r="X107" s="69"/>
      <c r="Y107" s="69" t="s">
        <v>10</v>
      </c>
      <c r="Z107" s="69" t="s">
        <v>373</v>
      </c>
      <c r="AA107" s="69"/>
      <c r="AB107" s="69"/>
      <c r="AC107" s="69"/>
      <c r="AD107" s="69"/>
      <c r="AE107" s="69"/>
      <c r="AF107" s="69"/>
    </row>
    <row r="108" spans="2:32" ht="12.75" customHeight="1">
      <c r="B108" s="69"/>
      <c r="C108" s="69" t="s">
        <v>331</v>
      </c>
      <c r="D108" s="69"/>
      <c r="E108" s="69"/>
      <c r="F108" s="71" t="s">
        <v>10</v>
      </c>
      <c r="G108" s="69" t="s">
        <v>104</v>
      </c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 t="s">
        <v>375</v>
      </c>
      <c r="X108" s="69"/>
      <c r="Y108" s="69" t="s">
        <v>10</v>
      </c>
      <c r="Z108" s="69" t="s">
        <v>332</v>
      </c>
      <c r="AA108" s="69"/>
      <c r="AB108" s="69"/>
      <c r="AC108" s="69"/>
      <c r="AD108" s="69"/>
      <c r="AE108" s="69"/>
      <c r="AF108" s="69"/>
    </row>
    <row r="109" spans="2:32" ht="12.75" customHeight="1">
      <c r="B109" s="69"/>
      <c r="C109" s="69" t="s">
        <v>330</v>
      </c>
      <c r="D109" s="69"/>
      <c r="E109" s="69"/>
      <c r="F109" s="71" t="s">
        <v>10</v>
      </c>
      <c r="G109" s="69" t="s">
        <v>106</v>
      </c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 t="s">
        <v>379</v>
      </c>
      <c r="X109" s="69"/>
      <c r="Y109" s="69" t="s">
        <v>10</v>
      </c>
      <c r="Z109" s="69" t="s">
        <v>331</v>
      </c>
      <c r="AA109" s="69"/>
      <c r="AB109" s="69"/>
      <c r="AC109" s="69"/>
      <c r="AD109" s="69"/>
      <c r="AE109" s="69"/>
      <c r="AF109" s="69"/>
    </row>
    <row r="110" spans="2:32" ht="12.75" customHeight="1">
      <c r="B110" s="69"/>
      <c r="C110" s="69"/>
      <c r="D110" s="69"/>
      <c r="E110" s="69"/>
      <c r="F110" s="71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</row>
    <row r="111" spans="2:32" ht="12.75" customHeight="1">
      <c r="B111" s="69"/>
      <c r="C111" s="69" t="s">
        <v>381</v>
      </c>
      <c r="D111" s="69"/>
      <c r="E111" s="69"/>
      <c r="F111" s="71" t="s">
        <v>10</v>
      </c>
      <c r="G111" s="108">
        <v>3</v>
      </c>
      <c r="H111" s="108">
        <v>3</v>
      </c>
      <c r="I111" s="108">
        <v>2</v>
      </c>
      <c r="J111" s="108">
        <v>7</v>
      </c>
      <c r="K111" s="108">
        <v>0</v>
      </c>
      <c r="L111" s="108">
        <v>4</v>
      </c>
      <c r="M111" s="108">
        <v>0</v>
      </c>
      <c r="N111" s="108">
        <v>1</v>
      </c>
      <c r="O111" s="108">
        <v>1</v>
      </c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</row>
    <row r="112" spans="2:32" ht="12.75" customHeight="1">
      <c r="B112" s="69"/>
      <c r="C112" s="69"/>
      <c r="D112" s="69"/>
      <c r="E112" s="69"/>
      <c r="F112" s="71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</row>
    <row r="113" spans="1:32" ht="12.75" customHeight="1"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</row>
    <row r="114" spans="1:32" ht="12.75" customHeight="1">
      <c r="B114" s="69"/>
      <c r="C114" s="196" t="s">
        <v>531</v>
      </c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  <c r="AA114" s="194"/>
      <c r="AB114" s="194"/>
      <c r="AC114" s="194"/>
      <c r="AD114" s="194"/>
      <c r="AE114" s="194"/>
      <c r="AF114" s="194"/>
    </row>
    <row r="115" spans="1:32" ht="12.75" customHeight="1"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</row>
    <row r="116" spans="1:32" ht="12.75" customHeight="1">
      <c r="B116" s="69"/>
      <c r="C116" s="69" t="s">
        <v>385</v>
      </c>
      <c r="D116" s="69"/>
      <c r="E116" s="69"/>
      <c r="F116" s="71" t="s">
        <v>10</v>
      </c>
      <c r="G116" s="108" t="s">
        <v>485</v>
      </c>
      <c r="H116" s="108" t="s">
        <v>464</v>
      </c>
      <c r="I116" s="108" t="s">
        <v>484</v>
      </c>
      <c r="J116" s="108" t="s">
        <v>477</v>
      </c>
      <c r="K116" s="108" t="s">
        <v>468</v>
      </c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69"/>
    </row>
    <row r="117" spans="1:32" ht="12.75" customHeight="1">
      <c r="B117" s="69"/>
      <c r="C117" s="69" t="s">
        <v>387</v>
      </c>
      <c r="D117" s="69"/>
      <c r="E117" s="69"/>
      <c r="F117" s="71" t="s">
        <v>10</v>
      </c>
      <c r="G117" s="108">
        <v>3</v>
      </c>
      <c r="H117" s="108">
        <v>3</v>
      </c>
      <c r="I117" s="108">
        <v>2</v>
      </c>
      <c r="J117" s="108">
        <v>7</v>
      </c>
      <c r="K117" s="108">
        <v>0</v>
      </c>
      <c r="L117" s="108">
        <v>4</v>
      </c>
      <c r="M117" s="108">
        <v>1</v>
      </c>
      <c r="N117" s="108">
        <v>2</v>
      </c>
      <c r="O117" s="108">
        <v>0</v>
      </c>
      <c r="P117" s="108">
        <v>1</v>
      </c>
      <c r="Q117" s="108">
        <v>1</v>
      </c>
      <c r="R117" s="108">
        <v>2</v>
      </c>
      <c r="S117" s="108">
        <v>0</v>
      </c>
      <c r="T117" s="108">
        <v>0</v>
      </c>
      <c r="U117" s="108">
        <v>1</v>
      </c>
      <c r="V117" s="108">
        <v>5</v>
      </c>
      <c r="W117" s="109"/>
      <c r="X117" s="109"/>
      <c r="Y117" s="109"/>
      <c r="Z117" s="69"/>
      <c r="AA117" s="69"/>
      <c r="AB117" s="69"/>
      <c r="AC117" s="69"/>
      <c r="AD117" s="69"/>
      <c r="AE117" s="69"/>
      <c r="AF117" s="69"/>
    </row>
    <row r="118" spans="1:32" ht="12.75" customHeight="1"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</row>
    <row r="119" spans="1:32" ht="12.75" customHeight="1">
      <c r="A119" s="89"/>
      <c r="B119" s="69"/>
      <c r="C119" s="128" t="s">
        <v>532</v>
      </c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124"/>
    </row>
    <row r="120" spans="1:32" ht="12.75" customHeight="1">
      <c r="A120" s="8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122"/>
    </row>
    <row r="121" spans="1:32" ht="12.75" customHeight="1">
      <c r="A121" s="89"/>
      <c r="B121" s="69"/>
      <c r="C121" s="69" t="s">
        <v>111</v>
      </c>
      <c r="D121" s="69" t="s">
        <v>533</v>
      </c>
      <c r="E121" s="69"/>
      <c r="F121" s="71" t="s">
        <v>10</v>
      </c>
      <c r="G121" s="108" t="s">
        <v>485</v>
      </c>
      <c r="H121" s="108" t="s">
        <v>464</v>
      </c>
      <c r="I121" s="108" t="s">
        <v>765</v>
      </c>
      <c r="J121" s="108" t="s">
        <v>464</v>
      </c>
      <c r="K121" s="108"/>
      <c r="L121" s="108" t="s">
        <v>484</v>
      </c>
      <c r="M121" s="108" t="s">
        <v>464</v>
      </c>
      <c r="N121" s="108" t="s">
        <v>474</v>
      </c>
      <c r="O121" s="108" t="s">
        <v>484</v>
      </c>
      <c r="P121" s="108" t="s">
        <v>464</v>
      </c>
      <c r="Q121" s="108" t="s">
        <v>503</v>
      </c>
      <c r="R121" s="108" t="s">
        <v>469</v>
      </c>
      <c r="S121" s="108" t="s">
        <v>474</v>
      </c>
      <c r="T121" s="108" t="s">
        <v>464</v>
      </c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22"/>
    </row>
    <row r="122" spans="1:32" ht="12.75" customHeight="1">
      <c r="A122" s="89"/>
      <c r="B122" s="69"/>
      <c r="C122" s="69" t="s">
        <v>115</v>
      </c>
      <c r="D122" s="69" t="s">
        <v>285</v>
      </c>
      <c r="E122" s="69"/>
      <c r="F122" s="71" t="s">
        <v>10</v>
      </c>
      <c r="G122" s="108">
        <v>2</v>
      </c>
      <c r="H122" s="69" t="s">
        <v>534</v>
      </c>
      <c r="I122" s="69"/>
      <c r="J122" s="69"/>
      <c r="K122" s="69"/>
      <c r="L122" s="69" t="s">
        <v>394</v>
      </c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122"/>
    </row>
    <row r="123" spans="1:32" ht="12.75" customHeight="1">
      <c r="A123" s="89"/>
      <c r="B123" s="69"/>
      <c r="C123" s="69" t="s">
        <v>118</v>
      </c>
      <c r="D123" s="69" t="s">
        <v>596</v>
      </c>
      <c r="E123" s="69"/>
      <c r="F123" s="71" t="s">
        <v>10</v>
      </c>
      <c r="G123" s="129">
        <v>4</v>
      </c>
      <c r="H123" s="69" t="s">
        <v>536</v>
      </c>
      <c r="I123" s="69"/>
      <c r="J123" s="69"/>
      <c r="K123" s="69"/>
      <c r="L123" s="69" t="s">
        <v>537</v>
      </c>
      <c r="M123" s="69"/>
      <c r="N123" s="69"/>
      <c r="O123" s="69"/>
      <c r="P123" s="69" t="s">
        <v>538</v>
      </c>
      <c r="Q123" s="69"/>
      <c r="R123" s="69"/>
      <c r="S123" s="69"/>
      <c r="T123" s="69" t="s">
        <v>539</v>
      </c>
      <c r="U123" s="69"/>
      <c r="V123" s="69"/>
      <c r="W123" s="69"/>
      <c r="X123" s="69"/>
      <c r="Y123" s="69" t="s">
        <v>540</v>
      </c>
      <c r="Z123" s="69"/>
      <c r="AA123" s="69"/>
      <c r="AB123" s="69"/>
      <c r="AC123" s="69"/>
      <c r="AD123" s="69"/>
      <c r="AE123" s="69"/>
      <c r="AF123" s="122"/>
    </row>
    <row r="124" spans="1:32" ht="12.75" customHeight="1">
      <c r="A124" s="89"/>
      <c r="B124" s="69"/>
      <c r="C124" s="69" t="s">
        <v>121</v>
      </c>
      <c r="D124" s="69" t="s">
        <v>541</v>
      </c>
      <c r="E124" s="69"/>
      <c r="F124" s="71" t="s">
        <v>10</v>
      </c>
      <c r="G124" s="108" t="s">
        <v>487</v>
      </c>
      <c r="H124" s="108" t="s">
        <v>488</v>
      </c>
      <c r="I124" s="108" t="s">
        <v>475</v>
      </c>
      <c r="J124" s="108" t="s">
        <v>464</v>
      </c>
      <c r="K124" s="108" t="s">
        <v>474</v>
      </c>
      <c r="L124" s="108" t="s">
        <v>464</v>
      </c>
      <c r="M124" s="108" t="s">
        <v>485</v>
      </c>
      <c r="N124" s="108" t="s">
        <v>489</v>
      </c>
      <c r="O124" s="109"/>
      <c r="P124" s="109"/>
      <c r="Q124" s="109"/>
      <c r="R124" s="109"/>
      <c r="S124" s="109"/>
      <c r="T124" s="109"/>
      <c r="U124" s="109"/>
      <c r="V124" s="109"/>
      <c r="W124" s="69"/>
      <c r="X124" s="69"/>
      <c r="Y124" s="69"/>
      <c r="Z124" s="69"/>
      <c r="AA124" s="69"/>
      <c r="AB124" s="69"/>
      <c r="AC124" s="69"/>
      <c r="AD124" s="69"/>
      <c r="AE124" s="69"/>
      <c r="AF124" s="122"/>
    </row>
    <row r="125" spans="1:32" ht="12.75" customHeight="1">
      <c r="A125" s="89"/>
      <c r="B125" s="69"/>
      <c r="C125" s="69" t="s">
        <v>124</v>
      </c>
      <c r="D125" s="69" t="s">
        <v>542</v>
      </c>
      <c r="E125" s="69"/>
      <c r="F125" s="71" t="s">
        <v>10</v>
      </c>
      <c r="G125" s="69" t="s">
        <v>349</v>
      </c>
      <c r="H125" s="69"/>
      <c r="I125" s="129" t="s">
        <v>475</v>
      </c>
      <c r="J125" s="108" t="s">
        <v>469</v>
      </c>
      <c r="K125" s="108" t="s">
        <v>485</v>
      </c>
      <c r="L125" s="108" t="s">
        <v>489</v>
      </c>
      <c r="M125" s="108" t="s">
        <v>467</v>
      </c>
      <c r="N125" s="108" t="s">
        <v>467</v>
      </c>
      <c r="O125" s="71"/>
      <c r="P125" s="71" t="s">
        <v>397</v>
      </c>
      <c r="Q125" s="71"/>
      <c r="R125" s="108">
        <v>0</v>
      </c>
      <c r="S125" s="108">
        <v>4</v>
      </c>
      <c r="T125" s="71"/>
      <c r="U125" s="71" t="s">
        <v>422</v>
      </c>
      <c r="V125" s="71"/>
      <c r="W125" s="108">
        <v>0</v>
      </c>
      <c r="X125" s="108">
        <v>3</v>
      </c>
      <c r="Y125" s="71"/>
      <c r="Z125" s="71" t="s">
        <v>543</v>
      </c>
      <c r="AA125" s="71"/>
      <c r="AB125" s="108">
        <v>2</v>
      </c>
      <c r="AC125" s="108">
        <v>0</v>
      </c>
      <c r="AD125" s="108">
        <v>1</v>
      </c>
      <c r="AE125" s="108">
        <v>8</v>
      </c>
      <c r="AF125" s="122"/>
    </row>
    <row r="126" spans="1:32" ht="12.75" customHeight="1">
      <c r="A126" s="89"/>
      <c r="B126" s="69"/>
      <c r="C126" s="69" t="s">
        <v>127</v>
      </c>
      <c r="D126" s="69" t="s">
        <v>425</v>
      </c>
      <c r="E126" s="69"/>
      <c r="F126" s="71" t="s">
        <v>10</v>
      </c>
      <c r="G126" s="108">
        <v>1</v>
      </c>
      <c r="H126" s="108">
        <v>2</v>
      </c>
      <c r="I126" s="108">
        <v>3</v>
      </c>
      <c r="J126" s="108">
        <v>0</v>
      </c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122"/>
    </row>
    <row r="127" spans="1:32" ht="12.75" customHeight="1">
      <c r="A127" s="89"/>
      <c r="B127" s="69"/>
      <c r="C127" s="69" t="s">
        <v>130</v>
      </c>
      <c r="D127" s="69" t="s">
        <v>545</v>
      </c>
      <c r="E127" s="69"/>
      <c r="F127" s="71" t="s">
        <v>10</v>
      </c>
      <c r="G127" s="109" t="s">
        <v>111</v>
      </c>
      <c r="H127" s="69" t="s">
        <v>546</v>
      </c>
      <c r="I127" s="69"/>
      <c r="J127" s="69"/>
      <c r="K127" s="69"/>
      <c r="L127" s="69" t="s">
        <v>547</v>
      </c>
      <c r="M127" s="69"/>
      <c r="N127" s="69"/>
      <c r="O127" s="69"/>
      <c r="P127" s="69" t="s">
        <v>548</v>
      </c>
      <c r="Q127" s="69"/>
      <c r="R127" s="69"/>
      <c r="S127" s="69"/>
      <c r="T127" s="69" t="s">
        <v>549</v>
      </c>
      <c r="U127" s="69"/>
      <c r="V127" s="69"/>
      <c r="W127" s="69"/>
      <c r="X127" s="69"/>
      <c r="Y127" s="69" t="s">
        <v>540</v>
      </c>
      <c r="Z127" s="69"/>
      <c r="AA127" s="69"/>
      <c r="AB127" s="69"/>
      <c r="AC127" s="69"/>
      <c r="AD127" s="69"/>
      <c r="AE127" s="69"/>
      <c r="AF127" s="122"/>
    </row>
    <row r="128" spans="1:32" ht="12.75" customHeight="1">
      <c r="A128" s="89"/>
      <c r="B128" s="69"/>
      <c r="C128" s="69" t="s">
        <v>134</v>
      </c>
      <c r="D128" s="69" t="s">
        <v>550</v>
      </c>
      <c r="E128" s="69"/>
      <c r="F128" s="71" t="s">
        <v>10</v>
      </c>
      <c r="G128" s="109">
        <v>1</v>
      </c>
      <c r="H128" s="69" t="s">
        <v>111</v>
      </c>
      <c r="I128" s="69" t="s">
        <v>115</v>
      </c>
      <c r="J128" s="69" t="s">
        <v>118</v>
      </c>
      <c r="K128" s="69" t="s">
        <v>121</v>
      </c>
      <c r="L128" s="69" t="s">
        <v>551</v>
      </c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122"/>
    </row>
    <row r="129" spans="1:32" ht="12.75" customHeight="1">
      <c r="A129" s="89"/>
      <c r="B129" s="69"/>
      <c r="C129" s="69" t="s">
        <v>137</v>
      </c>
      <c r="D129" s="69" t="s">
        <v>599</v>
      </c>
      <c r="E129" s="69"/>
      <c r="F129" s="71" t="s">
        <v>10</v>
      </c>
      <c r="G129" s="137">
        <v>2</v>
      </c>
      <c r="H129" s="69" t="s">
        <v>438</v>
      </c>
      <c r="I129" s="69"/>
      <c r="J129" s="69"/>
      <c r="K129" s="69"/>
      <c r="L129" s="69" t="s">
        <v>553</v>
      </c>
      <c r="M129" s="69"/>
      <c r="N129" s="69"/>
      <c r="O129" s="69"/>
      <c r="P129" s="69" t="s">
        <v>554</v>
      </c>
      <c r="Q129" s="69"/>
      <c r="R129" s="69"/>
      <c r="S129" s="69"/>
      <c r="T129" s="69" t="s">
        <v>441</v>
      </c>
      <c r="U129" s="69"/>
      <c r="V129" s="69"/>
      <c r="W129" s="69"/>
      <c r="X129" s="69"/>
      <c r="Z129" s="69"/>
      <c r="AA129" s="69"/>
      <c r="AB129" s="69"/>
      <c r="AC129" s="69"/>
      <c r="AD129" s="69"/>
      <c r="AE129" s="69"/>
      <c r="AF129" s="122"/>
    </row>
    <row r="130" spans="1:32" ht="12.75" customHeight="1">
      <c r="A130" s="89"/>
      <c r="B130" s="69"/>
      <c r="C130" s="69" t="s">
        <v>145</v>
      </c>
      <c r="D130" s="69" t="s">
        <v>555</v>
      </c>
      <c r="E130" s="69"/>
      <c r="F130" s="71" t="s">
        <v>10</v>
      </c>
      <c r="G130" s="108">
        <v>2</v>
      </c>
      <c r="H130" s="108" t="s">
        <v>600</v>
      </c>
      <c r="I130" s="108">
        <v>8</v>
      </c>
      <c r="J130" s="109">
        <v>0</v>
      </c>
      <c r="K130" s="69" t="s">
        <v>601</v>
      </c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122"/>
    </row>
    <row r="131" spans="1:32" ht="12.75" customHeight="1">
      <c r="A131" s="89"/>
      <c r="B131" s="69"/>
      <c r="C131" s="69" t="s">
        <v>424</v>
      </c>
      <c r="D131" s="69" t="s">
        <v>557</v>
      </c>
      <c r="E131" s="69"/>
      <c r="F131" s="71" t="s">
        <v>10</v>
      </c>
      <c r="G131" s="108">
        <v>4</v>
      </c>
      <c r="H131" s="108">
        <v>5</v>
      </c>
      <c r="I131" s="71" t="s">
        <v>558</v>
      </c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122"/>
    </row>
    <row r="132" spans="1:32" ht="12.75" customHeight="1">
      <c r="A132" s="89"/>
      <c r="B132" s="138"/>
      <c r="C132" s="125"/>
      <c r="D132" s="125"/>
      <c r="E132" s="125"/>
      <c r="F132" s="126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7"/>
    </row>
    <row r="133" spans="1:32" ht="12.75" customHeight="1">
      <c r="A133" s="89"/>
      <c r="B133" s="69"/>
      <c r="C133" s="128" t="s">
        <v>449</v>
      </c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122"/>
    </row>
    <row r="134" spans="1:32" ht="12.75" customHeight="1">
      <c r="A134" s="89"/>
      <c r="B134" s="69"/>
      <c r="C134" s="69" t="s">
        <v>111</v>
      </c>
      <c r="D134" s="69" t="s">
        <v>340</v>
      </c>
      <c r="E134" s="69"/>
      <c r="F134" s="71" t="s">
        <v>10</v>
      </c>
      <c r="G134" s="108">
        <v>3</v>
      </c>
      <c r="H134" s="108">
        <v>3</v>
      </c>
      <c r="I134" s="108">
        <v>2</v>
      </c>
      <c r="J134" s="108">
        <v>7</v>
      </c>
      <c r="K134" s="108">
        <v>0</v>
      </c>
      <c r="L134" s="108">
        <v>4</v>
      </c>
      <c r="M134" s="108">
        <v>4</v>
      </c>
      <c r="N134" s="108">
        <v>6</v>
      </c>
      <c r="O134" s="108">
        <v>0</v>
      </c>
      <c r="P134" s="108">
        <v>6</v>
      </c>
      <c r="Q134" s="108">
        <v>9</v>
      </c>
      <c r="R134" s="108">
        <v>2</v>
      </c>
      <c r="S134" s="108">
        <v>0</v>
      </c>
      <c r="T134" s="108">
        <v>0</v>
      </c>
      <c r="U134" s="108">
        <v>0</v>
      </c>
      <c r="V134" s="108">
        <v>3</v>
      </c>
      <c r="W134" s="108"/>
      <c r="X134" s="71"/>
      <c r="Y134" s="71"/>
      <c r="Z134" s="71"/>
      <c r="AA134" s="71"/>
      <c r="AB134" s="71"/>
      <c r="AC134" s="71"/>
      <c r="AD134" s="71"/>
      <c r="AE134" s="71"/>
      <c r="AF134" s="122"/>
    </row>
    <row r="135" spans="1:32" ht="12.75" customHeight="1">
      <c r="A135" s="89"/>
      <c r="B135" s="69"/>
      <c r="C135" s="69" t="s">
        <v>115</v>
      </c>
      <c r="D135" s="69" t="s">
        <v>391</v>
      </c>
      <c r="E135" s="69"/>
      <c r="F135" s="71" t="s">
        <v>10</v>
      </c>
      <c r="G135" s="108" t="s">
        <v>563</v>
      </c>
      <c r="H135" s="108" t="s">
        <v>464</v>
      </c>
      <c r="I135" s="108" t="s">
        <v>498</v>
      </c>
      <c r="J135" s="108" t="s">
        <v>468</v>
      </c>
      <c r="K135" s="108" t="s">
        <v>469</v>
      </c>
      <c r="L135" s="108" t="s">
        <v>486</v>
      </c>
      <c r="M135" s="108" t="s">
        <v>464</v>
      </c>
      <c r="N135" s="108" t="s">
        <v>466</v>
      </c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22"/>
    </row>
    <row r="136" spans="1:32" ht="12.75" customHeight="1">
      <c r="A136" s="89"/>
      <c r="B136" s="69"/>
      <c r="C136" s="69" t="s">
        <v>118</v>
      </c>
      <c r="D136" s="69" t="s">
        <v>559</v>
      </c>
      <c r="E136" s="69"/>
      <c r="F136" s="71" t="s">
        <v>10</v>
      </c>
      <c r="G136" s="71" t="s">
        <v>397</v>
      </c>
      <c r="H136" s="129">
        <v>0</v>
      </c>
      <c r="I136" s="108">
        <v>6</v>
      </c>
      <c r="J136" s="71"/>
      <c r="K136" s="71" t="s">
        <v>398</v>
      </c>
      <c r="L136" s="108">
        <v>0</v>
      </c>
      <c r="M136" s="108">
        <v>6</v>
      </c>
      <c r="N136" s="71"/>
      <c r="O136" s="71" t="s">
        <v>560</v>
      </c>
      <c r="P136" s="108">
        <v>1</v>
      </c>
      <c r="Q136" s="108">
        <v>9</v>
      </c>
      <c r="R136" s="108">
        <v>9</v>
      </c>
      <c r="S136" s="108">
        <v>2</v>
      </c>
      <c r="T136" s="71"/>
      <c r="U136" s="71" t="s">
        <v>359</v>
      </c>
      <c r="V136" s="71"/>
      <c r="W136" s="108">
        <v>2</v>
      </c>
      <c r="X136" s="108">
        <v>6</v>
      </c>
      <c r="Y136" s="108"/>
      <c r="Z136" s="71"/>
      <c r="AA136" s="71"/>
      <c r="AB136" s="71"/>
      <c r="AC136" s="71"/>
      <c r="AD136" s="71"/>
      <c r="AE136" s="71"/>
      <c r="AF136" s="122"/>
    </row>
    <row r="137" spans="1:32" ht="12.75" customHeight="1">
      <c r="A137" s="89" t="s">
        <v>574</v>
      </c>
      <c r="B137" s="69"/>
      <c r="C137" s="69" t="s">
        <v>121</v>
      </c>
      <c r="D137" s="69" t="s">
        <v>128</v>
      </c>
      <c r="E137" s="69"/>
      <c r="F137" s="71" t="s">
        <v>10</v>
      </c>
      <c r="G137" s="108">
        <v>0</v>
      </c>
      <c r="H137" s="108">
        <v>2</v>
      </c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122"/>
    </row>
    <row r="138" spans="1:32" ht="12.75" customHeight="1">
      <c r="A138" s="89"/>
      <c r="B138" s="69"/>
      <c r="C138" s="69" t="s">
        <v>124</v>
      </c>
      <c r="D138" s="69" t="s">
        <v>345</v>
      </c>
      <c r="E138" s="69"/>
      <c r="F138" s="71" t="s">
        <v>10</v>
      </c>
      <c r="G138" s="230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22"/>
    </row>
    <row r="139" spans="1:32" ht="12.75" customHeight="1">
      <c r="A139" s="89"/>
      <c r="B139" s="69"/>
      <c r="C139" s="69"/>
      <c r="D139" s="69"/>
      <c r="E139" s="69"/>
      <c r="F139" s="71"/>
      <c r="G139" s="69" t="s">
        <v>561</v>
      </c>
      <c r="H139" s="69"/>
      <c r="I139" s="69"/>
      <c r="J139" s="69"/>
      <c r="K139" s="69"/>
      <c r="L139" s="257" t="s">
        <v>102</v>
      </c>
      <c r="M139" s="223"/>
      <c r="N139" s="223"/>
      <c r="O139" s="223"/>
      <c r="P139" s="224"/>
      <c r="Q139" s="131"/>
      <c r="R139" s="131" t="s">
        <v>562</v>
      </c>
      <c r="S139" s="131"/>
      <c r="T139" s="131"/>
      <c r="U139" s="131"/>
      <c r="V139" s="257" t="s">
        <v>106</v>
      </c>
      <c r="W139" s="223"/>
      <c r="X139" s="223"/>
      <c r="Y139" s="223"/>
      <c r="Z139" s="224"/>
      <c r="AA139" s="69"/>
      <c r="AB139" s="69"/>
      <c r="AC139" s="69"/>
      <c r="AD139" s="69"/>
      <c r="AE139" s="69"/>
      <c r="AF139" s="122"/>
    </row>
    <row r="140" spans="1:32" ht="12.75" customHeight="1">
      <c r="A140" s="89"/>
      <c r="B140" s="69"/>
      <c r="C140" s="69"/>
      <c r="D140" s="69"/>
      <c r="E140" s="69"/>
      <c r="F140" s="71"/>
      <c r="G140" s="69" t="s">
        <v>563</v>
      </c>
      <c r="H140" s="69"/>
      <c r="I140" s="69"/>
      <c r="J140" s="69"/>
      <c r="K140" s="69"/>
      <c r="L140" s="257" t="s">
        <v>104</v>
      </c>
      <c r="M140" s="223"/>
      <c r="N140" s="223"/>
      <c r="O140" s="223"/>
      <c r="P140" s="224"/>
      <c r="Q140" s="131"/>
      <c r="R140" s="131" t="s">
        <v>417</v>
      </c>
      <c r="S140" s="131"/>
      <c r="T140" s="131"/>
      <c r="U140" s="131"/>
      <c r="V140" s="257" t="s">
        <v>418</v>
      </c>
      <c r="W140" s="223"/>
      <c r="X140" s="223"/>
      <c r="Y140" s="223"/>
      <c r="Z140" s="224"/>
      <c r="AA140" s="69"/>
      <c r="AB140" s="69"/>
      <c r="AC140" s="69"/>
      <c r="AD140" s="69"/>
      <c r="AE140" s="69"/>
      <c r="AF140" s="122"/>
    </row>
    <row r="141" spans="1:32" ht="12.75" customHeight="1">
      <c r="A141" s="89"/>
      <c r="B141" s="69"/>
      <c r="C141" s="69" t="s">
        <v>127</v>
      </c>
      <c r="D141" s="69" t="s">
        <v>564</v>
      </c>
      <c r="E141" s="69"/>
      <c r="F141" s="71" t="s">
        <v>10</v>
      </c>
      <c r="G141" s="108" t="s">
        <v>111</v>
      </c>
      <c r="H141" s="71"/>
      <c r="I141" s="71" t="s">
        <v>565</v>
      </c>
      <c r="J141" s="71"/>
      <c r="K141" s="71"/>
      <c r="L141" s="71" t="s">
        <v>566</v>
      </c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69"/>
      <c r="X141" s="69"/>
      <c r="Y141" s="69"/>
      <c r="Z141" s="69"/>
      <c r="AA141" s="69"/>
      <c r="AB141" s="69"/>
      <c r="AC141" s="69"/>
      <c r="AD141" s="69"/>
      <c r="AE141" s="69"/>
      <c r="AF141" s="122"/>
    </row>
    <row r="142" spans="1:32" ht="12.75" customHeight="1">
      <c r="A142" s="89"/>
      <c r="B142" s="69"/>
      <c r="C142" s="69" t="s">
        <v>130</v>
      </c>
      <c r="D142" s="69" t="s">
        <v>567</v>
      </c>
      <c r="E142" s="69"/>
      <c r="F142" s="71" t="s">
        <v>10</v>
      </c>
      <c r="G142" s="257" t="s">
        <v>568</v>
      </c>
      <c r="H142" s="223"/>
      <c r="I142" s="223"/>
      <c r="J142" s="223"/>
      <c r="K142" s="224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69"/>
      <c r="X142" s="69"/>
      <c r="Y142" s="69"/>
      <c r="Z142" s="69"/>
      <c r="AA142" s="69"/>
      <c r="AB142" s="69"/>
      <c r="AC142" s="69"/>
      <c r="AD142" s="69"/>
      <c r="AE142" s="69"/>
      <c r="AF142" s="122"/>
    </row>
    <row r="143" spans="1:32" ht="12.75" customHeight="1">
      <c r="A143" s="89"/>
      <c r="B143" s="69"/>
      <c r="C143" s="69" t="s">
        <v>134</v>
      </c>
      <c r="D143" s="69" t="s">
        <v>569</v>
      </c>
      <c r="E143" s="69"/>
      <c r="F143" s="71" t="s">
        <v>10</v>
      </c>
      <c r="G143" s="71" t="s">
        <v>570</v>
      </c>
      <c r="H143" s="71"/>
      <c r="I143" s="108">
        <v>1</v>
      </c>
      <c r="J143" s="108">
        <v>4</v>
      </c>
      <c r="K143" s="71"/>
      <c r="L143" s="71" t="s">
        <v>398</v>
      </c>
      <c r="M143" s="71"/>
      <c r="N143" s="108">
        <v>0</v>
      </c>
      <c r="O143" s="108">
        <v>6</v>
      </c>
      <c r="P143" s="71"/>
      <c r="Q143" s="71" t="s">
        <v>560</v>
      </c>
      <c r="R143" s="71"/>
      <c r="S143" s="108">
        <v>2</v>
      </c>
      <c r="T143" s="108">
        <v>0</v>
      </c>
      <c r="U143" s="108">
        <v>0</v>
      </c>
      <c r="V143" s="108">
        <v>9</v>
      </c>
      <c r="W143" s="69"/>
      <c r="X143" s="69"/>
      <c r="Y143" s="69"/>
      <c r="Z143" s="69"/>
      <c r="AA143" s="69"/>
      <c r="AB143" s="69"/>
      <c r="AC143" s="69"/>
      <c r="AD143" s="69"/>
      <c r="AE143" s="69"/>
      <c r="AF143" s="122"/>
    </row>
    <row r="144" spans="1:32" ht="12.75" customHeight="1">
      <c r="A144" s="89"/>
      <c r="B144" s="138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7"/>
    </row>
    <row r="145" spans="1:32" ht="12.75" customHeight="1">
      <c r="A145" s="89"/>
      <c r="B145" s="69"/>
      <c r="C145" s="128" t="s">
        <v>443</v>
      </c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122"/>
    </row>
    <row r="146" spans="1:32" ht="12.75" customHeight="1">
      <c r="A146" s="89"/>
      <c r="B146" s="69"/>
      <c r="C146" s="69" t="s">
        <v>111</v>
      </c>
      <c r="D146" s="69" t="s">
        <v>340</v>
      </c>
      <c r="E146" s="69"/>
      <c r="F146" s="71" t="s">
        <v>10</v>
      </c>
      <c r="G146" s="108">
        <v>3</v>
      </c>
      <c r="H146" s="108">
        <v>3</v>
      </c>
      <c r="I146" s="108">
        <v>2</v>
      </c>
      <c r="J146" s="108">
        <v>7</v>
      </c>
      <c r="K146" s="108">
        <v>0</v>
      </c>
      <c r="L146" s="108">
        <v>4</v>
      </c>
      <c r="M146" s="108">
        <v>0</v>
      </c>
      <c r="N146" s="108">
        <v>2</v>
      </c>
      <c r="O146" s="108">
        <v>0</v>
      </c>
      <c r="P146" s="108">
        <v>8</v>
      </c>
      <c r="Q146" s="108">
        <v>8</v>
      </c>
      <c r="R146" s="108">
        <v>7</v>
      </c>
      <c r="S146" s="108">
        <v>0</v>
      </c>
      <c r="T146" s="108">
        <v>0</v>
      </c>
      <c r="U146" s="108">
        <v>0</v>
      </c>
      <c r="V146" s="108">
        <v>1</v>
      </c>
      <c r="W146" s="108"/>
      <c r="X146" s="71"/>
      <c r="Y146" s="71"/>
      <c r="Z146" s="71"/>
      <c r="AA146" s="71"/>
      <c r="AB146" s="71"/>
      <c r="AC146" s="71"/>
      <c r="AD146" s="71"/>
      <c r="AE146" s="71"/>
      <c r="AF146" s="122"/>
    </row>
    <row r="147" spans="1:32" ht="12.75" customHeight="1">
      <c r="A147" s="89"/>
      <c r="B147" s="69"/>
      <c r="C147" s="69" t="s">
        <v>115</v>
      </c>
      <c r="D147" s="69" t="s">
        <v>391</v>
      </c>
      <c r="E147" s="69"/>
      <c r="F147" s="71" t="s">
        <v>10</v>
      </c>
      <c r="G147" s="108" t="s">
        <v>485</v>
      </c>
      <c r="H147" s="108" t="s">
        <v>464</v>
      </c>
      <c r="I147" s="108" t="s">
        <v>484</v>
      </c>
      <c r="J147" s="108" t="s">
        <v>477</v>
      </c>
      <c r="K147" s="108" t="s">
        <v>468</v>
      </c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22"/>
    </row>
    <row r="148" spans="1:32" ht="12.75" customHeight="1">
      <c r="A148" s="89"/>
      <c r="B148" s="69"/>
      <c r="C148" s="69" t="s">
        <v>118</v>
      </c>
      <c r="D148" s="69" t="s">
        <v>559</v>
      </c>
      <c r="E148" s="69"/>
      <c r="F148" s="71" t="s">
        <v>10</v>
      </c>
      <c r="G148" s="71" t="s">
        <v>397</v>
      </c>
      <c r="H148" s="129">
        <v>0</v>
      </c>
      <c r="I148" s="108">
        <v>2</v>
      </c>
      <c r="J148" s="71"/>
      <c r="K148" s="71" t="s">
        <v>398</v>
      </c>
      <c r="L148" s="108">
        <v>0</v>
      </c>
      <c r="M148" s="108">
        <v>8</v>
      </c>
      <c r="N148" s="71"/>
      <c r="O148" s="71" t="s">
        <v>560</v>
      </c>
      <c r="P148" s="108">
        <v>1</v>
      </c>
      <c r="Q148" s="108">
        <v>9</v>
      </c>
      <c r="R148" s="108">
        <v>8</v>
      </c>
      <c r="S148" s="108">
        <v>7</v>
      </c>
      <c r="T148" s="71"/>
      <c r="U148" s="71" t="s">
        <v>359</v>
      </c>
      <c r="V148" s="71"/>
      <c r="W148" s="108">
        <v>3</v>
      </c>
      <c r="X148" s="108">
        <v>1</v>
      </c>
      <c r="Y148" s="108"/>
      <c r="Z148" s="71"/>
      <c r="AA148" s="71"/>
      <c r="AB148" s="71"/>
      <c r="AC148" s="71"/>
      <c r="AD148" s="71"/>
      <c r="AE148" s="71"/>
      <c r="AF148" s="122"/>
    </row>
    <row r="149" spans="1:32" ht="12.75" customHeight="1">
      <c r="A149" s="89"/>
      <c r="B149" s="69"/>
      <c r="C149" s="69" t="s">
        <v>121</v>
      </c>
      <c r="D149" s="69" t="s">
        <v>128</v>
      </c>
      <c r="E149" s="69"/>
      <c r="F149" s="71" t="s">
        <v>10</v>
      </c>
      <c r="G149" s="108">
        <v>2</v>
      </c>
      <c r="H149" s="108">
        <v>0</v>
      </c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122"/>
    </row>
    <row r="150" spans="1:32" ht="12.75" customHeight="1">
      <c r="A150" s="89"/>
      <c r="B150" s="69"/>
      <c r="C150" s="69" t="s">
        <v>124</v>
      </c>
      <c r="D150" s="69" t="s">
        <v>345</v>
      </c>
      <c r="E150" s="69"/>
      <c r="F150" s="71" t="s">
        <v>10</v>
      </c>
      <c r="G150" s="230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  <c r="AF150" s="122"/>
    </row>
    <row r="151" spans="1:32" ht="12.75" customHeight="1">
      <c r="A151" s="89"/>
      <c r="B151" s="69"/>
      <c r="C151" s="69"/>
      <c r="D151" s="69"/>
      <c r="E151" s="69"/>
      <c r="F151" s="71"/>
      <c r="G151" s="69" t="s">
        <v>561</v>
      </c>
      <c r="H151" s="69"/>
      <c r="I151" s="69"/>
      <c r="J151" s="69"/>
      <c r="K151" s="69"/>
      <c r="L151" s="257" t="s">
        <v>102</v>
      </c>
      <c r="M151" s="223"/>
      <c r="N151" s="223"/>
      <c r="O151" s="223"/>
      <c r="P151" s="224"/>
      <c r="Q151" s="131"/>
      <c r="R151" s="131" t="s">
        <v>562</v>
      </c>
      <c r="S151" s="131"/>
      <c r="T151" s="131"/>
      <c r="U151" s="131"/>
      <c r="V151" s="257" t="s">
        <v>106</v>
      </c>
      <c r="W151" s="223"/>
      <c r="X151" s="223"/>
      <c r="Y151" s="223"/>
      <c r="Z151" s="224"/>
      <c r="AA151" s="69"/>
      <c r="AB151" s="69"/>
      <c r="AC151" s="69"/>
      <c r="AD151" s="69"/>
      <c r="AE151" s="69"/>
      <c r="AF151" s="122"/>
    </row>
    <row r="152" spans="1:32" ht="12.75" customHeight="1">
      <c r="A152" s="89"/>
      <c r="B152" s="69"/>
      <c r="C152" s="69"/>
      <c r="D152" s="69"/>
      <c r="E152" s="69"/>
      <c r="F152" s="71"/>
      <c r="G152" s="69" t="s">
        <v>563</v>
      </c>
      <c r="H152" s="69"/>
      <c r="I152" s="69"/>
      <c r="J152" s="69"/>
      <c r="K152" s="69"/>
      <c r="L152" s="257" t="s">
        <v>104</v>
      </c>
      <c r="M152" s="223"/>
      <c r="N152" s="223"/>
      <c r="O152" s="223"/>
      <c r="P152" s="224"/>
      <c r="Q152" s="131"/>
      <c r="R152" s="131" t="s">
        <v>417</v>
      </c>
      <c r="S152" s="131"/>
      <c r="T152" s="131"/>
      <c r="U152" s="131"/>
      <c r="V152" s="257" t="s">
        <v>418</v>
      </c>
      <c r="W152" s="223"/>
      <c r="X152" s="223"/>
      <c r="Y152" s="223"/>
      <c r="Z152" s="224"/>
      <c r="AA152" s="69"/>
      <c r="AB152" s="69"/>
      <c r="AC152" s="69"/>
      <c r="AD152" s="69"/>
      <c r="AE152" s="69"/>
      <c r="AF152" s="122"/>
    </row>
    <row r="153" spans="1:32" ht="12.75" customHeight="1">
      <c r="A153" s="89"/>
      <c r="B153" s="69"/>
      <c r="C153" s="69" t="s">
        <v>127</v>
      </c>
      <c r="D153" s="69" t="s">
        <v>564</v>
      </c>
      <c r="E153" s="69"/>
      <c r="F153" s="71" t="s">
        <v>10</v>
      </c>
      <c r="G153" s="108" t="s">
        <v>111</v>
      </c>
      <c r="H153" s="71"/>
      <c r="I153" s="71" t="s">
        <v>565</v>
      </c>
      <c r="J153" s="71"/>
      <c r="K153" s="71"/>
      <c r="L153" s="71" t="s">
        <v>566</v>
      </c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69"/>
      <c r="X153" s="69"/>
      <c r="Y153" s="69"/>
      <c r="Z153" s="69"/>
      <c r="AA153" s="69"/>
      <c r="AB153" s="69"/>
      <c r="AC153" s="69"/>
      <c r="AD153" s="69"/>
      <c r="AE153" s="69"/>
      <c r="AF153" s="122"/>
    </row>
    <row r="154" spans="1:32" ht="12.75" customHeight="1">
      <c r="A154" s="89"/>
      <c r="B154" s="69"/>
      <c r="C154" s="69" t="s">
        <v>130</v>
      </c>
      <c r="D154" s="69" t="s">
        <v>567</v>
      </c>
      <c r="E154" s="69"/>
      <c r="F154" s="71" t="s">
        <v>10</v>
      </c>
      <c r="G154" s="257" t="s">
        <v>568</v>
      </c>
      <c r="H154" s="223"/>
      <c r="I154" s="223"/>
      <c r="J154" s="223"/>
      <c r="K154" s="224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69"/>
      <c r="X154" s="69"/>
      <c r="Y154" s="69"/>
      <c r="Z154" s="69"/>
      <c r="AA154" s="69"/>
      <c r="AB154" s="69"/>
      <c r="AC154" s="69"/>
      <c r="AD154" s="69"/>
      <c r="AE154" s="69"/>
      <c r="AF154" s="122"/>
    </row>
    <row r="155" spans="1:32" ht="12.75" customHeight="1">
      <c r="A155" s="89"/>
      <c r="B155" s="138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7"/>
    </row>
    <row r="156" spans="1:32" ht="12.75" customHeight="1">
      <c r="A156" s="89"/>
      <c r="B156" s="69"/>
      <c r="C156" s="128" t="s">
        <v>455</v>
      </c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122"/>
    </row>
    <row r="157" spans="1:32" ht="12.75" customHeight="1">
      <c r="A157" s="89"/>
      <c r="B157" s="69"/>
      <c r="C157" s="69" t="s">
        <v>111</v>
      </c>
      <c r="D157" s="69" t="s">
        <v>340</v>
      </c>
      <c r="E157" s="69"/>
      <c r="F157" s="71" t="s">
        <v>10</v>
      </c>
      <c r="G157" s="108">
        <v>3</v>
      </c>
      <c r="H157" s="108">
        <v>3</v>
      </c>
      <c r="I157" s="108">
        <v>2</v>
      </c>
      <c r="J157" s="108">
        <v>7</v>
      </c>
      <c r="K157" s="108">
        <v>0</v>
      </c>
      <c r="L157" s="108">
        <v>4</v>
      </c>
      <c r="M157" s="108">
        <v>0</v>
      </c>
      <c r="N157" s="108">
        <v>2</v>
      </c>
      <c r="O157" s="108">
        <v>0</v>
      </c>
      <c r="P157" s="108">
        <v>8</v>
      </c>
      <c r="Q157" s="108">
        <v>8</v>
      </c>
      <c r="R157" s="108">
        <v>7</v>
      </c>
      <c r="S157" s="108">
        <v>0</v>
      </c>
      <c r="T157" s="108">
        <v>0</v>
      </c>
      <c r="U157" s="108">
        <v>0</v>
      </c>
      <c r="V157" s="108">
        <v>1</v>
      </c>
      <c r="W157" s="108"/>
      <c r="X157" s="69"/>
      <c r="Y157" s="69"/>
      <c r="Z157" s="69"/>
      <c r="AA157" s="69"/>
      <c r="AB157" s="69"/>
      <c r="AC157" s="69"/>
      <c r="AD157" s="69"/>
      <c r="AE157" s="69"/>
      <c r="AF157" s="122"/>
    </row>
    <row r="158" spans="1:32" ht="12.75" customHeight="1">
      <c r="A158" s="89"/>
      <c r="B158" s="69"/>
      <c r="C158" s="69" t="s">
        <v>115</v>
      </c>
      <c r="D158" s="69" t="s">
        <v>391</v>
      </c>
      <c r="E158" s="69"/>
      <c r="F158" s="71" t="s">
        <v>10</v>
      </c>
      <c r="G158" s="108" t="s">
        <v>485</v>
      </c>
      <c r="H158" s="108" t="s">
        <v>464</v>
      </c>
      <c r="I158" s="108" t="s">
        <v>484</v>
      </c>
      <c r="J158" s="108" t="s">
        <v>477</v>
      </c>
      <c r="K158" s="108" t="s">
        <v>468</v>
      </c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9"/>
      <c r="Y158" s="109"/>
      <c r="Z158" s="109"/>
      <c r="AA158" s="109"/>
      <c r="AB158" s="109"/>
      <c r="AC158" s="109"/>
      <c r="AD158" s="109"/>
      <c r="AE158" s="109"/>
      <c r="AF158" s="122"/>
    </row>
    <row r="159" spans="1:32" ht="12.75" customHeight="1">
      <c r="A159" s="89"/>
      <c r="B159" s="69"/>
      <c r="C159" s="69" t="s">
        <v>118</v>
      </c>
      <c r="D159" s="69" t="s">
        <v>359</v>
      </c>
      <c r="E159" s="69"/>
      <c r="F159" s="71" t="s">
        <v>10</v>
      </c>
      <c r="G159" s="108">
        <v>3</v>
      </c>
      <c r="H159" s="108">
        <v>8</v>
      </c>
      <c r="I159" s="69"/>
      <c r="J159" s="69" t="s">
        <v>399</v>
      </c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122"/>
    </row>
    <row r="160" spans="1:32" ht="12.75" customHeight="1">
      <c r="A160" s="89"/>
      <c r="B160" s="69"/>
      <c r="C160" s="69" t="s">
        <v>121</v>
      </c>
      <c r="D160" s="69" t="s">
        <v>571</v>
      </c>
      <c r="E160" s="69"/>
      <c r="F160" s="71" t="s">
        <v>10</v>
      </c>
      <c r="G160" s="132" t="s">
        <v>111</v>
      </c>
      <c r="H160" s="69" t="s">
        <v>534</v>
      </c>
      <c r="I160" s="69"/>
      <c r="J160" s="69"/>
      <c r="K160" s="69"/>
      <c r="L160" s="69" t="s">
        <v>394</v>
      </c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122"/>
    </row>
    <row r="161" spans="1:32" ht="12.75" customHeight="1">
      <c r="A161" s="89"/>
      <c r="B161" s="69"/>
      <c r="C161" s="69" t="s">
        <v>124</v>
      </c>
      <c r="D161" s="69" t="s">
        <v>128</v>
      </c>
      <c r="E161" s="69"/>
      <c r="F161" s="71" t="s">
        <v>10</v>
      </c>
      <c r="G161" s="108">
        <v>2</v>
      </c>
      <c r="H161" s="108">
        <v>0</v>
      </c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122"/>
    </row>
    <row r="162" spans="1:32" ht="12.75" customHeight="1">
      <c r="A162" s="89"/>
      <c r="B162" s="69"/>
      <c r="C162" s="69" t="s">
        <v>127</v>
      </c>
      <c r="D162" s="69" t="s">
        <v>345</v>
      </c>
      <c r="E162" s="69"/>
      <c r="F162" s="71" t="s">
        <v>10</v>
      </c>
      <c r="G162" s="230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  <c r="AA162" s="194"/>
      <c r="AB162" s="194"/>
      <c r="AC162" s="194"/>
      <c r="AD162" s="194"/>
      <c r="AE162" s="194"/>
      <c r="AF162" s="122"/>
    </row>
    <row r="163" spans="1:32" ht="12.75" customHeight="1">
      <c r="A163" s="89"/>
      <c r="B163" s="69"/>
      <c r="C163" s="69"/>
      <c r="D163" s="69"/>
      <c r="E163" s="69"/>
      <c r="F163" s="69"/>
      <c r="G163" s="69" t="s">
        <v>561</v>
      </c>
      <c r="H163" s="69"/>
      <c r="I163" s="69"/>
      <c r="J163" s="69"/>
      <c r="K163" s="69"/>
      <c r="L163" s="257" t="s">
        <v>102</v>
      </c>
      <c r="M163" s="223"/>
      <c r="N163" s="223"/>
      <c r="O163" s="223"/>
      <c r="P163" s="224"/>
      <c r="Q163" s="131"/>
      <c r="R163" s="131" t="s">
        <v>562</v>
      </c>
      <c r="S163" s="131"/>
      <c r="T163" s="131"/>
      <c r="U163" s="131"/>
      <c r="V163" s="257" t="s">
        <v>106</v>
      </c>
      <c r="W163" s="223"/>
      <c r="X163" s="223"/>
      <c r="Y163" s="223"/>
      <c r="Z163" s="224"/>
      <c r="AA163" s="69"/>
      <c r="AB163" s="69"/>
      <c r="AC163" s="69"/>
      <c r="AD163" s="69"/>
      <c r="AE163" s="69"/>
      <c r="AF163" s="122"/>
    </row>
    <row r="164" spans="1:32" ht="12.75" customHeight="1">
      <c r="A164" s="89"/>
      <c r="B164" s="69"/>
      <c r="C164" s="69"/>
      <c r="D164" s="69"/>
      <c r="E164" s="69"/>
      <c r="F164" s="69"/>
      <c r="G164" s="69" t="s">
        <v>563</v>
      </c>
      <c r="H164" s="69"/>
      <c r="I164" s="69"/>
      <c r="J164" s="69"/>
      <c r="K164" s="69"/>
      <c r="L164" s="257" t="s">
        <v>104</v>
      </c>
      <c r="M164" s="223"/>
      <c r="N164" s="223"/>
      <c r="O164" s="223"/>
      <c r="P164" s="224"/>
      <c r="Q164" s="131"/>
      <c r="R164" s="131" t="s">
        <v>417</v>
      </c>
      <c r="S164" s="131"/>
      <c r="T164" s="131"/>
      <c r="U164" s="131"/>
      <c r="V164" s="257" t="s">
        <v>418</v>
      </c>
      <c r="W164" s="223"/>
      <c r="X164" s="223"/>
      <c r="Y164" s="223"/>
      <c r="Z164" s="224"/>
      <c r="AA164" s="69"/>
      <c r="AB164" s="69"/>
      <c r="AC164" s="69"/>
      <c r="AD164" s="69"/>
      <c r="AE164" s="69"/>
      <c r="AF164" s="122"/>
    </row>
    <row r="165" spans="1:32" ht="12.75" customHeight="1">
      <c r="A165" s="89"/>
      <c r="B165" s="138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7"/>
    </row>
    <row r="166" spans="1:32" ht="12.75" customHeight="1">
      <c r="A166" s="89"/>
      <c r="B166" s="69"/>
      <c r="C166" s="128" t="s">
        <v>572</v>
      </c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122"/>
    </row>
    <row r="167" spans="1:32" ht="12.75" customHeight="1">
      <c r="A167" s="89"/>
      <c r="B167" s="69"/>
      <c r="C167" s="69" t="s">
        <v>111</v>
      </c>
      <c r="D167" s="69" t="s">
        <v>340</v>
      </c>
      <c r="E167" s="69"/>
      <c r="F167" s="71" t="s">
        <v>10</v>
      </c>
      <c r="G167" s="108">
        <v>3</v>
      </c>
      <c r="H167" s="108">
        <v>3</v>
      </c>
      <c r="I167" s="108">
        <v>2</v>
      </c>
      <c r="J167" s="108">
        <v>7</v>
      </c>
      <c r="K167" s="108">
        <v>0</v>
      </c>
      <c r="L167" s="108">
        <v>4</v>
      </c>
      <c r="M167" s="108">
        <v>0</v>
      </c>
      <c r="N167" s="108">
        <v>3</v>
      </c>
      <c r="O167" s="108">
        <v>1</v>
      </c>
      <c r="P167" s="108">
        <v>1</v>
      </c>
      <c r="Q167" s="108">
        <v>4</v>
      </c>
      <c r="R167" s="108">
        <v>7</v>
      </c>
      <c r="S167" s="108">
        <v>0</v>
      </c>
      <c r="T167" s="108">
        <v>0</v>
      </c>
      <c r="U167" s="108">
        <v>0</v>
      </c>
      <c r="V167" s="108">
        <v>1</v>
      </c>
      <c r="W167" s="109"/>
      <c r="X167" s="69"/>
      <c r="Y167" s="69"/>
      <c r="Z167" s="69"/>
      <c r="AA167" s="69"/>
      <c r="AB167" s="69"/>
      <c r="AC167" s="69"/>
      <c r="AD167" s="69"/>
      <c r="AE167" s="69"/>
      <c r="AF167" s="122"/>
    </row>
    <row r="168" spans="1:32" ht="12.75" customHeight="1">
      <c r="A168" s="89"/>
      <c r="B168" s="69"/>
      <c r="C168" s="69" t="s">
        <v>115</v>
      </c>
      <c r="D168" s="69" t="s">
        <v>391</v>
      </c>
      <c r="E168" s="69"/>
      <c r="F168" s="71" t="s">
        <v>10</v>
      </c>
      <c r="G168" s="108" t="s">
        <v>475</v>
      </c>
      <c r="H168" s="108" t="s">
        <v>464</v>
      </c>
      <c r="I168" s="108" t="s">
        <v>466</v>
      </c>
      <c r="J168" s="108" t="s">
        <v>476</v>
      </c>
      <c r="K168" s="108" t="s">
        <v>467</v>
      </c>
      <c r="L168" s="108" t="s">
        <v>487</v>
      </c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22"/>
    </row>
    <row r="169" spans="1:32" ht="12.75" customHeight="1">
      <c r="A169" s="89"/>
      <c r="B169" s="69"/>
      <c r="C169" s="69" t="s">
        <v>118</v>
      </c>
      <c r="D169" s="69" t="s">
        <v>359</v>
      </c>
      <c r="E169" s="69"/>
      <c r="F169" s="71" t="s">
        <v>10</v>
      </c>
      <c r="G169" s="108">
        <v>7</v>
      </c>
      <c r="H169" s="108">
        <v>1</v>
      </c>
      <c r="I169" s="69"/>
      <c r="J169" s="69" t="s">
        <v>399</v>
      </c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122"/>
    </row>
    <row r="170" spans="1:32" ht="12.75" customHeight="1">
      <c r="A170" s="89"/>
      <c r="B170" s="69"/>
      <c r="C170" s="69" t="s">
        <v>121</v>
      </c>
      <c r="D170" s="69" t="s">
        <v>128</v>
      </c>
      <c r="E170" s="69"/>
      <c r="F170" s="71" t="s">
        <v>10</v>
      </c>
      <c r="G170" s="108">
        <v>2</v>
      </c>
      <c r="H170" s="108">
        <v>0</v>
      </c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122"/>
    </row>
    <row r="171" spans="1:32" ht="12.75" customHeight="1">
      <c r="A171" s="89"/>
      <c r="B171" s="69"/>
      <c r="C171" s="69" t="s">
        <v>124</v>
      </c>
      <c r="D171" s="69" t="s">
        <v>345</v>
      </c>
      <c r="E171" s="69"/>
      <c r="F171" s="71" t="s">
        <v>10</v>
      </c>
      <c r="G171" s="230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  <c r="AA171" s="194"/>
      <c r="AB171" s="194"/>
      <c r="AC171" s="194"/>
      <c r="AD171" s="194"/>
      <c r="AE171" s="194"/>
      <c r="AF171" s="122"/>
    </row>
    <row r="172" spans="1:32" ht="12.75" customHeight="1">
      <c r="A172" s="89"/>
      <c r="B172" s="69"/>
      <c r="C172" s="69"/>
      <c r="D172" s="69"/>
      <c r="E172" s="69"/>
      <c r="F172" s="71"/>
      <c r="G172" s="69" t="s">
        <v>561</v>
      </c>
      <c r="H172" s="69"/>
      <c r="I172" s="69"/>
      <c r="J172" s="69"/>
      <c r="K172" s="69"/>
      <c r="L172" s="257" t="s">
        <v>102</v>
      </c>
      <c r="M172" s="223"/>
      <c r="N172" s="223"/>
      <c r="O172" s="223"/>
      <c r="P172" s="224"/>
      <c r="Q172" s="69"/>
      <c r="R172" s="69" t="s">
        <v>562</v>
      </c>
      <c r="S172" s="69"/>
      <c r="T172" s="69"/>
      <c r="U172" s="69"/>
      <c r="V172" s="257" t="s">
        <v>106</v>
      </c>
      <c r="W172" s="223"/>
      <c r="X172" s="223"/>
      <c r="Y172" s="223"/>
      <c r="Z172" s="224"/>
      <c r="AA172" s="69"/>
      <c r="AB172" s="69"/>
      <c r="AC172" s="69"/>
      <c r="AD172" s="69"/>
      <c r="AE172" s="69"/>
      <c r="AF172" s="122"/>
    </row>
    <row r="173" spans="1:32" ht="12.75" customHeight="1">
      <c r="A173" s="89"/>
      <c r="B173" s="69"/>
      <c r="C173" s="69"/>
      <c r="D173" s="69"/>
      <c r="E173" s="69"/>
      <c r="F173" s="69"/>
      <c r="G173" s="69" t="s">
        <v>563</v>
      </c>
      <c r="H173" s="69"/>
      <c r="I173" s="69"/>
      <c r="J173" s="69"/>
      <c r="K173" s="69"/>
      <c r="L173" s="257" t="s">
        <v>104</v>
      </c>
      <c r="M173" s="223"/>
      <c r="N173" s="223"/>
      <c r="O173" s="223"/>
      <c r="P173" s="224"/>
      <c r="Q173" s="69"/>
      <c r="R173" s="69" t="s">
        <v>417</v>
      </c>
      <c r="S173" s="69"/>
      <c r="T173" s="69"/>
      <c r="U173" s="69"/>
      <c r="V173" s="257" t="s">
        <v>418</v>
      </c>
      <c r="W173" s="223"/>
      <c r="X173" s="223"/>
      <c r="Y173" s="223"/>
      <c r="Z173" s="224"/>
      <c r="AA173" s="69"/>
      <c r="AB173" s="69"/>
      <c r="AC173" s="69"/>
      <c r="AD173" s="69"/>
      <c r="AE173" s="69"/>
      <c r="AF173" s="122"/>
    </row>
    <row r="174" spans="1:32" ht="12.75" customHeight="1">
      <c r="A174" s="89"/>
      <c r="B174" s="138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  <c r="AF174" s="127"/>
    </row>
    <row r="175" spans="1:32" ht="12.75" customHeight="1">
      <c r="A175" s="89"/>
      <c r="B175" s="69"/>
      <c r="C175" s="128" t="s">
        <v>472</v>
      </c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122"/>
    </row>
    <row r="176" spans="1:32" ht="12.75" customHeight="1">
      <c r="A176" s="89"/>
      <c r="B176" s="69"/>
      <c r="C176" s="69" t="s">
        <v>111</v>
      </c>
      <c r="D176" s="69" t="s">
        <v>340</v>
      </c>
      <c r="E176" s="69"/>
      <c r="F176" s="71" t="s">
        <v>10</v>
      </c>
      <c r="G176" s="108">
        <v>3</v>
      </c>
      <c r="H176" s="108">
        <v>3</v>
      </c>
      <c r="I176" s="108">
        <v>2</v>
      </c>
      <c r="J176" s="108">
        <v>7</v>
      </c>
      <c r="K176" s="108">
        <v>0</v>
      </c>
      <c r="L176" s="108">
        <v>4</v>
      </c>
      <c r="M176" s="108">
        <v>2</v>
      </c>
      <c r="N176" s="108">
        <v>7</v>
      </c>
      <c r="O176" s="108">
        <v>1</v>
      </c>
      <c r="P176" s="108">
        <v>2</v>
      </c>
      <c r="Q176" s="108">
        <v>6</v>
      </c>
      <c r="R176" s="108">
        <v>6</v>
      </c>
      <c r="S176" s="108">
        <v>0</v>
      </c>
      <c r="T176" s="108">
        <v>0</v>
      </c>
      <c r="U176" s="108">
        <v>0</v>
      </c>
      <c r="V176" s="108">
        <v>1</v>
      </c>
      <c r="W176" s="108"/>
      <c r="X176" s="69"/>
      <c r="Y176" s="69"/>
      <c r="Z176" s="69"/>
      <c r="AA176" s="69"/>
      <c r="AB176" s="69"/>
      <c r="AC176" s="69"/>
      <c r="AD176" s="69"/>
      <c r="AE176" s="69"/>
      <c r="AF176" s="122"/>
    </row>
    <row r="177" spans="1:32" ht="12.75" customHeight="1">
      <c r="A177" s="89"/>
      <c r="B177" s="69"/>
      <c r="C177" s="69" t="s">
        <v>115</v>
      </c>
      <c r="D177" s="69" t="s">
        <v>391</v>
      </c>
      <c r="E177" s="69"/>
      <c r="F177" s="71" t="s">
        <v>10</v>
      </c>
      <c r="G177" s="108" t="s">
        <v>466</v>
      </c>
      <c r="H177" s="108" t="s">
        <v>477</v>
      </c>
      <c r="I177" s="108" t="s">
        <v>487</v>
      </c>
      <c r="J177" s="108" t="s">
        <v>467</v>
      </c>
      <c r="K177" s="108" t="s">
        <v>468</v>
      </c>
      <c r="L177" s="108"/>
      <c r="M177" s="108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22"/>
    </row>
    <row r="178" spans="1:32" ht="12.75" customHeight="1">
      <c r="A178" s="89"/>
      <c r="B178" s="69"/>
      <c r="C178" s="69" t="s">
        <v>118</v>
      </c>
      <c r="D178" s="69" t="s">
        <v>359</v>
      </c>
      <c r="E178" s="69"/>
      <c r="F178" s="71" t="s">
        <v>10</v>
      </c>
      <c r="G178" s="108">
        <v>5</v>
      </c>
      <c r="H178" s="108">
        <v>2</v>
      </c>
      <c r="I178" s="69"/>
      <c r="J178" s="69" t="s">
        <v>399</v>
      </c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122"/>
    </row>
    <row r="179" spans="1:32" ht="12.75" customHeight="1">
      <c r="A179" s="89"/>
      <c r="B179" s="69"/>
      <c r="C179" s="69" t="s">
        <v>121</v>
      </c>
      <c r="D179" s="69" t="s">
        <v>128</v>
      </c>
      <c r="E179" s="69"/>
      <c r="F179" s="71" t="s">
        <v>10</v>
      </c>
      <c r="G179" s="108">
        <v>2</v>
      </c>
      <c r="H179" s="108">
        <v>0</v>
      </c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122"/>
    </row>
    <row r="180" spans="1:32" ht="12.75" customHeight="1">
      <c r="A180" s="89"/>
      <c r="B180" s="69"/>
      <c r="C180" s="69" t="s">
        <v>124</v>
      </c>
      <c r="D180" s="69" t="s">
        <v>345</v>
      </c>
      <c r="E180" s="69"/>
      <c r="F180" s="71" t="s">
        <v>10</v>
      </c>
      <c r="G180" s="230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  <c r="AA180" s="194"/>
      <c r="AB180" s="194"/>
      <c r="AC180" s="194"/>
      <c r="AD180" s="194"/>
      <c r="AE180" s="194"/>
      <c r="AF180" s="122"/>
    </row>
    <row r="181" spans="1:32" ht="12.75" customHeight="1">
      <c r="A181" s="89"/>
      <c r="B181" s="69"/>
      <c r="C181" s="69"/>
      <c r="D181" s="69"/>
      <c r="E181" s="69"/>
      <c r="F181" s="69"/>
      <c r="G181" s="69" t="s">
        <v>561</v>
      </c>
      <c r="H181" s="69"/>
      <c r="I181" s="69"/>
      <c r="J181" s="69"/>
      <c r="K181" s="69"/>
      <c r="L181" s="257" t="s">
        <v>102</v>
      </c>
      <c r="M181" s="223"/>
      <c r="N181" s="223"/>
      <c r="O181" s="223"/>
      <c r="P181" s="224"/>
      <c r="Q181" s="69"/>
      <c r="R181" s="69" t="s">
        <v>562</v>
      </c>
      <c r="S181" s="69"/>
      <c r="T181" s="69"/>
      <c r="U181" s="69"/>
      <c r="V181" s="257" t="s">
        <v>106</v>
      </c>
      <c r="W181" s="223"/>
      <c r="X181" s="223"/>
      <c r="Y181" s="223"/>
      <c r="Z181" s="224"/>
      <c r="AA181" s="69"/>
      <c r="AB181" s="69"/>
      <c r="AC181" s="69"/>
      <c r="AD181" s="69"/>
      <c r="AE181" s="69"/>
      <c r="AF181" s="122"/>
    </row>
    <row r="182" spans="1:32" ht="12.75" customHeight="1">
      <c r="A182" s="89"/>
      <c r="B182" s="69"/>
      <c r="C182" s="69"/>
      <c r="D182" s="69"/>
      <c r="E182" s="69"/>
      <c r="F182" s="69"/>
      <c r="G182" s="69" t="s">
        <v>563</v>
      </c>
      <c r="H182" s="69"/>
      <c r="I182" s="69"/>
      <c r="J182" s="69"/>
      <c r="K182" s="69"/>
      <c r="L182" s="257" t="s">
        <v>104</v>
      </c>
      <c r="M182" s="223"/>
      <c r="N182" s="223"/>
      <c r="O182" s="223"/>
      <c r="P182" s="224"/>
      <c r="Q182" s="69"/>
      <c r="R182" s="69" t="s">
        <v>417</v>
      </c>
      <c r="S182" s="69"/>
      <c r="T182" s="69"/>
      <c r="U182" s="69"/>
      <c r="V182" s="257" t="s">
        <v>418</v>
      </c>
      <c r="W182" s="223"/>
      <c r="X182" s="223"/>
      <c r="Y182" s="223"/>
      <c r="Z182" s="224"/>
      <c r="AA182" s="69"/>
      <c r="AB182" s="69"/>
      <c r="AC182" s="69"/>
      <c r="AD182" s="69"/>
      <c r="AE182" s="69"/>
      <c r="AF182" s="122"/>
    </row>
    <row r="183" spans="1:32" ht="12.75" customHeight="1">
      <c r="A183" s="89"/>
      <c r="B183" s="138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7"/>
    </row>
    <row r="184" spans="1:32" ht="12.75" customHeight="1"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</row>
    <row r="185" spans="1:32" ht="12.75" customHeight="1"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 t="s">
        <v>766</v>
      </c>
      <c r="X185" s="69"/>
      <c r="Y185" s="69"/>
      <c r="Z185" s="69"/>
      <c r="AA185" s="69"/>
      <c r="AB185" s="69"/>
      <c r="AC185" s="69"/>
      <c r="AD185" s="69"/>
      <c r="AE185" s="69"/>
      <c r="AF185" s="69"/>
    </row>
    <row r="186" spans="1:32" ht="12.75" customHeight="1"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</row>
    <row r="187" spans="1:32" ht="12.75" customHeight="1">
      <c r="B187" s="69"/>
      <c r="C187" s="69"/>
      <c r="D187" s="69"/>
      <c r="E187" s="69"/>
      <c r="F187" s="69"/>
      <c r="G187" s="69" t="s">
        <v>588</v>
      </c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 t="s">
        <v>481</v>
      </c>
      <c r="X187" s="69"/>
      <c r="Y187" s="69"/>
      <c r="Z187" s="69"/>
      <c r="AA187" s="69"/>
      <c r="AB187" s="69"/>
      <c r="AC187" s="69"/>
      <c r="AD187" s="69"/>
      <c r="AE187" s="69"/>
      <c r="AF187" s="69"/>
    </row>
    <row r="188" spans="1:32" ht="12.75" customHeight="1">
      <c r="B188" s="69"/>
      <c r="C188" s="69"/>
      <c r="D188" s="69"/>
      <c r="E188" s="69"/>
      <c r="F188" s="69" t="s">
        <v>597</v>
      </c>
      <c r="G188" s="69" t="s">
        <v>274</v>
      </c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</row>
    <row r="189" spans="1:32" ht="12.75" customHeight="1">
      <c r="B189" s="69"/>
      <c r="C189" s="69"/>
      <c r="D189" s="69"/>
      <c r="E189" s="69"/>
      <c r="F189" s="69"/>
      <c r="G189" s="69" t="s">
        <v>598</v>
      </c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</row>
    <row r="190" spans="1:32" ht="12.75" customHeight="1"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</row>
    <row r="191" spans="1:32" ht="12.75" customHeight="1"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</row>
    <row r="192" spans="1:32" ht="12.75" customHeight="1"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</row>
    <row r="193" spans="2:32" ht="12.75" customHeight="1">
      <c r="B193" s="69"/>
      <c r="C193" s="69"/>
      <c r="D193" s="69"/>
      <c r="E193" s="69"/>
      <c r="F193" s="69"/>
      <c r="G193" s="69" t="s">
        <v>366</v>
      </c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 t="s">
        <v>767</v>
      </c>
      <c r="X193" s="69"/>
      <c r="Y193" s="69"/>
      <c r="Z193" s="69"/>
      <c r="AA193" s="69"/>
      <c r="AB193" s="69"/>
      <c r="AC193" s="69"/>
      <c r="AD193" s="69"/>
      <c r="AE193" s="69"/>
      <c r="AF193" s="69"/>
    </row>
    <row r="194" spans="2:32" ht="12.75" customHeight="1"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</row>
    <row r="195" spans="2:32" ht="12.75" customHeight="1"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</row>
    <row r="196" spans="2:32" ht="12.75" customHeight="1"/>
    <row r="197" spans="2:32" ht="12.75" customHeight="1"/>
    <row r="198" spans="2:32" ht="12.75" customHeight="1"/>
    <row r="199" spans="2:32" ht="12.75" customHeight="1"/>
    <row r="200" spans="2:32" ht="12.75" customHeight="1"/>
    <row r="201" spans="2:32" ht="12.75" customHeight="1"/>
    <row r="202" spans="2:32" ht="12.75" customHeight="1"/>
    <row r="203" spans="2:32" ht="12.75" customHeight="1"/>
    <row r="204" spans="2:32" ht="12.75" customHeight="1"/>
    <row r="205" spans="2:32" ht="12.75" customHeight="1"/>
    <row r="206" spans="2:32" ht="12.75" customHeight="1"/>
    <row r="207" spans="2:32" ht="12.75" customHeight="1"/>
    <row r="208" spans="2:32" ht="12.75" customHeight="1"/>
    <row r="209" spans="1:32" ht="12.75" customHeight="1">
      <c r="E209" s="69"/>
      <c r="Z209" s="139" t="s">
        <v>529</v>
      </c>
      <c r="AA209" s="139"/>
      <c r="AB209" s="139"/>
      <c r="AC209" s="139"/>
    </row>
    <row r="210" spans="1:32" ht="12.75" customHeight="1">
      <c r="B210" s="69"/>
      <c r="C210" s="69" t="s">
        <v>332</v>
      </c>
      <c r="D210" s="69"/>
      <c r="E210" s="69"/>
      <c r="F210" s="71" t="s">
        <v>10</v>
      </c>
      <c r="G210" s="69" t="s">
        <v>102</v>
      </c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 t="s">
        <v>530</v>
      </c>
      <c r="W210" s="69" t="s">
        <v>372</v>
      </c>
      <c r="X210" s="69"/>
      <c r="Y210" s="69" t="s">
        <v>10</v>
      </c>
      <c r="Z210" s="69" t="s">
        <v>373</v>
      </c>
      <c r="AA210" s="69"/>
      <c r="AB210" s="69"/>
      <c r="AC210" s="69"/>
      <c r="AD210" s="69"/>
      <c r="AE210" s="69"/>
      <c r="AF210" s="69"/>
    </row>
    <row r="211" spans="1:32" ht="12.75" customHeight="1">
      <c r="B211" s="69"/>
      <c r="C211" s="69" t="s">
        <v>331</v>
      </c>
      <c r="D211" s="69"/>
      <c r="E211" s="69"/>
      <c r="F211" s="71" t="s">
        <v>10</v>
      </c>
      <c r="G211" s="69" t="s">
        <v>104</v>
      </c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 t="s">
        <v>375</v>
      </c>
      <c r="X211" s="69"/>
      <c r="Y211" s="69" t="s">
        <v>10</v>
      </c>
      <c r="Z211" s="69" t="s">
        <v>332</v>
      </c>
      <c r="AA211" s="69"/>
      <c r="AB211" s="69"/>
      <c r="AC211" s="69"/>
      <c r="AD211" s="69"/>
      <c r="AE211" s="69"/>
      <c r="AF211" s="69"/>
    </row>
    <row r="212" spans="1:32" ht="12.75" customHeight="1">
      <c r="B212" s="69"/>
      <c r="C212" s="69" t="s">
        <v>330</v>
      </c>
      <c r="D212" s="69"/>
      <c r="E212" s="69"/>
      <c r="F212" s="71" t="s">
        <v>10</v>
      </c>
      <c r="G212" s="69" t="s">
        <v>106</v>
      </c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 t="s">
        <v>379</v>
      </c>
      <c r="X212" s="69"/>
      <c r="Y212" s="69" t="s">
        <v>10</v>
      </c>
      <c r="Z212" s="69" t="s">
        <v>331</v>
      </c>
      <c r="AA212" s="69"/>
      <c r="AB212" s="69"/>
      <c r="AC212" s="69"/>
      <c r="AD212" s="69"/>
      <c r="AE212" s="69"/>
      <c r="AF212" s="69"/>
    </row>
    <row r="213" spans="1:32" ht="12.75" customHeight="1">
      <c r="B213" s="69"/>
      <c r="C213" s="69"/>
      <c r="D213" s="69"/>
      <c r="E213" s="69"/>
      <c r="F213" s="71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</row>
    <row r="214" spans="1:32" ht="12.75" customHeight="1">
      <c r="B214" s="69"/>
      <c r="C214" s="69" t="s">
        <v>381</v>
      </c>
      <c r="D214" s="69"/>
      <c r="E214" s="69"/>
      <c r="F214" s="71" t="s">
        <v>10</v>
      </c>
      <c r="G214" s="108">
        <v>3</v>
      </c>
      <c r="H214" s="108">
        <v>3</v>
      </c>
      <c r="I214" s="108">
        <v>2</v>
      </c>
      <c r="J214" s="108">
        <v>7</v>
      </c>
      <c r="K214" s="108">
        <v>0</v>
      </c>
      <c r="L214" s="108">
        <v>4</v>
      </c>
      <c r="M214" s="108">
        <v>0</v>
      </c>
      <c r="N214" s="108">
        <v>1</v>
      </c>
      <c r="O214" s="108">
        <v>1</v>
      </c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</row>
    <row r="215" spans="1:32" ht="12.75" customHeight="1">
      <c r="B215" s="69"/>
      <c r="C215" s="69"/>
      <c r="D215" s="69"/>
      <c r="E215" s="69"/>
      <c r="F215" s="71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</row>
    <row r="216" spans="1:32" ht="12.75" customHeight="1"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</row>
    <row r="217" spans="1:32" ht="12.75" customHeight="1">
      <c r="B217" s="69"/>
      <c r="C217" s="1" t="s">
        <v>531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2.75" customHeight="1"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</row>
    <row r="219" spans="1:32" ht="12.75" customHeight="1">
      <c r="B219" s="69"/>
      <c r="C219" s="69" t="s">
        <v>385</v>
      </c>
      <c r="D219" s="69"/>
      <c r="E219" s="69"/>
      <c r="F219" s="71" t="s">
        <v>10</v>
      </c>
      <c r="G219" s="108" t="s">
        <v>484</v>
      </c>
      <c r="H219" s="108" t="s">
        <v>464</v>
      </c>
      <c r="I219" s="108" t="s">
        <v>475</v>
      </c>
      <c r="J219" s="108" t="s">
        <v>469</v>
      </c>
      <c r="K219" s="108" t="s">
        <v>468</v>
      </c>
      <c r="L219" s="108" t="s">
        <v>469</v>
      </c>
      <c r="M219" s="108" t="s">
        <v>485</v>
      </c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  <c r="AF219" s="69"/>
    </row>
    <row r="220" spans="1:32" ht="12.75" customHeight="1">
      <c r="B220" s="69"/>
      <c r="C220" s="69" t="s">
        <v>387</v>
      </c>
      <c r="D220" s="69"/>
      <c r="E220" s="69"/>
      <c r="F220" s="71" t="s">
        <v>10</v>
      </c>
      <c r="G220" s="108">
        <v>3</v>
      </c>
      <c r="H220" s="108">
        <v>3</v>
      </c>
      <c r="I220" s="108">
        <v>2</v>
      </c>
      <c r="J220" s="108">
        <v>7</v>
      </c>
      <c r="K220" s="108">
        <v>0</v>
      </c>
      <c r="L220" s="108">
        <v>4</v>
      </c>
      <c r="M220" s="108">
        <v>0</v>
      </c>
      <c r="N220" s="108">
        <v>8</v>
      </c>
      <c r="O220" s="108">
        <v>1</v>
      </c>
      <c r="P220" s="108">
        <v>2</v>
      </c>
      <c r="Q220" s="108">
        <v>1</v>
      </c>
      <c r="R220" s="108">
        <v>0</v>
      </c>
      <c r="S220" s="108">
        <v>0</v>
      </c>
      <c r="T220" s="108">
        <v>0</v>
      </c>
      <c r="U220" s="108">
        <v>1</v>
      </c>
      <c r="V220" s="108">
        <v>3</v>
      </c>
      <c r="W220" s="109"/>
      <c r="X220" s="109"/>
      <c r="Y220" s="109"/>
      <c r="Z220" s="69"/>
      <c r="AA220" s="69"/>
      <c r="AB220" s="69"/>
      <c r="AC220" s="69"/>
      <c r="AD220" s="69"/>
      <c r="AE220" s="69"/>
      <c r="AF220" s="69"/>
    </row>
    <row r="221" spans="1:32" ht="12.75" customHeight="1"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25"/>
      <c r="AF221" s="125"/>
    </row>
    <row r="222" spans="1:32" ht="12.75" customHeight="1">
      <c r="A222" s="89"/>
      <c r="B222" s="69"/>
      <c r="C222" s="128" t="s">
        <v>532</v>
      </c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124"/>
    </row>
    <row r="223" spans="1:32" ht="12.75" customHeight="1">
      <c r="A223" s="8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122"/>
    </row>
    <row r="224" spans="1:32" ht="12.75" customHeight="1">
      <c r="A224" s="89"/>
      <c r="B224" s="69"/>
      <c r="C224" s="69" t="s">
        <v>111</v>
      </c>
      <c r="D224" s="69" t="s">
        <v>533</v>
      </c>
      <c r="E224" s="69"/>
      <c r="F224" s="71" t="s">
        <v>10</v>
      </c>
      <c r="G224" s="108" t="s">
        <v>468</v>
      </c>
      <c r="H224" s="108" t="s">
        <v>464</v>
      </c>
      <c r="I224" s="108" t="s">
        <v>504</v>
      </c>
      <c r="J224" s="108" t="s">
        <v>469</v>
      </c>
      <c r="K224" s="108" t="s">
        <v>589</v>
      </c>
      <c r="L224" s="108"/>
      <c r="M224" s="108" t="s">
        <v>464</v>
      </c>
      <c r="N224" s="108" t="s">
        <v>589</v>
      </c>
      <c r="O224" s="108" t="s">
        <v>475</v>
      </c>
      <c r="P224" s="108" t="s">
        <v>464</v>
      </c>
      <c r="Q224" s="108" t="s">
        <v>474</v>
      </c>
      <c r="R224" s="108" t="s">
        <v>469</v>
      </c>
      <c r="S224" s="108" t="s">
        <v>477</v>
      </c>
      <c r="T224" s="108"/>
      <c r="U224" s="108" t="s">
        <v>504</v>
      </c>
      <c r="V224" s="108" t="s">
        <v>464</v>
      </c>
      <c r="W224" s="108" t="s">
        <v>476</v>
      </c>
      <c r="X224" s="108" t="s">
        <v>469</v>
      </c>
      <c r="Y224" s="108" t="s">
        <v>466</v>
      </c>
      <c r="Z224" s="108"/>
      <c r="AA224" s="108"/>
      <c r="AB224" s="108"/>
      <c r="AC224" s="108"/>
      <c r="AD224" s="108"/>
      <c r="AE224" s="108"/>
      <c r="AF224" s="122"/>
    </row>
    <row r="225" spans="1:32" ht="12.75" customHeight="1">
      <c r="A225" s="89"/>
      <c r="B225" s="69"/>
      <c r="C225" s="69" t="s">
        <v>115</v>
      </c>
      <c r="D225" s="69" t="s">
        <v>285</v>
      </c>
      <c r="E225" s="69"/>
      <c r="F225" s="71" t="s">
        <v>10</v>
      </c>
      <c r="G225" s="108">
        <v>1</v>
      </c>
      <c r="H225" s="69" t="s">
        <v>534</v>
      </c>
      <c r="I225" s="69"/>
      <c r="J225" s="69"/>
      <c r="K225" s="69"/>
      <c r="L225" s="69" t="s">
        <v>394</v>
      </c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122"/>
    </row>
    <row r="226" spans="1:32" ht="12.75" customHeight="1">
      <c r="A226" s="89"/>
      <c r="B226" s="69"/>
      <c r="C226" s="69" t="s">
        <v>118</v>
      </c>
      <c r="D226" s="69" t="s">
        <v>596</v>
      </c>
      <c r="E226" s="69"/>
      <c r="F226" s="71" t="s">
        <v>10</v>
      </c>
      <c r="G226" s="129">
        <v>4</v>
      </c>
      <c r="H226" s="69" t="s">
        <v>536</v>
      </c>
      <c r="I226" s="69"/>
      <c r="J226" s="69"/>
      <c r="K226" s="69"/>
      <c r="L226" s="69" t="s">
        <v>537</v>
      </c>
      <c r="M226" s="69"/>
      <c r="N226" s="69"/>
      <c r="O226" s="69"/>
      <c r="P226" s="69" t="s">
        <v>538</v>
      </c>
      <c r="Q226" s="69"/>
      <c r="R226" s="69"/>
      <c r="S226" s="69"/>
      <c r="T226" s="69" t="s">
        <v>539</v>
      </c>
      <c r="U226" s="69"/>
      <c r="V226" s="69"/>
      <c r="W226" s="69"/>
      <c r="X226" s="69"/>
      <c r="Y226" s="69" t="s">
        <v>540</v>
      </c>
      <c r="Z226" s="69"/>
      <c r="AA226" s="69"/>
      <c r="AB226" s="69"/>
      <c r="AC226" s="69"/>
      <c r="AD226" s="69"/>
      <c r="AE226" s="69"/>
      <c r="AF226" s="122"/>
    </row>
    <row r="227" spans="1:32" ht="12.75" customHeight="1">
      <c r="A227" s="89"/>
      <c r="B227" s="69"/>
      <c r="C227" s="69" t="s">
        <v>121</v>
      </c>
      <c r="D227" s="69" t="s">
        <v>541</v>
      </c>
      <c r="E227" s="69"/>
      <c r="F227" s="71" t="s">
        <v>10</v>
      </c>
      <c r="G227" s="108" t="s">
        <v>487</v>
      </c>
      <c r="H227" s="108" t="s">
        <v>488</v>
      </c>
      <c r="I227" s="108" t="s">
        <v>475</v>
      </c>
      <c r="J227" s="108" t="s">
        <v>464</v>
      </c>
      <c r="K227" s="108" t="s">
        <v>474</v>
      </c>
      <c r="L227" s="108" t="s">
        <v>464</v>
      </c>
      <c r="M227" s="108" t="s">
        <v>485</v>
      </c>
      <c r="N227" s="108" t="s">
        <v>489</v>
      </c>
      <c r="O227" s="109"/>
      <c r="P227" s="109"/>
      <c r="Q227" s="109"/>
      <c r="R227" s="109"/>
      <c r="S227" s="109"/>
      <c r="T227" s="109"/>
      <c r="U227" s="109"/>
      <c r="V227" s="109"/>
      <c r="W227" s="69"/>
      <c r="X227" s="69"/>
      <c r="Y227" s="69"/>
      <c r="Z227" s="69"/>
      <c r="AA227" s="69"/>
      <c r="AB227" s="69"/>
      <c r="AC227" s="69"/>
      <c r="AD227" s="69"/>
      <c r="AE227" s="69"/>
      <c r="AF227" s="122"/>
    </row>
    <row r="228" spans="1:32" ht="12.75" customHeight="1">
      <c r="A228" s="89"/>
      <c r="B228" s="69"/>
      <c r="C228" s="69" t="s">
        <v>124</v>
      </c>
      <c r="D228" s="69" t="s">
        <v>542</v>
      </c>
      <c r="E228" s="69"/>
      <c r="F228" s="71" t="s">
        <v>10</v>
      </c>
      <c r="G228" s="69" t="s">
        <v>349</v>
      </c>
      <c r="H228" s="69"/>
      <c r="I228" s="129" t="s">
        <v>484</v>
      </c>
      <c r="J228" s="108" t="s">
        <v>488</v>
      </c>
      <c r="K228" s="108" t="s">
        <v>485</v>
      </c>
      <c r="L228" s="108" t="s">
        <v>469</v>
      </c>
      <c r="M228" s="108" t="s">
        <v>485</v>
      </c>
      <c r="N228" s="108"/>
      <c r="O228" s="71"/>
      <c r="P228" s="71" t="s">
        <v>397</v>
      </c>
      <c r="Q228" s="71"/>
      <c r="R228" s="108">
        <v>1</v>
      </c>
      <c r="S228" s="108">
        <v>6</v>
      </c>
      <c r="T228" s="71"/>
      <c r="U228" s="71" t="s">
        <v>422</v>
      </c>
      <c r="V228" s="71"/>
      <c r="W228" s="108">
        <v>1</v>
      </c>
      <c r="X228" s="108">
        <v>1</v>
      </c>
      <c r="Y228" s="71"/>
      <c r="Z228" s="71" t="s">
        <v>543</v>
      </c>
      <c r="AA228" s="71"/>
      <c r="AB228" s="108">
        <v>2</v>
      </c>
      <c r="AC228" s="108">
        <v>0</v>
      </c>
      <c r="AD228" s="108">
        <v>1</v>
      </c>
      <c r="AE228" s="108">
        <v>5</v>
      </c>
      <c r="AF228" s="122"/>
    </row>
    <row r="229" spans="1:32" ht="12.75" customHeight="1">
      <c r="A229" s="89"/>
      <c r="B229" s="69"/>
      <c r="C229" s="69" t="s">
        <v>127</v>
      </c>
      <c r="D229" s="69" t="s">
        <v>425</v>
      </c>
      <c r="E229" s="69"/>
      <c r="F229" s="71" t="s">
        <v>10</v>
      </c>
      <c r="G229" s="108">
        <v>2</v>
      </c>
      <c r="H229" s="108">
        <v>0</v>
      </c>
      <c r="I229" s="108">
        <v>0</v>
      </c>
      <c r="J229" s="108">
        <v>0</v>
      </c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122"/>
    </row>
    <row r="230" spans="1:32" ht="12.75" customHeight="1">
      <c r="A230" s="89"/>
      <c r="B230" s="69"/>
      <c r="C230" s="69" t="s">
        <v>130</v>
      </c>
      <c r="D230" s="69" t="s">
        <v>545</v>
      </c>
      <c r="E230" s="69"/>
      <c r="F230" s="71" t="s">
        <v>10</v>
      </c>
      <c r="G230" s="109" t="s">
        <v>111</v>
      </c>
      <c r="H230" s="69" t="s">
        <v>546</v>
      </c>
      <c r="I230" s="69"/>
      <c r="J230" s="69"/>
      <c r="K230" s="69"/>
      <c r="L230" s="69" t="s">
        <v>547</v>
      </c>
      <c r="M230" s="69"/>
      <c r="N230" s="69"/>
      <c r="O230" s="69"/>
      <c r="P230" s="69" t="s">
        <v>548</v>
      </c>
      <c r="Q230" s="69"/>
      <c r="R230" s="69"/>
      <c r="S230" s="69"/>
      <c r="T230" s="69" t="s">
        <v>549</v>
      </c>
      <c r="U230" s="69"/>
      <c r="V230" s="69"/>
      <c r="W230" s="69"/>
      <c r="X230" s="69"/>
      <c r="Y230" s="69" t="s">
        <v>540</v>
      </c>
      <c r="Z230" s="69"/>
      <c r="AA230" s="69"/>
      <c r="AB230" s="69"/>
      <c r="AC230" s="69"/>
      <c r="AD230" s="69"/>
      <c r="AE230" s="69"/>
      <c r="AF230" s="122"/>
    </row>
    <row r="231" spans="1:32" ht="12.75" customHeight="1">
      <c r="A231" s="89"/>
      <c r="B231" s="69"/>
      <c r="C231" s="69" t="s">
        <v>134</v>
      </c>
      <c r="D231" s="69" t="s">
        <v>550</v>
      </c>
      <c r="E231" s="69"/>
      <c r="F231" s="71" t="s">
        <v>10</v>
      </c>
      <c r="G231" s="109">
        <v>2</v>
      </c>
      <c r="H231" s="69" t="s">
        <v>111</v>
      </c>
      <c r="I231" s="69" t="s">
        <v>115</v>
      </c>
      <c r="J231" s="69" t="s">
        <v>118</v>
      </c>
      <c r="K231" s="69" t="s">
        <v>121</v>
      </c>
      <c r="L231" s="69" t="s">
        <v>551</v>
      </c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122"/>
    </row>
    <row r="232" spans="1:32" ht="12.75" customHeight="1">
      <c r="A232" s="89"/>
      <c r="B232" s="69"/>
      <c r="C232" s="69" t="s">
        <v>137</v>
      </c>
      <c r="D232" s="69" t="s">
        <v>599</v>
      </c>
      <c r="E232" s="69"/>
      <c r="F232" s="71" t="s">
        <v>10</v>
      </c>
      <c r="G232" s="137">
        <v>2</v>
      </c>
      <c r="H232" s="69" t="s">
        <v>438</v>
      </c>
      <c r="I232" s="69"/>
      <c r="J232" s="69"/>
      <c r="K232" s="69"/>
      <c r="L232" s="69" t="s">
        <v>553</v>
      </c>
      <c r="M232" s="69"/>
      <c r="N232" s="69"/>
      <c r="O232" s="69"/>
      <c r="P232" s="69" t="s">
        <v>554</v>
      </c>
      <c r="Q232" s="69"/>
      <c r="R232" s="69"/>
      <c r="S232" s="69"/>
      <c r="T232" s="69" t="s">
        <v>441</v>
      </c>
      <c r="U232" s="69"/>
      <c r="V232" s="69"/>
      <c r="W232" s="69"/>
      <c r="X232" s="69"/>
      <c r="Z232" s="69"/>
      <c r="AA232" s="69"/>
      <c r="AB232" s="69"/>
      <c r="AC232" s="69"/>
      <c r="AD232" s="69"/>
      <c r="AE232" s="69"/>
      <c r="AF232" s="122"/>
    </row>
    <row r="233" spans="1:32" ht="12.75" customHeight="1">
      <c r="A233" s="89"/>
      <c r="B233" s="69"/>
      <c r="C233" s="69" t="s">
        <v>145</v>
      </c>
      <c r="D233" s="69" t="s">
        <v>555</v>
      </c>
      <c r="E233" s="69"/>
      <c r="F233" s="71" t="s">
        <v>10</v>
      </c>
      <c r="G233" s="108">
        <v>3</v>
      </c>
      <c r="H233" s="108" t="s">
        <v>600</v>
      </c>
      <c r="I233" s="108">
        <v>8</v>
      </c>
      <c r="J233" s="109">
        <v>0</v>
      </c>
      <c r="K233" s="69" t="s">
        <v>601</v>
      </c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122"/>
    </row>
    <row r="234" spans="1:32" ht="12.75" customHeight="1">
      <c r="A234" s="89"/>
      <c r="B234" s="69"/>
      <c r="C234" s="69" t="s">
        <v>424</v>
      </c>
      <c r="D234" s="69" t="s">
        <v>557</v>
      </c>
      <c r="E234" s="69"/>
      <c r="F234" s="71" t="s">
        <v>10</v>
      </c>
      <c r="G234" s="108">
        <v>4</v>
      </c>
      <c r="H234" s="108">
        <v>5</v>
      </c>
      <c r="I234" s="71" t="s">
        <v>558</v>
      </c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122"/>
    </row>
    <row r="235" spans="1:32" ht="12.75" customHeight="1">
      <c r="A235" s="89"/>
      <c r="B235" s="138"/>
      <c r="C235" s="125"/>
      <c r="D235" s="125"/>
      <c r="E235" s="125"/>
      <c r="F235" s="126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7"/>
    </row>
    <row r="236" spans="1:32" ht="12.75" customHeight="1">
      <c r="A236" s="89"/>
      <c r="B236" s="69"/>
      <c r="C236" s="128" t="s">
        <v>449</v>
      </c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122"/>
    </row>
    <row r="237" spans="1:32" ht="12.75" customHeight="1">
      <c r="A237" s="89"/>
      <c r="B237" s="69"/>
      <c r="C237" s="69" t="s">
        <v>111</v>
      </c>
      <c r="D237" s="69" t="s">
        <v>340</v>
      </c>
      <c r="E237" s="69"/>
      <c r="F237" s="71" t="s">
        <v>10</v>
      </c>
      <c r="G237" s="108">
        <v>3</v>
      </c>
      <c r="H237" s="108">
        <v>3</v>
      </c>
      <c r="I237" s="108">
        <v>2</v>
      </c>
      <c r="J237" s="108">
        <v>7</v>
      </c>
      <c r="K237" s="108">
        <v>0</v>
      </c>
      <c r="L237" s="108">
        <v>4</v>
      </c>
      <c r="M237" s="108">
        <v>4</v>
      </c>
      <c r="N237" s="108">
        <v>7</v>
      </c>
      <c r="O237" s="108">
        <v>0</v>
      </c>
      <c r="P237" s="108">
        <v>1</v>
      </c>
      <c r="Q237" s="108">
        <v>8</v>
      </c>
      <c r="R237" s="108">
        <v>2</v>
      </c>
      <c r="S237" s="108">
        <v>0</v>
      </c>
      <c r="T237" s="108">
        <v>0</v>
      </c>
      <c r="U237" s="108">
        <v>0</v>
      </c>
      <c r="V237" s="108">
        <v>5</v>
      </c>
      <c r="W237" s="108"/>
      <c r="X237" s="71"/>
      <c r="Y237" s="71"/>
      <c r="Z237" s="71"/>
      <c r="AA237" s="71"/>
      <c r="AB237" s="71"/>
      <c r="AC237" s="71"/>
      <c r="AD237" s="71"/>
      <c r="AE237" s="71"/>
      <c r="AF237" s="122"/>
    </row>
    <row r="238" spans="1:32" ht="12.75" customHeight="1">
      <c r="A238" s="89"/>
      <c r="B238" s="69"/>
      <c r="C238" s="69" t="s">
        <v>115</v>
      </c>
      <c r="D238" s="69" t="s">
        <v>391</v>
      </c>
      <c r="E238" s="69"/>
      <c r="F238" s="71" t="s">
        <v>10</v>
      </c>
      <c r="G238" s="108" t="s">
        <v>465</v>
      </c>
      <c r="H238" s="108" t="s">
        <v>464</v>
      </c>
      <c r="I238" s="108" t="s">
        <v>468</v>
      </c>
      <c r="J238" s="108" t="s">
        <v>484</v>
      </c>
      <c r="K238" s="108" t="s">
        <v>469</v>
      </c>
      <c r="L238" s="108" t="s">
        <v>485</v>
      </c>
      <c r="M238" s="108" t="s">
        <v>469</v>
      </c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22"/>
    </row>
    <row r="239" spans="1:32" ht="12.75" customHeight="1">
      <c r="A239" s="89"/>
      <c r="B239" s="69"/>
      <c r="C239" s="69" t="s">
        <v>118</v>
      </c>
      <c r="D239" s="69" t="s">
        <v>559</v>
      </c>
      <c r="E239" s="69"/>
      <c r="F239" s="71" t="s">
        <v>10</v>
      </c>
      <c r="G239" s="71" t="s">
        <v>397</v>
      </c>
      <c r="H239" s="129">
        <v>0</v>
      </c>
      <c r="I239" s="108">
        <v>7</v>
      </c>
      <c r="J239" s="71"/>
      <c r="K239" s="71" t="s">
        <v>398</v>
      </c>
      <c r="L239" s="108">
        <v>0</v>
      </c>
      <c r="M239" s="108">
        <v>1</v>
      </c>
      <c r="N239" s="71"/>
      <c r="O239" s="71" t="s">
        <v>560</v>
      </c>
      <c r="P239" s="108">
        <v>1</v>
      </c>
      <c r="Q239" s="108">
        <v>9</v>
      </c>
      <c r="R239" s="108">
        <v>8</v>
      </c>
      <c r="S239" s="108">
        <v>2</v>
      </c>
      <c r="T239" s="71"/>
      <c r="U239" s="71" t="s">
        <v>359</v>
      </c>
      <c r="V239" s="71"/>
      <c r="W239" s="108">
        <v>3</v>
      </c>
      <c r="X239" s="108">
        <v>6</v>
      </c>
      <c r="Y239" s="108"/>
      <c r="Z239" s="71"/>
      <c r="AA239" s="71"/>
      <c r="AB239" s="71"/>
      <c r="AC239" s="71"/>
      <c r="AD239" s="71"/>
      <c r="AE239" s="71"/>
      <c r="AF239" s="122"/>
    </row>
    <row r="240" spans="1:32" ht="12.75" customHeight="1">
      <c r="A240" s="89" t="s">
        <v>574</v>
      </c>
      <c r="B240" s="69"/>
      <c r="C240" s="69" t="s">
        <v>121</v>
      </c>
      <c r="D240" s="69" t="s">
        <v>128</v>
      </c>
      <c r="E240" s="69"/>
      <c r="F240" s="71" t="s">
        <v>10</v>
      </c>
      <c r="G240" s="108">
        <v>0</v>
      </c>
      <c r="H240" s="108">
        <v>2</v>
      </c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122"/>
    </row>
    <row r="241" spans="1:32" ht="12.75" customHeight="1">
      <c r="A241" s="89"/>
      <c r="B241" s="69"/>
      <c r="C241" s="69" t="s">
        <v>124</v>
      </c>
      <c r="D241" s="69" t="s">
        <v>345</v>
      </c>
      <c r="E241" s="69"/>
      <c r="F241" s="71" t="s">
        <v>10</v>
      </c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122"/>
    </row>
    <row r="242" spans="1:32" ht="12.75" customHeight="1">
      <c r="A242" s="89"/>
      <c r="B242" s="69"/>
      <c r="C242" s="69"/>
      <c r="D242" s="69"/>
      <c r="E242" s="69"/>
      <c r="F242" s="71"/>
      <c r="G242" s="69" t="s">
        <v>561</v>
      </c>
      <c r="H242" s="69"/>
      <c r="I242" s="69"/>
      <c r="J242" s="69"/>
      <c r="K242" s="69"/>
      <c r="L242" s="142" t="s">
        <v>102</v>
      </c>
      <c r="M242" s="142"/>
      <c r="N242" s="142"/>
      <c r="O242" s="142"/>
      <c r="P242" s="142"/>
      <c r="Q242" s="131"/>
      <c r="R242" s="131" t="s">
        <v>562</v>
      </c>
      <c r="S242" s="131"/>
      <c r="T242" s="131"/>
      <c r="U242" s="131"/>
      <c r="V242" s="142" t="s">
        <v>106</v>
      </c>
      <c r="W242" s="142"/>
      <c r="X242" s="142"/>
      <c r="Y242" s="142"/>
      <c r="Z242" s="142"/>
      <c r="AA242" s="69"/>
      <c r="AB242" s="69"/>
      <c r="AC242" s="69"/>
      <c r="AD242" s="69"/>
      <c r="AE242" s="69"/>
      <c r="AF242" s="122"/>
    </row>
    <row r="243" spans="1:32" ht="12.75" customHeight="1">
      <c r="A243" s="89"/>
      <c r="B243" s="69"/>
      <c r="C243" s="69"/>
      <c r="D243" s="69"/>
      <c r="E243" s="69"/>
      <c r="F243" s="71"/>
      <c r="G243" s="69" t="s">
        <v>563</v>
      </c>
      <c r="H243" s="69"/>
      <c r="I243" s="69"/>
      <c r="J243" s="69"/>
      <c r="K243" s="69"/>
      <c r="L243" s="142" t="s">
        <v>104</v>
      </c>
      <c r="M243" s="142"/>
      <c r="N243" s="142"/>
      <c r="O243" s="142"/>
      <c r="P243" s="142"/>
      <c r="Q243" s="131"/>
      <c r="R243" s="131" t="s">
        <v>417</v>
      </c>
      <c r="S243" s="131"/>
      <c r="T243" s="131"/>
      <c r="U243" s="131"/>
      <c r="V243" s="142" t="s">
        <v>418</v>
      </c>
      <c r="W243" s="142"/>
      <c r="X243" s="142"/>
      <c r="Y243" s="142"/>
      <c r="Z243" s="142"/>
      <c r="AA243" s="69"/>
      <c r="AB243" s="69"/>
      <c r="AC243" s="69"/>
      <c r="AD243" s="69"/>
      <c r="AE243" s="69"/>
      <c r="AF243" s="122"/>
    </row>
    <row r="244" spans="1:32" ht="12.75" customHeight="1">
      <c r="A244" s="89"/>
      <c r="B244" s="69"/>
      <c r="C244" s="69" t="s">
        <v>127</v>
      </c>
      <c r="D244" s="69" t="s">
        <v>564</v>
      </c>
      <c r="E244" s="69"/>
      <c r="F244" s="71" t="s">
        <v>10</v>
      </c>
      <c r="G244" s="108" t="s">
        <v>111</v>
      </c>
      <c r="H244" s="71"/>
      <c r="I244" s="71" t="s">
        <v>565</v>
      </c>
      <c r="J244" s="71"/>
      <c r="K244" s="71"/>
      <c r="L244" s="71" t="s">
        <v>566</v>
      </c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69"/>
      <c r="X244" s="69"/>
      <c r="Y244" s="69"/>
      <c r="Z244" s="69"/>
      <c r="AA244" s="69"/>
      <c r="AB244" s="69"/>
      <c r="AC244" s="69"/>
      <c r="AD244" s="69"/>
      <c r="AE244" s="69"/>
      <c r="AF244" s="122"/>
    </row>
    <row r="245" spans="1:32" ht="12.75" customHeight="1">
      <c r="A245" s="89"/>
      <c r="B245" s="69"/>
      <c r="C245" s="69" t="s">
        <v>130</v>
      </c>
      <c r="D245" s="69" t="s">
        <v>567</v>
      </c>
      <c r="E245" s="69"/>
      <c r="F245" s="71" t="s">
        <v>10</v>
      </c>
      <c r="G245" s="130" t="s">
        <v>568</v>
      </c>
      <c r="H245" s="141"/>
      <c r="I245" s="141"/>
      <c r="J245" s="141"/>
      <c r="K245" s="143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69"/>
      <c r="X245" s="69"/>
      <c r="Y245" s="69"/>
      <c r="Z245" s="69"/>
      <c r="AA245" s="69"/>
      <c r="AB245" s="69"/>
      <c r="AC245" s="69"/>
      <c r="AD245" s="69"/>
      <c r="AE245" s="69"/>
      <c r="AF245" s="122"/>
    </row>
    <row r="246" spans="1:32" ht="12.75" customHeight="1">
      <c r="A246" s="89"/>
      <c r="B246" s="69"/>
      <c r="C246" s="69" t="s">
        <v>134</v>
      </c>
      <c r="D246" s="69" t="s">
        <v>569</v>
      </c>
      <c r="E246" s="69"/>
      <c r="F246" s="71" t="s">
        <v>10</v>
      </c>
      <c r="G246" s="71" t="s">
        <v>570</v>
      </c>
      <c r="H246" s="71"/>
      <c r="I246" s="108"/>
      <c r="J246" s="108"/>
      <c r="K246" s="71"/>
      <c r="L246" s="71" t="s">
        <v>398</v>
      </c>
      <c r="M246" s="71"/>
      <c r="N246" s="108"/>
      <c r="O246" s="108"/>
      <c r="P246" s="71"/>
      <c r="Q246" s="71" t="s">
        <v>560</v>
      </c>
      <c r="R246" s="71"/>
      <c r="S246" s="108"/>
      <c r="T246" s="108"/>
      <c r="U246" s="108"/>
      <c r="V246" s="108"/>
      <c r="W246" s="69"/>
      <c r="X246" s="69"/>
      <c r="Y246" s="69"/>
      <c r="Z246" s="69"/>
      <c r="AA246" s="69"/>
      <c r="AB246" s="69"/>
      <c r="AC246" s="69"/>
      <c r="AD246" s="69"/>
      <c r="AE246" s="69"/>
      <c r="AF246" s="122"/>
    </row>
    <row r="247" spans="1:32" ht="12.75" customHeight="1">
      <c r="A247" s="89"/>
      <c r="B247" s="138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5"/>
      <c r="AD247" s="125"/>
      <c r="AE247" s="125"/>
      <c r="AF247" s="127"/>
    </row>
    <row r="248" spans="1:32" ht="12.75" customHeight="1">
      <c r="A248" s="89"/>
      <c r="B248" s="69"/>
      <c r="C248" s="128" t="s">
        <v>443</v>
      </c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122"/>
    </row>
    <row r="249" spans="1:32" ht="12.75" customHeight="1">
      <c r="A249" s="89"/>
      <c r="B249" s="69"/>
      <c r="C249" s="69" t="s">
        <v>111</v>
      </c>
      <c r="D249" s="69" t="s">
        <v>340</v>
      </c>
      <c r="E249" s="69"/>
      <c r="F249" s="71" t="s">
        <v>10</v>
      </c>
      <c r="G249" s="108">
        <v>3</v>
      </c>
      <c r="H249" s="108">
        <v>3</v>
      </c>
      <c r="I249" s="108">
        <v>2</v>
      </c>
      <c r="J249" s="108">
        <v>7</v>
      </c>
      <c r="K249" s="108">
        <v>0</v>
      </c>
      <c r="L249" s="108">
        <v>4</v>
      </c>
      <c r="M249" s="108">
        <v>1</v>
      </c>
      <c r="N249" s="108">
        <v>0</v>
      </c>
      <c r="O249" s="108">
        <v>1</v>
      </c>
      <c r="P249" s="108">
        <v>1</v>
      </c>
      <c r="Q249" s="108">
        <v>8</v>
      </c>
      <c r="R249" s="108">
        <v>0</v>
      </c>
      <c r="S249" s="108">
        <v>0</v>
      </c>
      <c r="T249" s="108">
        <v>0</v>
      </c>
      <c r="U249" s="108">
        <v>0</v>
      </c>
      <c r="V249" s="108">
        <v>5</v>
      </c>
      <c r="W249" s="108"/>
      <c r="X249" s="71"/>
      <c r="Y249" s="71"/>
      <c r="Z249" s="71"/>
      <c r="AA249" s="71"/>
      <c r="AB249" s="71"/>
      <c r="AC249" s="71"/>
      <c r="AD249" s="71"/>
      <c r="AE249" s="71"/>
      <c r="AF249" s="122"/>
    </row>
    <row r="250" spans="1:32" ht="12.75" customHeight="1">
      <c r="A250" s="89"/>
      <c r="B250" s="69"/>
      <c r="C250" s="69" t="s">
        <v>115</v>
      </c>
      <c r="D250" s="69" t="s">
        <v>391</v>
      </c>
      <c r="E250" s="69"/>
      <c r="F250" s="71" t="s">
        <v>10</v>
      </c>
      <c r="G250" s="108" t="s">
        <v>484</v>
      </c>
      <c r="H250" s="108" t="s">
        <v>464</v>
      </c>
      <c r="I250" s="108" t="s">
        <v>475</v>
      </c>
      <c r="J250" s="108" t="s">
        <v>469</v>
      </c>
      <c r="K250" s="108" t="s">
        <v>468</v>
      </c>
      <c r="L250" s="108" t="s">
        <v>469</v>
      </c>
      <c r="M250" s="108" t="s">
        <v>485</v>
      </c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  <c r="AF250" s="122"/>
    </row>
    <row r="251" spans="1:32" ht="12.75" customHeight="1">
      <c r="A251" s="89"/>
      <c r="B251" s="69"/>
      <c r="C251" s="69" t="s">
        <v>118</v>
      </c>
      <c r="D251" s="69" t="s">
        <v>559</v>
      </c>
      <c r="E251" s="69"/>
      <c r="F251" s="71" t="s">
        <v>10</v>
      </c>
      <c r="G251" s="71" t="s">
        <v>397</v>
      </c>
      <c r="H251" s="129">
        <v>1</v>
      </c>
      <c r="I251" s="108">
        <v>0</v>
      </c>
      <c r="J251" s="71"/>
      <c r="K251" s="71" t="s">
        <v>398</v>
      </c>
      <c r="L251" s="108">
        <v>1</v>
      </c>
      <c r="M251" s="108">
        <v>1</v>
      </c>
      <c r="N251" s="71"/>
      <c r="O251" s="71" t="s">
        <v>560</v>
      </c>
      <c r="P251" s="108">
        <v>1</v>
      </c>
      <c r="Q251" s="108">
        <v>9</v>
      </c>
      <c r="R251" s="108">
        <v>8</v>
      </c>
      <c r="S251" s="108">
        <v>0</v>
      </c>
      <c r="T251" s="71"/>
      <c r="U251" s="71" t="s">
        <v>359</v>
      </c>
      <c r="V251" s="71"/>
      <c r="W251" s="108">
        <v>3</v>
      </c>
      <c r="X251" s="108">
        <v>8</v>
      </c>
      <c r="Y251" s="108"/>
      <c r="Z251" s="71"/>
      <c r="AA251" s="71"/>
      <c r="AB251" s="71"/>
      <c r="AC251" s="71"/>
      <c r="AD251" s="71"/>
      <c r="AE251" s="71"/>
      <c r="AF251" s="122"/>
    </row>
    <row r="252" spans="1:32" ht="12.75" customHeight="1">
      <c r="A252" s="89"/>
      <c r="B252" s="69"/>
      <c r="C252" s="69" t="s">
        <v>121</v>
      </c>
      <c r="D252" s="69" t="s">
        <v>128</v>
      </c>
      <c r="E252" s="69"/>
      <c r="F252" s="71" t="s">
        <v>10</v>
      </c>
      <c r="G252" s="108">
        <v>2</v>
      </c>
      <c r="H252" s="108">
        <v>0</v>
      </c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122"/>
    </row>
    <row r="253" spans="1:32" ht="12.75" customHeight="1">
      <c r="A253" s="89"/>
      <c r="B253" s="69"/>
      <c r="C253" s="69" t="s">
        <v>124</v>
      </c>
      <c r="D253" s="69" t="s">
        <v>345</v>
      </c>
      <c r="E253" s="69"/>
      <c r="F253" s="71" t="s">
        <v>10</v>
      </c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122"/>
    </row>
    <row r="254" spans="1:32" ht="12.75" customHeight="1">
      <c r="A254" s="89"/>
      <c r="B254" s="69"/>
      <c r="C254" s="69"/>
      <c r="D254" s="69"/>
      <c r="E254" s="69"/>
      <c r="F254" s="71"/>
      <c r="G254" s="69" t="s">
        <v>561</v>
      </c>
      <c r="H254" s="69"/>
      <c r="I254" s="69"/>
      <c r="J254" s="69"/>
      <c r="K254" s="69"/>
      <c r="L254" s="142" t="s">
        <v>102</v>
      </c>
      <c r="M254" s="142"/>
      <c r="N254" s="142"/>
      <c r="O254" s="142"/>
      <c r="P254" s="142"/>
      <c r="Q254" s="131"/>
      <c r="R254" s="131" t="s">
        <v>562</v>
      </c>
      <c r="S254" s="131"/>
      <c r="T254" s="131"/>
      <c r="U254" s="131"/>
      <c r="V254" s="142" t="s">
        <v>106</v>
      </c>
      <c r="W254" s="142"/>
      <c r="X254" s="142"/>
      <c r="Y254" s="142"/>
      <c r="Z254" s="142"/>
      <c r="AA254" s="69"/>
      <c r="AB254" s="69"/>
      <c r="AC254" s="69"/>
      <c r="AD254" s="69"/>
      <c r="AE254" s="69"/>
      <c r="AF254" s="122"/>
    </row>
    <row r="255" spans="1:32" ht="12.75" customHeight="1">
      <c r="A255" s="89"/>
      <c r="B255" s="69"/>
      <c r="C255" s="69"/>
      <c r="D255" s="69"/>
      <c r="E255" s="69"/>
      <c r="F255" s="71"/>
      <c r="G255" s="69" t="s">
        <v>563</v>
      </c>
      <c r="H255" s="69"/>
      <c r="I255" s="69"/>
      <c r="J255" s="69"/>
      <c r="K255" s="69"/>
      <c r="L255" s="142" t="s">
        <v>104</v>
      </c>
      <c r="M255" s="142"/>
      <c r="N255" s="142"/>
      <c r="O255" s="142"/>
      <c r="P255" s="142"/>
      <c r="Q255" s="131"/>
      <c r="R255" s="131" t="s">
        <v>417</v>
      </c>
      <c r="S255" s="131"/>
      <c r="T255" s="131"/>
      <c r="U255" s="131"/>
      <c r="V255" s="142" t="s">
        <v>418</v>
      </c>
      <c r="W255" s="142"/>
      <c r="X255" s="142"/>
      <c r="Y255" s="142"/>
      <c r="Z255" s="142"/>
      <c r="AA255" s="69"/>
      <c r="AB255" s="69"/>
      <c r="AC255" s="69"/>
      <c r="AD255" s="69"/>
      <c r="AE255" s="69"/>
      <c r="AF255" s="122"/>
    </row>
    <row r="256" spans="1:32" ht="12.75" customHeight="1">
      <c r="A256" s="89"/>
      <c r="B256" s="69"/>
      <c r="C256" s="69" t="s">
        <v>127</v>
      </c>
      <c r="D256" s="69" t="s">
        <v>564</v>
      </c>
      <c r="E256" s="69"/>
      <c r="F256" s="71" t="s">
        <v>10</v>
      </c>
      <c r="G256" s="108" t="s">
        <v>111</v>
      </c>
      <c r="H256" s="71"/>
      <c r="I256" s="71" t="s">
        <v>565</v>
      </c>
      <c r="J256" s="71"/>
      <c r="K256" s="71"/>
      <c r="L256" s="71" t="s">
        <v>566</v>
      </c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69"/>
      <c r="X256" s="69"/>
      <c r="Y256" s="69"/>
      <c r="Z256" s="69"/>
      <c r="AA256" s="69"/>
      <c r="AB256" s="69"/>
      <c r="AC256" s="69"/>
      <c r="AD256" s="69"/>
      <c r="AE256" s="69"/>
      <c r="AF256" s="122"/>
    </row>
    <row r="257" spans="1:32" ht="12.75" customHeight="1">
      <c r="A257" s="89"/>
      <c r="B257" s="69"/>
      <c r="C257" s="69" t="s">
        <v>130</v>
      </c>
      <c r="D257" s="69" t="s">
        <v>567</v>
      </c>
      <c r="E257" s="69"/>
      <c r="F257" s="71" t="s">
        <v>10</v>
      </c>
      <c r="G257" s="130" t="s">
        <v>568</v>
      </c>
      <c r="H257" s="141"/>
      <c r="I257" s="141"/>
      <c r="J257" s="141"/>
      <c r="K257" s="143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69"/>
      <c r="X257" s="69"/>
      <c r="Y257" s="69"/>
      <c r="Z257" s="69"/>
      <c r="AA257" s="69"/>
      <c r="AB257" s="69"/>
      <c r="AC257" s="69"/>
      <c r="AD257" s="69"/>
      <c r="AE257" s="69"/>
      <c r="AF257" s="122"/>
    </row>
    <row r="258" spans="1:32" ht="12.75" customHeight="1">
      <c r="A258" s="89"/>
      <c r="B258" s="138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  <c r="AE258" s="125"/>
      <c r="AF258" s="127"/>
    </row>
    <row r="259" spans="1:32" ht="12.75" customHeight="1">
      <c r="A259" s="89"/>
      <c r="B259" s="69"/>
      <c r="C259" s="128" t="s">
        <v>455</v>
      </c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122"/>
    </row>
    <row r="260" spans="1:32" ht="12.75" customHeight="1">
      <c r="A260" s="89"/>
      <c r="B260" s="69"/>
      <c r="C260" s="69" t="s">
        <v>111</v>
      </c>
      <c r="D260" s="69" t="s">
        <v>340</v>
      </c>
      <c r="E260" s="69"/>
      <c r="F260" s="71" t="s">
        <v>10</v>
      </c>
      <c r="G260" s="108">
        <v>3</v>
      </c>
      <c r="H260" s="108">
        <v>3</v>
      </c>
      <c r="I260" s="108">
        <v>2</v>
      </c>
      <c r="J260" s="108">
        <v>7</v>
      </c>
      <c r="K260" s="108">
        <v>0</v>
      </c>
      <c r="L260" s="108">
        <v>4</v>
      </c>
      <c r="M260" s="108">
        <v>1</v>
      </c>
      <c r="N260" s="108">
        <v>0</v>
      </c>
      <c r="O260" s="108">
        <v>1</v>
      </c>
      <c r="P260" s="108">
        <v>1</v>
      </c>
      <c r="Q260" s="108">
        <v>8</v>
      </c>
      <c r="R260" s="108">
        <v>0</v>
      </c>
      <c r="S260" s="108">
        <v>0</v>
      </c>
      <c r="T260" s="108">
        <v>0</v>
      </c>
      <c r="U260" s="108">
        <v>0</v>
      </c>
      <c r="V260" s="108">
        <v>5</v>
      </c>
      <c r="W260" s="108"/>
      <c r="X260" s="69"/>
      <c r="Y260" s="69"/>
      <c r="Z260" s="69"/>
      <c r="AA260" s="69"/>
      <c r="AB260" s="69"/>
      <c r="AC260" s="69"/>
      <c r="AD260" s="69"/>
      <c r="AE260" s="69"/>
      <c r="AF260" s="122"/>
    </row>
    <row r="261" spans="1:32" ht="12.75" customHeight="1">
      <c r="A261" s="89"/>
      <c r="B261" s="69"/>
      <c r="C261" s="69" t="s">
        <v>115</v>
      </c>
      <c r="D261" s="69" t="s">
        <v>391</v>
      </c>
      <c r="E261" s="69"/>
      <c r="F261" s="71" t="s">
        <v>10</v>
      </c>
      <c r="G261" s="108" t="s">
        <v>484</v>
      </c>
      <c r="H261" s="108" t="s">
        <v>464</v>
      </c>
      <c r="I261" s="108" t="s">
        <v>475</v>
      </c>
      <c r="J261" s="108" t="s">
        <v>469</v>
      </c>
      <c r="K261" s="108" t="s">
        <v>468</v>
      </c>
      <c r="L261" s="108" t="s">
        <v>469</v>
      </c>
      <c r="M261" s="108" t="s">
        <v>485</v>
      </c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9"/>
      <c r="Y261" s="109"/>
      <c r="Z261" s="109"/>
      <c r="AA261" s="109"/>
      <c r="AB261" s="109"/>
      <c r="AC261" s="109"/>
      <c r="AD261" s="109"/>
      <c r="AE261" s="109"/>
      <c r="AF261" s="122"/>
    </row>
    <row r="262" spans="1:32" ht="12.75" customHeight="1">
      <c r="A262" s="89"/>
      <c r="B262" s="69"/>
      <c r="C262" s="69" t="s">
        <v>118</v>
      </c>
      <c r="D262" s="69" t="s">
        <v>359</v>
      </c>
      <c r="E262" s="69"/>
      <c r="F262" s="71" t="s">
        <v>10</v>
      </c>
      <c r="G262" s="108">
        <v>3</v>
      </c>
      <c r="H262" s="108">
        <v>8</v>
      </c>
      <c r="I262" s="69"/>
      <c r="J262" s="69" t="s">
        <v>399</v>
      </c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122"/>
    </row>
    <row r="263" spans="1:32" ht="12.75" customHeight="1">
      <c r="A263" s="89"/>
      <c r="B263" s="69"/>
      <c r="C263" s="69" t="s">
        <v>121</v>
      </c>
      <c r="D263" s="69" t="s">
        <v>571</v>
      </c>
      <c r="E263" s="69"/>
      <c r="F263" s="71" t="s">
        <v>10</v>
      </c>
      <c r="G263" s="132" t="s">
        <v>111</v>
      </c>
      <c r="H263" s="69" t="s">
        <v>534</v>
      </c>
      <c r="I263" s="69"/>
      <c r="J263" s="69"/>
      <c r="K263" s="69"/>
      <c r="L263" s="69" t="s">
        <v>394</v>
      </c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122"/>
    </row>
    <row r="264" spans="1:32" ht="12.75" customHeight="1">
      <c r="A264" s="89"/>
      <c r="B264" s="69"/>
      <c r="C264" s="69" t="s">
        <v>124</v>
      </c>
      <c r="D264" s="69" t="s">
        <v>128</v>
      </c>
      <c r="E264" s="69"/>
      <c r="F264" s="71" t="s">
        <v>10</v>
      </c>
      <c r="G264" s="108">
        <v>2</v>
      </c>
      <c r="H264" s="108">
        <v>0</v>
      </c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122"/>
    </row>
    <row r="265" spans="1:32" ht="12.75" customHeight="1">
      <c r="A265" s="89"/>
      <c r="B265" s="69"/>
      <c r="C265" s="69" t="s">
        <v>127</v>
      </c>
      <c r="D265" s="69" t="s">
        <v>345</v>
      </c>
      <c r="E265" s="69"/>
      <c r="F265" s="71" t="s">
        <v>10</v>
      </c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122"/>
    </row>
    <row r="266" spans="1:32" ht="12.75" customHeight="1">
      <c r="A266" s="89"/>
      <c r="B266" s="69"/>
      <c r="C266" s="69"/>
      <c r="D266" s="69"/>
      <c r="E266" s="69"/>
      <c r="F266" s="69"/>
      <c r="G266" s="69" t="s">
        <v>561</v>
      </c>
      <c r="H266" s="69"/>
      <c r="I266" s="69"/>
      <c r="J266" s="69"/>
      <c r="K266" s="69"/>
      <c r="L266" s="142" t="s">
        <v>102</v>
      </c>
      <c r="M266" s="142"/>
      <c r="N266" s="142"/>
      <c r="O266" s="142"/>
      <c r="P266" s="142"/>
      <c r="Q266" s="131"/>
      <c r="R266" s="131" t="s">
        <v>562</v>
      </c>
      <c r="S266" s="131"/>
      <c r="T266" s="131"/>
      <c r="U266" s="131"/>
      <c r="V266" s="142" t="s">
        <v>106</v>
      </c>
      <c r="W266" s="142"/>
      <c r="X266" s="142"/>
      <c r="Y266" s="142"/>
      <c r="Z266" s="142"/>
      <c r="AA266" s="69"/>
      <c r="AB266" s="69"/>
      <c r="AC266" s="69"/>
      <c r="AD266" s="69"/>
      <c r="AE266" s="69"/>
      <c r="AF266" s="122"/>
    </row>
    <row r="267" spans="1:32" ht="12.75" customHeight="1">
      <c r="A267" s="89"/>
      <c r="B267" s="69"/>
      <c r="C267" s="69"/>
      <c r="D267" s="69"/>
      <c r="E267" s="69"/>
      <c r="F267" s="69"/>
      <c r="G267" s="69" t="s">
        <v>563</v>
      </c>
      <c r="H267" s="69"/>
      <c r="I267" s="69"/>
      <c r="J267" s="69"/>
      <c r="K267" s="69"/>
      <c r="L267" s="142" t="s">
        <v>104</v>
      </c>
      <c r="M267" s="142"/>
      <c r="N267" s="142"/>
      <c r="O267" s="142"/>
      <c r="P267" s="142"/>
      <c r="Q267" s="131"/>
      <c r="R267" s="131" t="s">
        <v>417</v>
      </c>
      <c r="S267" s="131"/>
      <c r="T267" s="131"/>
      <c r="U267" s="131"/>
      <c r="V267" s="142" t="s">
        <v>418</v>
      </c>
      <c r="W267" s="142"/>
      <c r="X267" s="142"/>
      <c r="Y267" s="142"/>
      <c r="Z267" s="142"/>
      <c r="AA267" s="69"/>
      <c r="AB267" s="69"/>
      <c r="AC267" s="69"/>
      <c r="AD267" s="69"/>
      <c r="AE267" s="69"/>
      <c r="AF267" s="122"/>
    </row>
    <row r="268" spans="1:32" ht="12.75" customHeight="1">
      <c r="A268" s="89"/>
      <c r="B268" s="138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25"/>
      <c r="AF268" s="127"/>
    </row>
    <row r="269" spans="1:32" ht="12.75" customHeight="1">
      <c r="A269" s="89"/>
      <c r="B269" s="69"/>
      <c r="C269" s="128" t="s">
        <v>572</v>
      </c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122"/>
    </row>
    <row r="270" spans="1:32" ht="12.75" customHeight="1">
      <c r="A270" s="89"/>
      <c r="B270" s="69"/>
      <c r="C270" s="69" t="s">
        <v>111</v>
      </c>
      <c r="D270" s="69" t="s">
        <v>340</v>
      </c>
      <c r="E270" s="69"/>
      <c r="F270" s="71" t="s">
        <v>10</v>
      </c>
      <c r="G270" s="108">
        <v>3</v>
      </c>
      <c r="H270" s="108">
        <v>3</v>
      </c>
      <c r="I270" s="108">
        <v>2</v>
      </c>
      <c r="J270" s="108">
        <v>7</v>
      </c>
      <c r="K270" s="108">
        <v>0</v>
      </c>
      <c r="L270" s="108">
        <v>4</v>
      </c>
      <c r="M270" s="108">
        <v>0</v>
      </c>
      <c r="N270" s="108">
        <v>4</v>
      </c>
      <c r="O270" s="108">
        <v>0</v>
      </c>
      <c r="P270" s="108">
        <v>6</v>
      </c>
      <c r="Q270" s="108">
        <v>6</v>
      </c>
      <c r="R270" s="108">
        <v>7</v>
      </c>
      <c r="S270" s="108">
        <v>0</v>
      </c>
      <c r="T270" s="108">
        <v>0</v>
      </c>
      <c r="U270" s="108">
        <v>1</v>
      </c>
      <c r="V270" s="108">
        <v>0</v>
      </c>
      <c r="W270" s="109"/>
      <c r="X270" s="69"/>
      <c r="Y270" s="69"/>
      <c r="Z270" s="69"/>
      <c r="AA270" s="69"/>
      <c r="AB270" s="69"/>
      <c r="AC270" s="69"/>
      <c r="AD270" s="69"/>
      <c r="AE270" s="69"/>
      <c r="AF270" s="122"/>
    </row>
    <row r="271" spans="1:32" ht="12.75" customHeight="1">
      <c r="A271" s="89"/>
      <c r="B271" s="69"/>
      <c r="C271" s="69" t="s">
        <v>115</v>
      </c>
      <c r="D271" s="69" t="s">
        <v>391</v>
      </c>
      <c r="E271" s="69"/>
      <c r="F271" s="71" t="s">
        <v>10</v>
      </c>
      <c r="G271" s="108" t="s">
        <v>468</v>
      </c>
      <c r="H271" s="108" t="s">
        <v>464</v>
      </c>
      <c r="I271" s="108" t="s">
        <v>484</v>
      </c>
      <c r="J271" s="108" t="s">
        <v>469</v>
      </c>
      <c r="K271" s="108" t="s">
        <v>498</v>
      </c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22"/>
    </row>
    <row r="272" spans="1:32" ht="12.75" customHeight="1">
      <c r="A272" s="89"/>
      <c r="B272" s="69"/>
      <c r="C272" s="69" t="s">
        <v>118</v>
      </c>
      <c r="D272" s="69" t="s">
        <v>359</v>
      </c>
      <c r="E272" s="69"/>
      <c r="F272" s="71" t="s">
        <v>10</v>
      </c>
      <c r="G272" s="108">
        <v>5</v>
      </c>
      <c r="H272" s="108">
        <v>1</v>
      </c>
      <c r="I272" s="69"/>
      <c r="J272" s="69" t="s">
        <v>399</v>
      </c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122"/>
    </row>
    <row r="273" spans="1:32" ht="12.75" customHeight="1">
      <c r="A273" s="89"/>
      <c r="B273" s="69"/>
      <c r="C273" s="69" t="s">
        <v>121</v>
      </c>
      <c r="D273" s="69" t="s">
        <v>128</v>
      </c>
      <c r="E273" s="69"/>
      <c r="F273" s="71" t="s">
        <v>10</v>
      </c>
      <c r="G273" s="108">
        <v>2</v>
      </c>
      <c r="H273" s="108">
        <v>0</v>
      </c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122"/>
    </row>
    <row r="274" spans="1:32" ht="12.75" customHeight="1">
      <c r="A274" s="89"/>
      <c r="B274" s="69"/>
      <c r="C274" s="69" t="s">
        <v>124</v>
      </c>
      <c r="D274" s="69" t="s">
        <v>345</v>
      </c>
      <c r="E274" s="69"/>
      <c r="F274" s="71" t="s">
        <v>10</v>
      </c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122"/>
    </row>
    <row r="275" spans="1:32" ht="12.75" customHeight="1">
      <c r="A275" s="89"/>
      <c r="B275" s="69"/>
      <c r="C275" s="69"/>
      <c r="D275" s="69"/>
      <c r="E275" s="69"/>
      <c r="F275" s="71"/>
      <c r="G275" s="69" t="s">
        <v>561</v>
      </c>
      <c r="H275" s="69"/>
      <c r="I275" s="69"/>
      <c r="J275" s="69"/>
      <c r="K275" s="69"/>
      <c r="L275" s="142" t="s">
        <v>102</v>
      </c>
      <c r="M275" s="142"/>
      <c r="N275" s="142"/>
      <c r="O275" s="142"/>
      <c r="P275" s="142"/>
      <c r="Q275" s="69"/>
      <c r="R275" s="69" t="s">
        <v>562</v>
      </c>
      <c r="S275" s="69"/>
      <c r="T275" s="69"/>
      <c r="U275" s="69"/>
      <c r="V275" s="142" t="s">
        <v>106</v>
      </c>
      <c r="W275" s="142"/>
      <c r="X275" s="142"/>
      <c r="Y275" s="142"/>
      <c r="Z275" s="142"/>
      <c r="AA275" s="69"/>
      <c r="AB275" s="69"/>
      <c r="AC275" s="69"/>
      <c r="AD275" s="69"/>
      <c r="AE275" s="69"/>
      <c r="AF275" s="122"/>
    </row>
    <row r="276" spans="1:32" ht="12.75" customHeight="1">
      <c r="A276" s="89"/>
      <c r="B276" s="69"/>
      <c r="C276" s="69"/>
      <c r="D276" s="69"/>
      <c r="E276" s="69"/>
      <c r="F276" s="69"/>
      <c r="G276" s="69" t="s">
        <v>563</v>
      </c>
      <c r="H276" s="69"/>
      <c r="I276" s="69"/>
      <c r="J276" s="69"/>
      <c r="K276" s="69"/>
      <c r="L276" s="142" t="s">
        <v>104</v>
      </c>
      <c r="M276" s="142"/>
      <c r="N276" s="142"/>
      <c r="O276" s="142"/>
      <c r="P276" s="142"/>
      <c r="Q276" s="69"/>
      <c r="R276" s="69" t="s">
        <v>417</v>
      </c>
      <c r="S276" s="69"/>
      <c r="T276" s="69"/>
      <c r="U276" s="69"/>
      <c r="V276" s="142" t="s">
        <v>418</v>
      </c>
      <c r="W276" s="142"/>
      <c r="X276" s="142"/>
      <c r="Y276" s="142"/>
      <c r="Z276" s="142"/>
      <c r="AA276" s="69"/>
      <c r="AB276" s="69"/>
      <c r="AC276" s="69"/>
      <c r="AD276" s="69"/>
      <c r="AE276" s="69"/>
      <c r="AF276" s="122"/>
    </row>
    <row r="277" spans="1:32" ht="12.75" customHeight="1">
      <c r="A277" s="89"/>
      <c r="B277" s="138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25"/>
      <c r="AF277" s="127"/>
    </row>
    <row r="278" spans="1:32" ht="12.75" customHeight="1">
      <c r="A278" s="89"/>
      <c r="B278" s="69"/>
      <c r="C278" s="128" t="s">
        <v>472</v>
      </c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122"/>
    </row>
    <row r="279" spans="1:32" ht="12.75" customHeight="1">
      <c r="A279" s="89"/>
      <c r="B279" s="69"/>
      <c r="C279" s="69" t="s">
        <v>111</v>
      </c>
      <c r="D279" s="69" t="s">
        <v>340</v>
      </c>
      <c r="E279" s="69"/>
      <c r="F279" s="71" t="s">
        <v>10</v>
      </c>
      <c r="G279" s="108">
        <v>3</v>
      </c>
      <c r="H279" s="108">
        <v>3</v>
      </c>
      <c r="I279" s="108">
        <v>2</v>
      </c>
      <c r="J279" s="108">
        <v>7</v>
      </c>
      <c r="K279" s="108">
        <v>0</v>
      </c>
      <c r="L279" s="108">
        <v>4</v>
      </c>
      <c r="M279" s="108">
        <v>0</v>
      </c>
      <c r="N279" s="108">
        <v>1</v>
      </c>
      <c r="O279" s="108">
        <v>0</v>
      </c>
      <c r="P279" s="108">
        <v>7</v>
      </c>
      <c r="Q279" s="108">
        <v>6</v>
      </c>
      <c r="R279" s="108">
        <v>6</v>
      </c>
      <c r="S279" s="108">
        <v>0</v>
      </c>
      <c r="T279" s="108">
        <v>1</v>
      </c>
      <c r="U279" s="108">
        <v>8</v>
      </c>
      <c r="V279" s="108">
        <v>3</v>
      </c>
      <c r="W279" s="108"/>
      <c r="X279" s="69"/>
      <c r="Y279" s="69"/>
      <c r="Z279" s="69"/>
      <c r="AA279" s="69"/>
      <c r="AB279" s="69"/>
      <c r="AC279" s="69"/>
      <c r="AD279" s="69"/>
      <c r="AE279" s="69"/>
      <c r="AF279" s="122"/>
    </row>
    <row r="280" spans="1:32" ht="12.75" customHeight="1">
      <c r="A280" s="89"/>
      <c r="B280" s="69"/>
      <c r="C280" s="69" t="s">
        <v>115</v>
      </c>
      <c r="D280" s="69" t="s">
        <v>391</v>
      </c>
      <c r="E280" s="69"/>
      <c r="F280" s="71" t="s">
        <v>10</v>
      </c>
      <c r="G280" s="108" t="s">
        <v>476</v>
      </c>
      <c r="H280" s="108" t="s">
        <v>467</v>
      </c>
      <c r="I280" s="108" t="s">
        <v>468</v>
      </c>
      <c r="J280" s="108" t="s">
        <v>469</v>
      </c>
      <c r="K280" s="108"/>
      <c r="L280" s="108"/>
      <c r="M280" s="108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22"/>
    </row>
    <row r="281" spans="1:32" ht="12.75" customHeight="1">
      <c r="A281" s="89"/>
      <c r="B281" s="69"/>
      <c r="C281" s="69" t="s">
        <v>118</v>
      </c>
      <c r="D281" s="69" t="s">
        <v>359</v>
      </c>
      <c r="E281" s="69"/>
      <c r="F281" s="71" t="s">
        <v>10</v>
      </c>
      <c r="G281" s="108">
        <v>5</v>
      </c>
      <c r="H281" s="108">
        <v>2</v>
      </c>
      <c r="I281" s="69"/>
      <c r="J281" s="69" t="s">
        <v>399</v>
      </c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122"/>
    </row>
    <row r="282" spans="1:32" ht="12.75" customHeight="1">
      <c r="A282" s="89"/>
      <c r="B282" s="69"/>
      <c r="C282" s="69" t="s">
        <v>121</v>
      </c>
      <c r="D282" s="69" t="s">
        <v>128</v>
      </c>
      <c r="E282" s="69"/>
      <c r="F282" s="71" t="s">
        <v>10</v>
      </c>
      <c r="G282" s="108">
        <v>2</v>
      </c>
      <c r="H282" s="108">
        <v>0</v>
      </c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122"/>
    </row>
    <row r="283" spans="1:32" ht="12.75" customHeight="1">
      <c r="A283" s="89"/>
      <c r="B283" s="69"/>
      <c r="C283" s="69" t="s">
        <v>124</v>
      </c>
      <c r="D283" s="69" t="s">
        <v>345</v>
      </c>
      <c r="E283" s="69"/>
      <c r="F283" s="71" t="s">
        <v>10</v>
      </c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122"/>
    </row>
    <row r="284" spans="1:32" ht="12.75" customHeight="1">
      <c r="A284" s="89"/>
      <c r="B284" s="69"/>
      <c r="C284" s="69"/>
      <c r="D284" s="69"/>
      <c r="E284" s="69"/>
      <c r="F284" s="69"/>
      <c r="G284" s="69" t="s">
        <v>561</v>
      </c>
      <c r="H284" s="69"/>
      <c r="I284" s="69"/>
      <c r="J284" s="69"/>
      <c r="K284" s="69"/>
      <c r="L284" s="142" t="s">
        <v>102</v>
      </c>
      <c r="M284" s="142"/>
      <c r="N284" s="142"/>
      <c r="O284" s="142"/>
      <c r="P284" s="142"/>
      <c r="Q284" s="69"/>
      <c r="R284" s="69" t="s">
        <v>562</v>
      </c>
      <c r="S284" s="69"/>
      <c r="T284" s="69"/>
      <c r="U284" s="69"/>
      <c r="V284" s="142" t="s">
        <v>106</v>
      </c>
      <c r="W284" s="142"/>
      <c r="X284" s="142"/>
      <c r="Y284" s="142"/>
      <c r="Z284" s="142"/>
      <c r="AA284" s="69"/>
      <c r="AB284" s="69"/>
      <c r="AC284" s="69"/>
      <c r="AD284" s="69"/>
      <c r="AE284" s="69"/>
      <c r="AF284" s="122"/>
    </row>
    <row r="285" spans="1:32" ht="12.75" customHeight="1">
      <c r="A285" s="89"/>
      <c r="B285" s="69"/>
      <c r="C285" s="69"/>
      <c r="D285" s="69"/>
      <c r="E285" s="69"/>
      <c r="F285" s="69"/>
      <c r="G285" s="69" t="s">
        <v>563</v>
      </c>
      <c r="H285" s="69"/>
      <c r="I285" s="69"/>
      <c r="J285" s="69"/>
      <c r="K285" s="69"/>
      <c r="L285" s="142" t="s">
        <v>104</v>
      </c>
      <c r="M285" s="142"/>
      <c r="N285" s="142"/>
      <c r="O285" s="142"/>
      <c r="P285" s="142"/>
      <c r="Q285" s="69"/>
      <c r="R285" s="69" t="s">
        <v>417</v>
      </c>
      <c r="S285" s="69"/>
      <c r="T285" s="69"/>
      <c r="U285" s="69"/>
      <c r="V285" s="142" t="s">
        <v>418</v>
      </c>
      <c r="W285" s="142"/>
      <c r="X285" s="142"/>
      <c r="Y285" s="142"/>
      <c r="Z285" s="142"/>
      <c r="AA285" s="69"/>
      <c r="AB285" s="69"/>
      <c r="AC285" s="69"/>
      <c r="AD285" s="69"/>
      <c r="AE285" s="69"/>
      <c r="AF285" s="122"/>
    </row>
    <row r="286" spans="1:32" ht="12.75" customHeight="1">
      <c r="A286" s="89"/>
      <c r="B286" s="138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  <c r="AE286" s="125"/>
      <c r="AF286" s="127"/>
    </row>
    <row r="287" spans="1:32" ht="12.75" customHeight="1"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</row>
    <row r="288" spans="1:32" ht="12.75" customHeight="1"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 t="s">
        <v>602</v>
      </c>
      <c r="X288" s="69"/>
      <c r="Y288" s="69"/>
      <c r="Z288" s="69"/>
      <c r="AA288" s="69"/>
      <c r="AB288" s="69"/>
      <c r="AC288" s="69"/>
      <c r="AD288" s="69"/>
      <c r="AE288" s="69"/>
      <c r="AF288" s="69"/>
    </row>
    <row r="289" spans="2:32" ht="12.75" customHeight="1"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</row>
    <row r="290" spans="2:32" ht="12.75" customHeight="1">
      <c r="B290" s="69"/>
      <c r="C290" s="69"/>
      <c r="D290" s="69"/>
      <c r="E290" s="69"/>
      <c r="F290" s="69"/>
      <c r="G290" s="69" t="s">
        <v>588</v>
      </c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 t="s">
        <v>481</v>
      </c>
      <c r="X290" s="69"/>
      <c r="Y290" s="69"/>
      <c r="Z290" s="69"/>
      <c r="AA290" s="69"/>
      <c r="AB290" s="69"/>
      <c r="AC290" s="69"/>
      <c r="AD290" s="69"/>
      <c r="AE290" s="69"/>
      <c r="AF290" s="69"/>
    </row>
    <row r="291" spans="2:32" ht="12.75" customHeight="1">
      <c r="B291" s="69"/>
      <c r="C291" s="69"/>
      <c r="D291" s="69"/>
      <c r="E291" s="69"/>
      <c r="F291" s="69" t="s">
        <v>597</v>
      </c>
      <c r="G291" s="69" t="s">
        <v>274</v>
      </c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</row>
    <row r="292" spans="2:32" ht="12.75" customHeight="1">
      <c r="B292" s="69"/>
      <c r="C292" s="69"/>
      <c r="D292" s="69"/>
      <c r="E292" s="69"/>
      <c r="F292" s="69"/>
      <c r="G292" s="69" t="s">
        <v>598</v>
      </c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</row>
    <row r="293" spans="2:32" ht="12.75" customHeight="1"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</row>
    <row r="294" spans="2:32" ht="12.75" customHeight="1"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</row>
    <row r="295" spans="2:32" ht="12.75" customHeight="1"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</row>
    <row r="296" spans="2:32" ht="12.75" customHeight="1">
      <c r="B296" s="69"/>
      <c r="C296" s="69"/>
      <c r="D296" s="69"/>
      <c r="E296" s="69"/>
      <c r="F296" s="69"/>
      <c r="G296" s="69" t="s">
        <v>366</v>
      </c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 t="s">
        <v>603</v>
      </c>
      <c r="X296" s="69"/>
      <c r="Y296" s="69"/>
      <c r="Z296" s="69"/>
      <c r="AA296" s="69"/>
      <c r="AB296" s="69"/>
      <c r="AC296" s="69"/>
      <c r="AD296" s="69"/>
      <c r="AE296" s="69"/>
      <c r="AF296" s="69"/>
    </row>
    <row r="297" spans="2:32" ht="12.75" customHeight="1"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</row>
    <row r="298" spans="2:32" ht="12.75" customHeight="1"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</row>
    <row r="299" spans="2:32" ht="12.75" customHeight="1"/>
    <row r="300" spans="2:32" ht="12.75" customHeight="1"/>
    <row r="301" spans="2:32" ht="12.75" customHeight="1"/>
    <row r="302" spans="2:32" ht="12.75" customHeight="1"/>
    <row r="303" spans="2:32" ht="12.75" customHeight="1"/>
    <row r="304" spans="2:32" ht="12.75" customHeight="1"/>
    <row r="305" spans="2:32" ht="12.75" customHeight="1"/>
    <row r="306" spans="2:32" ht="12.75" customHeight="1"/>
    <row r="307" spans="2:32" ht="12.75" customHeight="1"/>
    <row r="308" spans="2:32" ht="12.75" customHeight="1"/>
    <row r="309" spans="2:32" ht="12.75" customHeight="1"/>
    <row r="310" spans="2:32" ht="12.75" customHeight="1"/>
    <row r="311" spans="2:32" ht="12.75" customHeight="1"/>
    <row r="312" spans="2:32" ht="12.75" customHeight="1"/>
    <row r="313" spans="2:32" ht="12.75" customHeight="1"/>
    <row r="314" spans="2:32" ht="12.75" customHeight="1"/>
    <row r="315" spans="2:32" ht="12.75" customHeight="1">
      <c r="Z315" s="139" t="s">
        <v>529</v>
      </c>
      <c r="AA315" s="139"/>
      <c r="AB315" s="139"/>
      <c r="AC315" s="139"/>
    </row>
    <row r="316" spans="2:32" ht="12.75" customHeight="1">
      <c r="B316" s="69"/>
      <c r="C316" s="69" t="s">
        <v>332</v>
      </c>
      <c r="D316" s="69"/>
      <c r="E316" s="69"/>
      <c r="F316" s="71" t="s">
        <v>10</v>
      </c>
      <c r="G316" s="69" t="s">
        <v>102</v>
      </c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 t="s">
        <v>530</v>
      </c>
      <c r="W316" s="69" t="s">
        <v>372</v>
      </c>
      <c r="X316" s="69"/>
      <c r="Y316" s="69" t="s">
        <v>10</v>
      </c>
      <c r="Z316" s="69" t="s">
        <v>373</v>
      </c>
      <c r="AA316" s="69"/>
      <c r="AB316" s="69"/>
      <c r="AC316" s="69"/>
      <c r="AD316" s="69"/>
      <c r="AE316" s="69"/>
      <c r="AF316" s="69"/>
    </row>
    <row r="317" spans="2:32" ht="12.75" customHeight="1">
      <c r="B317" s="69"/>
      <c r="C317" s="69" t="s">
        <v>331</v>
      </c>
      <c r="D317" s="69"/>
      <c r="E317" s="69"/>
      <c r="F317" s="71" t="s">
        <v>10</v>
      </c>
      <c r="G317" s="69" t="s">
        <v>104</v>
      </c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 t="s">
        <v>375</v>
      </c>
      <c r="X317" s="69"/>
      <c r="Y317" s="69" t="s">
        <v>10</v>
      </c>
      <c r="Z317" s="69" t="s">
        <v>332</v>
      </c>
      <c r="AA317" s="69"/>
      <c r="AB317" s="69"/>
      <c r="AC317" s="69"/>
      <c r="AD317" s="69"/>
      <c r="AE317" s="69"/>
      <c r="AF317" s="69"/>
    </row>
    <row r="318" spans="2:32" ht="12.75" customHeight="1">
      <c r="B318" s="69"/>
      <c r="C318" s="69" t="s">
        <v>330</v>
      </c>
      <c r="D318" s="69"/>
      <c r="E318" s="69"/>
      <c r="F318" s="71" t="s">
        <v>10</v>
      </c>
      <c r="G318" s="69" t="s">
        <v>106</v>
      </c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 t="s">
        <v>379</v>
      </c>
      <c r="X318" s="69"/>
      <c r="Y318" s="69" t="s">
        <v>10</v>
      </c>
      <c r="Z318" s="69" t="s">
        <v>331</v>
      </c>
      <c r="AA318" s="69"/>
      <c r="AB318" s="69"/>
      <c r="AC318" s="69"/>
      <c r="AD318" s="69"/>
      <c r="AE318" s="69"/>
      <c r="AF318" s="69"/>
    </row>
    <row r="319" spans="2:32" ht="12.75" customHeight="1">
      <c r="B319" s="69"/>
      <c r="C319" s="69"/>
      <c r="D319" s="69"/>
      <c r="E319" s="69"/>
      <c r="F319" s="71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</row>
    <row r="320" spans="2:32" ht="12.75" customHeight="1">
      <c r="B320" s="69"/>
      <c r="C320" s="69" t="s">
        <v>381</v>
      </c>
      <c r="D320" s="69"/>
      <c r="E320" s="69"/>
      <c r="F320" s="71" t="s">
        <v>10</v>
      </c>
      <c r="G320" s="108">
        <v>3</v>
      </c>
      <c r="H320" s="108">
        <v>3</v>
      </c>
      <c r="I320" s="108">
        <v>2</v>
      </c>
      <c r="J320" s="108">
        <v>7</v>
      </c>
      <c r="K320" s="108">
        <v>0</v>
      </c>
      <c r="L320" s="108">
        <v>4</v>
      </c>
      <c r="M320" s="108">
        <v>0</v>
      </c>
      <c r="N320" s="108">
        <v>1</v>
      </c>
      <c r="O320" s="108">
        <v>1</v>
      </c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  <c r="AD320" s="69"/>
      <c r="AE320" s="69"/>
      <c r="AF320" s="69"/>
    </row>
    <row r="321" spans="1:32" ht="12.75" customHeight="1">
      <c r="B321" s="69"/>
      <c r="C321" s="69"/>
      <c r="D321" s="69"/>
      <c r="E321" s="69"/>
      <c r="F321" s="71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  <c r="AD321" s="69"/>
      <c r="AE321" s="69"/>
      <c r="AF321" s="69"/>
    </row>
    <row r="322" spans="1:32" ht="12.75" customHeight="1"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  <c r="AD322" s="69"/>
      <c r="AE322" s="69"/>
      <c r="AF322" s="69"/>
    </row>
    <row r="323" spans="1:32" ht="12.75" customHeight="1">
      <c r="B323" s="69"/>
      <c r="C323" s="1" t="s">
        <v>531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2.75" customHeight="1"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  <c r="AD324" s="69"/>
      <c r="AE324" s="69"/>
      <c r="AF324" s="69"/>
    </row>
    <row r="325" spans="1:32" ht="12.75" customHeight="1">
      <c r="B325" s="69"/>
      <c r="C325" s="69" t="s">
        <v>385</v>
      </c>
      <c r="D325" s="69"/>
      <c r="E325" s="69"/>
      <c r="F325" s="71" t="s">
        <v>10</v>
      </c>
      <c r="G325" s="108" t="s">
        <v>475</v>
      </c>
      <c r="H325" s="108" t="s">
        <v>467</v>
      </c>
      <c r="I325" s="108" t="s">
        <v>498</v>
      </c>
      <c r="J325" s="108" t="s">
        <v>464</v>
      </c>
      <c r="K325" s="108" t="s">
        <v>484</v>
      </c>
      <c r="L325" s="108" t="s">
        <v>469</v>
      </c>
      <c r="M325" s="108" t="s">
        <v>468</v>
      </c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  <c r="AF325" s="69"/>
    </row>
    <row r="326" spans="1:32" ht="12.75" customHeight="1">
      <c r="B326" s="69"/>
      <c r="C326" s="69" t="s">
        <v>387</v>
      </c>
      <c r="D326" s="69"/>
      <c r="E326" s="69"/>
      <c r="F326" s="71" t="s">
        <v>10</v>
      </c>
      <c r="G326" s="108">
        <v>3</v>
      </c>
      <c r="H326" s="108">
        <v>3</v>
      </c>
      <c r="I326" s="108">
        <v>2</v>
      </c>
      <c r="J326" s="108">
        <v>7</v>
      </c>
      <c r="K326" s="108">
        <v>0</v>
      </c>
      <c r="L326" s="108">
        <v>4</v>
      </c>
      <c r="M326" s="108">
        <v>1</v>
      </c>
      <c r="N326" s="108">
        <v>2</v>
      </c>
      <c r="O326" s="108">
        <v>0</v>
      </c>
      <c r="P326" s="108">
        <v>4</v>
      </c>
      <c r="Q326" s="108">
        <v>1</v>
      </c>
      <c r="R326" s="108">
        <v>2</v>
      </c>
      <c r="S326" s="108">
        <v>0</v>
      </c>
      <c r="T326" s="108">
        <v>0</v>
      </c>
      <c r="U326" s="108">
        <v>0</v>
      </c>
      <c r="V326" s="108">
        <v>9</v>
      </c>
      <c r="W326" s="109"/>
      <c r="X326" s="109"/>
      <c r="Y326" s="109"/>
      <c r="Z326" s="69"/>
      <c r="AA326" s="69"/>
      <c r="AB326" s="69"/>
      <c r="AC326" s="69"/>
      <c r="AD326" s="69"/>
      <c r="AE326" s="69"/>
      <c r="AF326" s="69"/>
    </row>
    <row r="327" spans="1:32" ht="12.75" customHeight="1"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  <c r="AE327" s="125"/>
      <c r="AF327" s="125"/>
    </row>
    <row r="328" spans="1:32" ht="12.75" customHeight="1">
      <c r="A328" s="89"/>
      <c r="B328" s="69"/>
      <c r="C328" s="128" t="s">
        <v>532</v>
      </c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  <c r="AD328" s="69"/>
      <c r="AE328" s="69"/>
      <c r="AF328" s="124"/>
    </row>
    <row r="329" spans="1:32" ht="12.75" customHeight="1">
      <c r="A329" s="8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  <c r="AD329" s="69"/>
      <c r="AE329" s="69"/>
      <c r="AF329" s="122"/>
    </row>
    <row r="330" spans="1:32" ht="12.75" customHeight="1">
      <c r="A330" s="89"/>
      <c r="B330" s="69"/>
      <c r="C330" s="69" t="s">
        <v>111</v>
      </c>
      <c r="D330" s="69" t="s">
        <v>533</v>
      </c>
      <c r="E330" s="69"/>
      <c r="F330" s="71" t="s">
        <v>10</v>
      </c>
      <c r="G330" s="108" t="s">
        <v>476</v>
      </c>
      <c r="H330" s="108" t="s">
        <v>464</v>
      </c>
      <c r="I330" s="108" t="s">
        <v>475</v>
      </c>
      <c r="J330" s="108" t="s">
        <v>486</v>
      </c>
      <c r="K330" s="108" t="s">
        <v>469</v>
      </c>
      <c r="L330" s="108" t="s">
        <v>590</v>
      </c>
      <c r="M330" s="108" t="s">
        <v>469</v>
      </c>
      <c r="N330" s="108"/>
      <c r="O330" s="108" t="s">
        <v>464</v>
      </c>
      <c r="P330" s="108" t="s">
        <v>503</v>
      </c>
      <c r="Q330" s="108" t="s">
        <v>464</v>
      </c>
      <c r="R330" s="108" t="s">
        <v>484</v>
      </c>
      <c r="S330" s="108"/>
      <c r="T330" s="108" t="s">
        <v>484</v>
      </c>
      <c r="U330" s="108" t="s">
        <v>464</v>
      </c>
      <c r="V330" s="108" t="s">
        <v>487</v>
      </c>
      <c r="W330" s="108" t="s">
        <v>467</v>
      </c>
      <c r="X330" s="108" t="s">
        <v>476</v>
      </c>
      <c r="Y330" s="108" t="s">
        <v>468</v>
      </c>
      <c r="Z330" s="108" t="s">
        <v>464</v>
      </c>
      <c r="AA330" s="108"/>
      <c r="AB330" s="108"/>
      <c r="AC330" s="108"/>
      <c r="AD330" s="108"/>
      <c r="AE330" s="108"/>
      <c r="AF330" s="122"/>
    </row>
    <row r="331" spans="1:32" ht="12.75" customHeight="1">
      <c r="A331" s="89"/>
      <c r="B331" s="69"/>
      <c r="C331" s="69" t="s">
        <v>115</v>
      </c>
      <c r="D331" s="69" t="s">
        <v>285</v>
      </c>
      <c r="E331" s="69"/>
      <c r="F331" s="71" t="s">
        <v>10</v>
      </c>
      <c r="G331" s="108" t="s">
        <v>111</v>
      </c>
      <c r="H331" s="69" t="s">
        <v>534</v>
      </c>
      <c r="I331" s="69"/>
      <c r="J331" s="69"/>
      <c r="K331" s="69"/>
      <c r="L331" s="69" t="s">
        <v>394</v>
      </c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  <c r="AD331" s="69"/>
      <c r="AE331" s="69"/>
      <c r="AF331" s="122"/>
    </row>
    <row r="332" spans="1:32" ht="12.75" customHeight="1">
      <c r="A332" s="89"/>
      <c r="B332" s="69"/>
      <c r="C332" s="69" t="s">
        <v>118</v>
      </c>
      <c r="D332" s="69" t="s">
        <v>596</v>
      </c>
      <c r="E332" s="69"/>
      <c r="F332" s="71" t="s">
        <v>10</v>
      </c>
      <c r="G332" s="129">
        <v>4</v>
      </c>
      <c r="H332" s="69" t="s">
        <v>536</v>
      </c>
      <c r="I332" s="69"/>
      <c r="J332" s="69"/>
      <c r="K332" s="69"/>
      <c r="L332" s="69" t="s">
        <v>537</v>
      </c>
      <c r="M332" s="69"/>
      <c r="N332" s="69"/>
      <c r="O332" s="69"/>
      <c r="P332" s="69" t="s">
        <v>538</v>
      </c>
      <c r="Q332" s="69"/>
      <c r="R332" s="69"/>
      <c r="S332" s="69"/>
      <c r="T332" s="69" t="s">
        <v>539</v>
      </c>
      <c r="U332" s="69"/>
      <c r="V332" s="69"/>
      <c r="W332" s="69"/>
      <c r="X332" s="69"/>
      <c r="Y332" s="69" t="s">
        <v>540</v>
      </c>
      <c r="Z332" s="69"/>
      <c r="AA332" s="69"/>
      <c r="AB332" s="69"/>
      <c r="AC332" s="69"/>
      <c r="AD332" s="69"/>
      <c r="AE332" s="69"/>
      <c r="AF332" s="122"/>
    </row>
    <row r="333" spans="1:32" ht="12.75" customHeight="1">
      <c r="A333" s="89"/>
      <c r="B333" s="69"/>
      <c r="C333" s="69" t="s">
        <v>121</v>
      </c>
      <c r="D333" s="69" t="s">
        <v>541</v>
      </c>
      <c r="E333" s="69"/>
      <c r="F333" s="71" t="s">
        <v>10</v>
      </c>
      <c r="G333" s="108" t="s">
        <v>487</v>
      </c>
      <c r="H333" s="108" t="s">
        <v>488</v>
      </c>
      <c r="I333" s="108" t="s">
        <v>475</v>
      </c>
      <c r="J333" s="108" t="s">
        <v>464</v>
      </c>
      <c r="K333" s="108" t="s">
        <v>474</v>
      </c>
      <c r="L333" s="108" t="s">
        <v>464</v>
      </c>
      <c r="M333" s="108" t="s">
        <v>485</v>
      </c>
      <c r="N333" s="108" t="s">
        <v>489</v>
      </c>
      <c r="O333" s="109"/>
      <c r="P333" s="109"/>
      <c r="Q333" s="109"/>
      <c r="R333" s="109"/>
      <c r="S333" s="109"/>
      <c r="T333" s="109"/>
      <c r="U333" s="109"/>
      <c r="V333" s="109"/>
      <c r="W333" s="69"/>
      <c r="X333" s="69"/>
      <c r="Y333" s="69"/>
      <c r="Z333" s="69"/>
      <c r="AA333" s="69"/>
      <c r="AB333" s="69"/>
      <c r="AC333" s="69"/>
      <c r="AD333" s="69"/>
      <c r="AE333" s="69"/>
      <c r="AF333" s="122"/>
    </row>
    <row r="334" spans="1:32" ht="12.75" customHeight="1">
      <c r="A334" s="89"/>
      <c r="B334" s="69"/>
      <c r="C334" s="69" t="s">
        <v>124</v>
      </c>
      <c r="D334" s="69" t="s">
        <v>542</v>
      </c>
      <c r="E334" s="69"/>
      <c r="F334" s="71" t="s">
        <v>10</v>
      </c>
      <c r="G334" s="69" t="s">
        <v>349</v>
      </c>
      <c r="H334" s="69"/>
      <c r="I334" s="129" t="s">
        <v>468</v>
      </c>
      <c r="J334" s="108" t="s">
        <v>464</v>
      </c>
      <c r="K334" s="108" t="s">
        <v>503</v>
      </c>
      <c r="L334" s="108" t="s">
        <v>467</v>
      </c>
      <c r="M334" s="108"/>
      <c r="N334" s="108"/>
      <c r="O334" s="71"/>
      <c r="P334" s="71" t="s">
        <v>397</v>
      </c>
      <c r="Q334" s="71"/>
      <c r="R334" s="108">
        <v>2</v>
      </c>
      <c r="S334" s="108">
        <v>5</v>
      </c>
      <c r="T334" s="71"/>
      <c r="U334" s="71" t="s">
        <v>422</v>
      </c>
      <c r="V334" s="71"/>
      <c r="W334" s="108">
        <v>0</v>
      </c>
      <c r="X334" s="108">
        <v>9</v>
      </c>
      <c r="Y334" s="71"/>
      <c r="Z334" s="71" t="s">
        <v>543</v>
      </c>
      <c r="AA334" s="71"/>
      <c r="AB334" s="108">
        <v>2</v>
      </c>
      <c r="AC334" s="108">
        <v>0</v>
      </c>
      <c r="AD334" s="108">
        <v>1</v>
      </c>
      <c r="AE334" s="108">
        <v>7</v>
      </c>
      <c r="AF334" s="122"/>
    </row>
    <row r="335" spans="1:32" ht="12.75" customHeight="1">
      <c r="A335" s="89"/>
      <c r="B335" s="69"/>
      <c r="C335" s="69" t="s">
        <v>127</v>
      </c>
      <c r="D335" s="69" t="s">
        <v>425</v>
      </c>
      <c r="E335" s="69"/>
      <c r="F335" s="71" t="s">
        <v>10</v>
      </c>
      <c r="G335" s="108">
        <v>2</v>
      </c>
      <c r="H335" s="108">
        <v>0</v>
      </c>
      <c r="I335" s="108">
        <v>3</v>
      </c>
      <c r="J335" s="108">
        <v>0</v>
      </c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  <c r="AD335" s="69"/>
      <c r="AE335" s="69"/>
      <c r="AF335" s="122"/>
    </row>
    <row r="336" spans="1:32" ht="12.75" customHeight="1">
      <c r="A336" s="89"/>
      <c r="B336" s="69"/>
      <c r="C336" s="69" t="s">
        <v>130</v>
      </c>
      <c r="D336" s="69" t="s">
        <v>545</v>
      </c>
      <c r="E336" s="69"/>
      <c r="F336" s="71" t="s">
        <v>10</v>
      </c>
      <c r="G336" s="109" t="s">
        <v>111</v>
      </c>
      <c r="H336" s="69" t="s">
        <v>546</v>
      </c>
      <c r="I336" s="69"/>
      <c r="J336" s="69"/>
      <c r="K336" s="69"/>
      <c r="L336" s="69" t="s">
        <v>547</v>
      </c>
      <c r="M336" s="69"/>
      <c r="N336" s="69"/>
      <c r="O336" s="69"/>
      <c r="P336" s="69" t="s">
        <v>548</v>
      </c>
      <c r="Q336" s="69"/>
      <c r="R336" s="69"/>
      <c r="S336" s="69"/>
      <c r="T336" s="69" t="s">
        <v>549</v>
      </c>
      <c r="U336" s="69"/>
      <c r="V336" s="69"/>
      <c r="W336" s="69"/>
      <c r="X336" s="69"/>
      <c r="Y336" s="69" t="s">
        <v>540</v>
      </c>
      <c r="Z336" s="69"/>
      <c r="AA336" s="69"/>
      <c r="AB336" s="69"/>
      <c r="AC336" s="69"/>
      <c r="AD336" s="69"/>
      <c r="AE336" s="69"/>
      <c r="AF336" s="122"/>
    </row>
    <row r="337" spans="1:32" ht="12.75" customHeight="1">
      <c r="A337" s="89"/>
      <c r="B337" s="69"/>
      <c r="C337" s="69" t="s">
        <v>134</v>
      </c>
      <c r="D337" s="69" t="s">
        <v>550</v>
      </c>
      <c r="E337" s="69"/>
      <c r="F337" s="71" t="s">
        <v>10</v>
      </c>
      <c r="G337" s="109">
        <v>2</v>
      </c>
      <c r="H337" s="69" t="s">
        <v>111</v>
      </c>
      <c r="I337" s="69" t="s">
        <v>115</v>
      </c>
      <c r="J337" s="69" t="s">
        <v>118</v>
      </c>
      <c r="K337" s="69" t="s">
        <v>121</v>
      </c>
      <c r="L337" s="69" t="s">
        <v>551</v>
      </c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  <c r="AD337" s="69"/>
      <c r="AE337" s="69"/>
      <c r="AF337" s="122"/>
    </row>
    <row r="338" spans="1:32" ht="12.75" customHeight="1">
      <c r="A338" s="89"/>
      <c r="B338" s="69"/>
      <c r="C338" s="69" t="s">
        <v>137</v>
      </c>
      <c r="D338" s="69" t="s">
        <v>599</v>
      </c>
      <c r="E338" s="69"/>
      <c r="F338" s="71" t="s">
        <v>10</v>
      </c>
      <c r="G338" s="137">
        <v>2</v>
      </c>
      <c r="H338" s="69" t="s">
        <v>438</v>
      </c>
      <c r="I338" s="69"/>
      <c r="J338" s="69"/>
      <c r="K338" s="69"/>
      <c r="L338" s="69" t="s">
        <v>553</v>
      </c>
      <c r="M338" s="69"/>
      <c r="N338" s="69"/>
      <c r="O338" s="69"/>
      <c r="P338" s="69" t="s">
        <v>554</v>
      </c>
      <c r="Q338" s="69"/>
      <c r="R338" s="69"/>
      <c r="S338" s="69"/>
      <c r="T338" s="69" t="s">
        <v>441</v>
      </c>
      <c r="U338" s="69"/>
      <c r="V338" s="69"/>
      <c r="W338" s="69"/>
      <c r="X338" s="69"/>
      <c r="Y338" s="69"/>
      <c r="Z338" s="69"/>
      <c r="AA338" s="69"/>
      <c r="AB338" s="69"/>
      <c r="AC338" s="69"/>
      <c r="AD338" s="69"/>
      <c r="AE338" s="69"/>
      <c r="AF338" s="122"/>
    </row>
    <row r="339" spans="1:32" ht="12.75" customHeight="1">
      <c r="A339" s="89"/>
      <c r="B339" s="69"/>
      <c r="C339" s="69" t="s">
        <v>145</v>
      </c>
      <c r="D339" s="69" t="s">
        <v>555</v>
      </c>
      <c r="E339" s="69"/>
      <c r="F339" s="71" t="s">
        <v>10</v>
      </c>
      <c r="G339" s="108">
        <v>2</v>
      </c>
      <c r="H339" s="108" t="s">
        <v>600</v>
      </c>
      <c r="I339" s="108">
        <v>6</v>
      </c>
      <c r="J339" s="109"/>
      <c r="K339" s="69" t="s">
        <v>601</v>
      </c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  <c r="AD339" s="69"/>
      <c r="AE339" s="69"/>
      <c r="AF339" s="122"/>
    </row>
    <row r="340" spans="1:32" ht="12.75" customHeight="1">
      <c r="A340" s="89"/>
      <c r="B340" s="69"/>
      <c r="C340" s="69" t="s">
        <v>424</v>
      </c>
      <c r="D340" s="69" t="s">
        <v>557</v>
      </c>
      <c r="E340" s="69"/>
      <c r="F340" s="71" t="s">
        <v>10</v>
      </c>
      <c r="G340" s="108">
        <v>4</v>
      </c>
      <c r="H340" s="108">
        <v>5</v>
      </c>
      <c r="I340" s="71" t="s">
        <v>558</v>
      </c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  <c r="AD340" s="69"/>
      <c r="AE340" s="69"/>
      <c r="AF340" s="122"/>
    </row>
    <row r="341" spans="1:32" ht="12.75" customHeight="1">
      <c r="A341" s="89"/>
      <c r="B341" s="138"/>
      <c r="C341" s="125"/>
      <c r="D341" s="125"/>
      <c r="E341" s="125"/>
      <c r="F341" s="126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5"/>
      <c r="AD341" s="125"/>
      <c r="AE341" s="125"/>
      <c r="AF341" s="127"/>
    </row>
    <row r="342" spans="1:32" ht="12.75" customHeight="1">
      <c r="A342" s="89"/>
      <c r="B342" s="69"/>
      <c r="C342" s="128" t="s">
        <v>449</v>
      </c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  <c r="AD342" s="69"/>
      <c r="AE342" s="69"/>
      <c r="AF342" s="122"/>
    </row>
    <row r="343" spans="1:32" ht="12.75" customHeight="1">
      <c r="A343" s="89"/>
      <c r="B343" s="69"/>
      <c r="C343" s="69" t="s">
        <v>111</v>
      </c>
      <c r="D343" s="69" t="s">
        <v>340</v>
      </c>
      <c r="E343" s="69"/>
      <c r="F343" s="71" t="s">
        <v>10</v>
      </c>
      <c r="G343" s="108">
        <v>3</v>
      </c>
      <c r="H343" s="108">
        <v>3</v>
      </c>
      <c r="I343" s="108">
        <v>2</v>
      </c>
      <c r="J343" s="108">
        <v>7</v>
      </c>
      <c r="K343" s="108">
        <v>0</v>
      </c>
      <c r="L343" s="108">
        <v>4</v>
      </c>
      <c r="M343" s="108">
        <v>6</v>
      </c>
      <c r="N343" s="108">
        <v>5</v>
      </c>
      <c r="O343" s="108">
        <v>0</v>
      </c>
      <c r="P343" s="108">
        <v>3</v>
      </c>
      <c r="Q343" s="108">
        <v>9</v>
      </c>
      <c r="R343" s="108">
        <v>1</v>
      </c>
      <c r="S343" s="108">
        <v>0</v>
      </c>
      <c r="T343" s="108">
        <v>0</v>
      </c>
      <c r="U343" s="108">
        <v>0</v>
      </c>
      <c r="V343" s="108">
        <v>7</v>
      </c>
      <c r="W343" s="108"/>
      <c r="X343" s="71"/>
      <c r="Y343" s="71"/>
      <c r="Z343" s="71"/>
      <c r="AA343" s="71"/>
      <c r="AB343" s="71"/>
      <c r="AC343" s="71"/>
      <c r="AD343" s="71"/>
      <c r="AE343" s="71"/>
      <c r="AF343" s="122"/>
    </row>
    <row r="344" spans="1:32" ht="12.75" customHeight="1">
      <c r="A344" s="89"/>
      <c r="B344" s="69"/>
      <c r="C344" s="69" t="s">
        <v>115</v>
      </c>
      <c r="D344" s="69" t="s">
        <v>391</v>
      </c>
      <c r="E344" s="69"/>
      <c r="F344" s="71" t="s">
        <v>10</v>
      </c>
      <c r="G344" s="108" t="s">
        <v>475</v>
      </c>
      <c r="H344" s="108" t="s">
        <v>467</v>
      </c>
      <c r="I344" s="108" t="s">
        <v>468</v>
      </c>
      <c r="J344" s="108" t="s">
        <v>463</v>
      </c>
      <c r="K344" s="108" t="s">
        <v>464</v>
      </c>
      <c r="L344" s="108" t="s">
        <v>476</v>
      </c>
      <c r="M344" s="108" t="s">
        <v>469</v>
      </c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  <c r="AF344" s="122"/>
    </row>
    <row r="345" spans="1:32" ht="12.75" customHeight="1">
      <c r="A345" s="89"/>
      <c r="B345" s="69"/>
      <c r="C345" s="69" t="s">
        <v>118</v>
      </c>
      <c r="D345" s="69" t="s">
        <v>559</v>
      </c>
      <c r="E345" s="69"/>
      <c r="F345" s="71" t="s">
        <v>10</v>
      </c>
      <c r="G345" s="71" t="s">
        <v>397</v>
      </c>
      <c r="H345" s="129">
        <v>2</v>
      </c>
      <c r="I345" s="108">
        <v>5</v>
      </c>
      <c r="J345" s="71"/>
      <c r="K345" s="71" t="s">
        <v>398</v>
      </c>
      <c r="L345" s="108">
        <v>0</v>
      </c>
      <c r="M345" s="108">
        <v>3</v>
      </c>
      <c r="N345" s="71"/>
      <c r="O345" s="71" t="s">
        <v>560</v>
      </c>
      <c r="P345" s="108">
        <v>1</v>
      </c>
      <c r="Q345" s="108">
        <v>9</v>
      </c>
      <c r="R345" s="108">
        <v>9</v>
      </c>
      <c r="S345" s="108">
        <v>1</v>
      </c>
      <c r="T345" s="71"/>
      <c r="U345" s="71" t="s">
        <v>359</v>
      </c>
      <c r="V345" s="71"/>
      <c r="W345" s="108">
        <v>2</v>
      </c>
      <c r="X345" s="108">
        <v>6</v>
      </c>
      <c r="Y345" s="108"/>
      <c r="Z345" s="71"/>
      <c r="AA345" s="71"/>
      <c r="AB345" s="71"/>
      <c r="AC345" s="71"/>
      <c r="AD345" s="71"/>
      <c r="AE345" s="71"/>
      <c r="AF345" s="122"/>
    </row>
    <row r="346" spans="1:32" ht="12.75" customHeight="1">
      <c r="A346" s="89" t="s">
        <v>574</v>
      </c>
      <c r="B346" s="69"/>
      <c r="C346" s="69" t="s">
        <v>121</v>
      </c>
      <c r="D346" s="69" t="s">
        <v>128</v>
      </c>
      <c r="E346" s="69"/>
      <c r="F346" s="71" t="s">
        <v>10</v>
      </c>
      <c r="G346" s="108">
        <v>0</v>
      </c>
      <c r="H346" s="108">
        <v>2</v>
      </c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  <c r="AD346" s="69"/>
      <c r="AE346" s="69"/>
      <c r="AF346" s="122"/>
    </row>
    <row r="347" spans="1:32" ht="12.75" customHeight="1">
      <c r="A347" s="89"/>
      <c r="B347" s="69"/>
      <c r="C347" s="69" t="s">
        <v>124</v>
      </c>
      <c r="D347" s="69" t="s">
        <v>345</v>
      </c>
      <c r="E347" s="69"/>
      <c r="F347" s="71" t="s">
        <v>10</v>
      </c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122"/>
    </row>
    <row r="348" spans="1:32" ht="12.75" customHeight="1">
      <c r="A348" s="89"/>
      <c r="B348" s="69"/>
      <c r="C348" s="69"/>
      <c r="D348" s="69"/>
      <c r="E348" s="69"/>
      <c r="F348" s="71"/>
      <c r="G348" s="69" t="s">
        <v>561</v>
      </c>
      <c r="H348" s="69"/>
      <c r="I348" s="69"/>
      <c r="J348" s="69"/>
      <c r="K348" s="69"/>
      <c r="L348" s="142" t="s">
        <v>102</v>
      </c>
      <c r="M348" s="142"/>
      <c r="N348" s="142"/>
      <c r="O348" s="142"/>
      <c r="P348" s="142"/>
      <c r="Q348" s="131"/>
      <c r="R348" s="131" t="s">
        <v>562</v>
      </c>
      <c r="S348" s="131"/>
      <c r="T348" s="131"/>
      <c r="U348" s="131"/>
      <c r="V348" s="142" t="s">
        <v>106</v>
      </c>
      <c r="W348" s="142"/>
      <c r="X348" s="142"/>
      <c r="Y348" s="142"/>
      <c r="Z348" s="142"/>
      <c r="AA348" s="69"/>
      <c r="AB348" s="69"/>
      <c r="AC348" s="69"/>
      <c r="AD348" s="69"/>
      <c r="AE348" s="69"/>
      <c r="AF348" s="122"/>
    </row>
    <row r="349" spans="1:32" ht="12.75" customHeight="1">
      <c r="A349" s="89"/>
      <c r="B349" s="69"/>
      <c r="C349" s="69"/>
      <c r="D349" s="69"/>
      <c r="E349" s="69"/>
      <c r="F349" s="71"/>
      <c r="G349" s="69" t="s">
        <v>563</v>
      </c>
      <c r="H349" s="69"/>
      <c r="I349" s="69"/>
      <c r="J349" s="69"/>
      <c r="K349" s="69"/>
      <c r="L349" s="142" t="s">
        <v>104</v>
      </c>
      <c r="M349" s="142"/>
      <c r="N349" s="142"/>
      <c r="O349" s="142"/>
      <c r="P349" s="142"/>
      <c r="Q349" s="131"/>
      <c r="R349" s="131" t="s">
        <v>417</v>
      </c>
      <c r="S349" s="131"/>
      <c r="T349" s="131"/>
      <c r="U349" s="131"/>
      <c r="V349" s="142" t="s">
        <v>418</v>
      </c>
      <c r="W349" s="142"/>
      <c r="X349" s="142"/>
      <c r="Y349" s="142"/>
      <c r="Z349" s="142"/>
      <c r="AA349" s="69"/>
      <c r="AB349" s="69"/>
      <c r="AC349" s="69"/>
      <c r="AD349" s="69"/>
      <c r="AE349" s="69"/>
      <c r="AF349" s="122"/>
    </row>
    <row r="350" spans="1:32" ht="12.75" customHeight="1">
      <c r="A350" s="89"/>
      <c r="B350" s="69"/>
      <c r="C350" s="69" t="s">
        <v>127</v>
      </c>
      <c r="D350" s="69" t="s">
        <v>564</v>
      </c>
      <c r="E350" s="69"/>
      <c r="F350" s="71" t="s">
        <v>10</v>
      </c>
      <c r="G350" s="108" t="s">
        <v>111</v>
      </c>
      <c r="H350" s="71"/>
      <c r="I350" s="71" t="s">
        <v>565</v>
      </c>
      <c r="J350" s="71"/>
      <c r="K350" s="71"/>
      <c r="L350" s="71" t="s">
        <v>566</v>
      </c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69"/>
      <c r="X350" s="69"/>
      <c r="Y350" s="69"/>
      <c r="Z350" s="69"/>
      <c r="AA350" s="69"/>
      <c r="AB350" s="69"/>
      <c r="AC350" s="69"/>
      <c r="AD350" s="69"/>
      <c r="AE350" s="69"/>
      <c r="AF350" s="122"/>
    </row>
    <row r="351" spans="1:32" ht="12.75" customHeight="1">
      <c r="A351" s="89"/>
      <c r="B351" s="69"/>
      <c r="C351" s="69" t="s">
        <v>130</v>
      </c>
      <c r="D351" s="69" t="s">
        <v>567</v>
      </c>
      <c r="E351" s="69"/>
      <c r="F351" s="71" t="s">
        <v>10</v>
      </c>
      <c r="G351" s="130" t="s">
        <v>568</v>
      </c>
      <c r="H351" s="141"/>
      <c r="I351" s="141"/>
      <c r="J351" s="141"/>
      <c r="K351" s="143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69"/>
      <c r="X351" s="69"/>
      <c r="Y351" s="69"/>
      <c r="Z351" s="69"/>
      <c r="AA351" s="69"/>
      <c r="AB351" s="69"/>
      <c r="AC351" s="69"/>
      <c r="AD351" s="69"/>
      <c r="AE351" s="69"/>
      <c r="AF351" s="122"/>
    </row>
    <row r="352" spans="1:32" ht="12.75" customHeight="1">
      <c r="A352" s="89"/>
      <c r="B352" s="69"/>
      <c r="C352" s="69" t="s">
        <v>134</v>
      </c>
      <c r="D352" s="69" t="s">
        <v>569</v>
      </c>
      <c r="E352" s="69"/>
      <c r="F352" s="71" t="s">
        <v>10</v>
      </c>
      <c r="G352" s="71" t="s">
        <v>570</v>
      </c>
      <c r="H352" s="71"/>
      <c r="I352" s="108"/>
      <c r="J352" s="108"/>
      <c r="K352" s="71"/>
      <c r="L352" s="71" t="s">
        <v>398</v>
      </c>
      <c r="M352" s="71"/>
      <c r="N352" s="108"/>
      <c r="O352" s="108"/>
      <c r="P352" s="71"/>
      <c r="Q352" s="71" t="s">
        <v>560</v>
      </c>
      <c r="R352" s="71"/>
      <c r="S352" s="108"/>
      <c r="T352" s="108"/>
      <c r="U352" s="108"/>
      <c r="V352" s="108"/>
      <c r="W352" s="69"/>
      <c r="X352" s="69"/>
      <c r="Y352" s="69"/>
      <c r="Z352" s="69"/>
      <c r="AA352" s="69"/>
      <c r="AB352" s="69"/>
      <c r="AC352" s="69"/>
      <c r="AD352" s="69"/>
      <c r="AE352" s="69"/>
      <c r="AF352" s="122"/>
    </row>
    <row r="353" spans="1:32" ht="12.75" customHeight="1">
      <c r="A353" s="89"/>
      <c r="B353" s="138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  <c r="AB353" s="125"/>
      <c r="AC353" s="125"/>
      <c r="AD353" s="125"/>
      <c r="AE353" s="125"/>
      <c r="AF353" s="127"/>
    </row>
    <row r="354" spans="1:32" ht="12.75" customHeight="1">
      <c r="A354" s="89"/>
      <c r="B354" s="69"/>
      <c r="C354" s="128" t="s">
        <v>443</v>
      </c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  <c r="AD354" s="69"/>
      <c r="AE354" s="69"/>
      <c r="AF354" s="122"/>
    </row>
    <row r="355" spans="1:32" ht="12.75" customHeight="1">
      <c r="A355" s="89"/>
      <c r="B355" s="69"/>
      <c r="C355" s="69" t="s">
        <v>111</v>
      </c>
      <c r="D355" s="69" t="s">
        <v>340</v>
      </c>
      <c r="E355" s="69"/>
      <c r="F355" s="71" t="s">
        <v>10</v>
      </c>
      <c r="G355" s="108">
        <v>3</v>
      </c>
      <c r="H355" s="108">
        <v>3</v>
      </c>
      <c r="I355" s="108">
        <v>2</v>
      </c>
      <c r="J355" s="108">
        <v>7</v>
      </c>
      <c r="K355" s="108">
        <v>0</v>
      </c>
      <c r="L355" s="108">
        <v>4</v>
      </c>
      <c r="M355" s="108">
        <v>1</v>
      </c>
      <c r="N355" s="108">
        <v>4</v>
      </c>
      <c r="O355" s="108">
        <v>1</v>
      </c>
      <c r="P355" s="108">
        <v>2</v>
      </c>
      <c r="Q355" s="108">
        <v>8</v>
      </c>
      <c r="R355" s="108">
        <v>4</v>
      </c>
      <c r="S355" s="108">
        <v>0</v>
      </c>
      <c r="T355" s="108">
        <v>0</v>
      </c>
      <c r="U355" s="108">
        <v>0</v>
      </c>
      <c r="V355" s="108">
        <v>3</v>
      </c>
      <c r="W355" s="108"/>
      <c r="X355" s="71"/>
      <c r="Y355" s="71"/>
      <c r="Z355" s="71"/>
      <c r="AA355" s="71"/>
      <c r="AB355" s="71"/>
      <c r="AC355" s="71"/>
      <c r="AD355" s="71"/>
      <c r="AE355" s="71"/>
      <c r="AF355" s="122"/>
    </row>
    <row r="356" spans="1:32" ht="12.75" customHeight="1">
      <c r="A356" s="89"/>
      <c r="B356" s="69"/>
      <c r="C356" s="69" t="s">
        <v>115</v>
      </c>
      <c r="D356" s="69" t="s">
        <v>391</v>
      </c>
      <c r="E356" s="69"/>
      <c r="F356" s="71" t="s">
        <v>10</v>
      </c>
      <c r="G356" s="108" t="s">
        <v>475</v>
      </c>
      <c r="H356" s="108" t="s">
        <v>467</v>
      </c>
      <c r="I356" s="108" t="s">
        <v>498</v>
      </c>
      <c r="J356" s="108" t="s">
        <v>464</v>
      </c>
      <c r="K356" s="108" t="s">
        <v>484</v>
      </c>
      <c r="L356" s="108" t="s">
        <v>469</v>
      </c>
      <c r="M356" s="108" t="s">
        <v>468</v>
      </c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  <c r="AF356" s="122"/>
    </row>
    <row r="357" spans="1:32" ht="12.75" customHeight="1">
      <c r="A357" s="89"/>
      <c r="B357" s="69"/>
      <c r="C357" s="69" t="s">
        <v>118</v>
      </c>
      <c r="D357" s="69" t="s">
        <v>559</v>
      </c>
      <c r="E357" s="69"/>
      <c r="F357" s="71" t="s">
        <v>10</v>
      </c>
      <c r="G357" s="71" t="s">
        <v>397</v>
      </c>
      <c r="H357" s="129">
        <v>1</v>
      </c>
      <c r="I357" s="108">
        <v>4</v>
      </c>
      <c r="J357" s="71"/>
      <c r="K357" s="71" t="s">
        <v>398</v>
      </c>
      <c r="L357" s="108">
        <v>1</v>
      </c>
      <c r="M357" s="108">
        <v>2</v>
      </c>
      <c r="N357" s="71"/>
      <c r="O357" s="71" t="s">
        <v>560</v>
      </c>
      <c r="P357" s="108">
        <v>1</v>
      </c>
      <c r="Q357" s="108">
        <v>9</v>
      </c>
      <c r="R357" s="108">
        <v>8</v>
      </c>
      <c r="S357" s="108">
        <v>4</v>
      </c>
      <c r="T357" s="71"/>
      <c r="U357" s="71" t="s">
        <v>359</v>
      </c>
      <c r="V357" s="71"/>
      <c r="W357" s="108">
        <v>3</v>
      </c>
      <c r="X357" s="108">
        <v>3</v>
      </c>
      <c r="Y357" s="108"/>
      <c r="Z357" s="71"/>
      <c r="AA357" s="71"/>
      <c r="AB357" s="71"/>
      <c r="AC357" s="71"/>
      <c r="AD357" s="71"/>
      <c r="AE357" s="71"/>
      <c r="AF357" s="122"/>
    </row>
    <row r="358" spans="1:32" ht="12.75" customHeight="1">
      <c r="A358" s="89"/>
      <c r="B358" s="69"/>
      <c r="C358" s="69" t="s">
        <v>121</v>
      </c>
      <c r="D358" s="69" t="s">
        <v>128</v>
      </c>
      <c r="E358" s="69"/>
      <c r="F358" s="71" t="s">
        <v>10</v>
      </c>
      <c r="G358" s="108">
        <v>2</v>
      </c>
      <c r="H358" s="108">
        <v>0</v>
      </c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  <c r="AD358" s="69"/>
      <c r="AE358" s="69"/>
      <c r="AF358" s="122"/>
    </row>
    <row r="359" spans="1:32" ht="12.75" customHeight="1">
      <c r="A359" s="89"/>
      <c r="B359" s="69"/>
      <c r="C359" s="69" t="s">
        <v>124</v>
      </c>
      <c r="D359" s="69" t="s">
        <v>345</v>
      </c>
      <c r="E359" s="69"/>
      <c r="F359" s="71" t="s">
        <v>10</v>
      </c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122"/>
    </row>
    <row r="360" spans="1:32" ht="12.75" customHeight="1">
      <c r="A360" s="89"/>
      <c r="B360" s="69"/>
      <c r="C360" s="69"/>
      <c r="D360" s="69"/>
      <c r="E360" s="69"/>
      <c r="F360" s="71"/>
      <c r="G360" s="69" t="s">
        <v>561</v>
      </c>
      <c r="H360" s="69"/>
      <c r="I360" s="69"/>
      <c r="J360" s="69"/>
      <c r="K360" s="69"/>
      <c r="L360" s="142" t="s">
        <v>102</v>
      </c>
      <c r="M360" s="142"/>
      <c r="N360" s="142"/>
      <c r="O360" s="142"/>
      <c r="P360" s="142"/>
      <c r="Q360" s="131"/>
      <c r="R360" s="131" t="s">
        <v>562</v>
      </c>
      <c r="S360" s="131"/>
      <c r="T360" s="131"/>
      <c r="U360" s="131"/>
      <c r="V360" s="142" t="s">
        <v>106</v>
      </c>
      <c r="W360" s="142"/>
      <c r="X360" s="142"/>
      <c r="Y360" s="142"/>
      <c r="Z360" s="142"/>
      <c r="AA360" s="69"/>
      <c r="AB360" s="69"/>
      <c r="AC360" s="69"/>
      <c r="AD360" s="69"/>
      <c r="AE360" s="69"/>
      <c r="AF360" s="122"/>
    </row>
    <row r="361" spans="1:32" ht="12.75" customHeight="1">
      <c r="A361" s="89"/>
      <c r="B361" s="69"/>
      <c r="C361" s="69"/>
      <c r="D361" s="69"/>
      <c r="E361" s="69"/>
      <c r="F361" s="71"/>
      <c r="G361" s="69" t="s">
        <v>563</v>
      </c>
      <c r="H361" s="69"/>
      <c r="I361" s="69"/>
      <c r="J361" s="69"/>
      <c r="K361" s="69"/>
      <c r="L361" s="142" t="s">
        <v>104</v>
      </c>
      <c r="M361" s="142"/>
      <c r="N361" s="142"/>
      <c r="O361" s="142"/>
      <c r="P361" s="142"/>
      <c r="Q361" s="131"/>
      <c r="R361" s="131" t="s">
        <v>417</v>
      </c>
      <c r="S361" s="131"/>
      <c r="T361" s="131"/>
      <c r="U361" s="131"/>
      <c r="V361" s="142" t="s">
        <v>418</v>
      </c>
      <c r="W361" s="142"/>
      <c r="X361" s="142"/>
      <c r="Y361" s="142"/>
      <c r="Z361" s="142"/>
      <c r="AA361" s="69"/>
      <c r="AB361" s="69"/>
      <c r="AC361" s="69"/>
      <c r="AD361" s="69"/>
      <c r="AE361" s="69"/>
      <c r="AF361" s="122"/>
    </row>
    <row r="362" spans="1:32" ht="12.75" customHeight="1">
      <c r="A362" s="89"/>
      <c r="B362" s="69"/>
      <c r="C362" s="69" t="s">
        <v>127</v>
      </c>
      <c r="D362" s="69" t="s">
        <v>564</v>
      </c>
      <c r="E362" s="69"/>
      <c r="F362" s="71" t="s">
        <v>10</v>
      </c>
      <c r="G362" s="108" t="s">
        <v>111</v>
      </c>
      <c r="H362" s="71"/>
      <c r="I362" s="71" t="s">
        <v>565</v>
      </c>
      <c r="J362" s="71"/>
      <c r="K362" s="71"/>
      <c r="L362" s="71" t="s">
        <v>566</v>
      </c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69"/>
      <c r="X362" s="69"/>
      <c r="Y362" s="69"/>
      <c r="Z362" s="69"/>
      <c r="AA362" s="69"/>
      <c r="AB362" s="69"/>
      <c r="AC362" s="69"/>
      <c r="AD362" s="69"/>
      <c r="AE362" s="69"/>
      <c r="AF362" s="122"/>
    </row>
    <row r="363" spans="1:32" ht="12.75" customHeight="1">
      <c r="A363" s="89"/>
      <c r="B363" s="69"/>
      <c r="C363" s="69" t="s">
        <v>130</v>
      </c>
      <c r="D363" s="69" t="s">
        <v>567</v>
      </c>
      <c r="E363" s="69"/>
      <c r="F363" s="71" t="s">
        <v>10</v>
      </c>
      <c r="G363" s="130" t="s">
        <v>568</v>
      </c>
      <c r="H363" s="141"/>
      <c r="I363" s="141"/>
      <c r="J363" s="141"/>
      <c r="K363" s="143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69"/>
      <c r="X363" s="69"/>
      <c r="Y363" s="69"/>
      <c r="Z363" s="69"/>
      <c r="AA363" s="69"/>
      <c r="AB363" s="69"/>
      <c r="AC363" s="69"/>
      <c r="AD363" s="69"/>
      <c r="AE363" s="69"/>
      <c r="AF363" s="122"/>
    </row>
    <row r="364" spans="1:32" ht="12.75" customHeight="1">
      <c r="A364" s="89"/>
      <c r="B364" s="138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7"/>
    </row>
    <row r="365" spans="1:32" ht="12.75" customHeight="1">
      <c r="A365" s="89"/>
      <c r="B365" s="69"/>
      <c r="C365" s="128" t="s">
        <v>455</v>
      </c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  <c r="AD365" s="69"/>
      <c r="AE365" s="69"/>
      <c r="AF365" s="122"/>
    </row>
    <row r="366" spans="1:32" ht="12.75" customHeight="1">
      <c r="A366" s="89"/>
      <c r="B366" s="69"/>
      <c r="C366" s="69" t="s">
        <v>111</v>
      </c>
      <c r="D366" s="69" t="s">
        <v>340</v>
      </c>
      <c r="E366" s="69"/>
      <c r="F366" s="71" t="s">
        <v>10</v>
      </c>
      <c r="G366" s="108">
        <v>3</v>
      </c>
      <c r="H366" s="108">
        <v>3</v>
      </c>
      <c r="I366" s="108">
        <v>2</v>
      </c>
      <c r="J366" s="108">
        <v>7</v>
      </c>
      <c r="K366" s="108">
        <v>0</v>
      </c>
      <c r="L366" s="108">
        <v>4</v>
      </c>
      <c r="M366" s="108">
        <v>1</v>
      </c>
      <c r="N366" s="108">
        <v>4</v>
      </c>
      <c r="O366" s="108">
        <v>1</v>
      </c>
      <c r="P366" s="108">
        <v>2</v>
      </c>
      <c r="Q366" s="108">
        <v>8</v>
      </c>
      <c r="R366" s="108">
        <v>4</v>
      </c>
      <c r="S366" s="108">
        <v>0</v>
      </c>
      <c r="T366" s="108">
        <v>0</v>
      </c>
      <c r="U366" s="108">
        <v>0</v>
      </c>
      <c r="V366" s="108">
        <v>3</v>
      </c>
      <c r="W366" s="109"/>
      <c r="X366" s="69"/>
      <c r="Y366" s="69"/>
      <c r="Z366" s="69"/>
      <c r="AA366" s="69"/>
      <c r="AB366" s="69"/>
      <c r="AC366" s="69"/>
      <c r="AD366" s="69"/>
      <c r="AE366" s="69"/>
      <c r="AF366" s="122"/>
    </row>
    <row r="367" spans="1:32" ht="12.75" customHeight="1">
      <c r="A367" s="89"/>
      <c r="B367" s="69"/>
      <c r="C367" s="69" t="s">
        <v>115</v>
      </c>
      <c r="D367" s="69" t="s">
        <v>391</v>
      </c>
      <c r="E367" s="69"/>
      <c r="F367" s="71" t="s">
        <v>10</v>
      </c>
      <c r="G367" s="108" t="s">
        <v>475</v>
      </c>
      <c r="H367" s="108" t="s">
        <v>467</v>
      </c>
      <c r="I367" s="108" t="s">
        <v>498</v>
      </c>
      <c r="J367" s="108" t="s">
        <v>464</v>
      </c>
      <c r="K367" s="108" t="s">
        <v>484</v>
      </c>
      <c r="L367" s="108" t="s">
        <v>469</v>
      </c>
      <c r="M367" s="108" t="s">
        <v>468</v>
      </c>
      <c r="N367" s="108"/>
      <c r="O367" s="108"/>
      <c r="P367" s="108"/>
      <c r="Q367" s="108"/>
      <c r="R367" s="108"/>
      <c r="S367" s="108"/>
      <c r="T367" s="108"/>
      <c r="U367" s="108"/>
      <c r="V367" s="108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22"/>
    </row>
    <row r="368" spans="1:32" ht="12.75" customHeight="1">
      <c r="A368" s="89"/>
      <c r="B368" s="69"/>
      <c r="C368" s="69" t="s">
        <v>118</v>
      </c>
      <c r="D368" s="69" t="s">
        <v>359</v>
      </c>
      <c r="E368" s="69"/>
      <c r="F368" s="71" t="s">
        <v>10</v>
      </c>
      <c r="G368" s="108">
        <v>3</v>
      </c>
      <c r="H368" s="108">
        <v>3</v>
      </c>
      <c r="I368" s="69"/>
      <c r="J368" s="69" t="s">
        <v>399</v>
      </c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  <c r="AD368" s="69"/>
      <c r="AE368" s="69"/>
      <c r="AF368" s="122"/>
    </row>
    <row r="369" spans="1:32" ht="12.75" customHeight="1">
      <c r="A369" s="89"/>
      <c r="B369" s="69"/>
      <c r="C369" s="69" t="s">
        <v>121</v>
      </c>
      <c r="D369" s="69" t="s">
        <v>571</v>
      </c>
      <c r="E369" s="69"/>
      <c r="F369" s="71" t="s">
        <v>10</v>
      </c>
      <c r="G369" s="132" t="s">
        <v>111</v>
      </c>
      <c r="H369" s="69" t="s">
        <v>534</v>
      </c>
      <c r="I369" s="69"/>
      <c r="J369" s="69"/>
      <c r="K369" s="69"/>
      <c r="L369" s="69" t="s">
        <v>394</v>
      </c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  <c r="AD369" s="69"/>
      <c r="AE369" s="69"/>
      <c r="AF369" s="122"/>
    </row>
    <row r="370" spans="1:32" ht="12.75" customHeight="1">
      <c r="A370" s="89"/>
      <c r="B370" s="69"/>
      <c r="C370" s="69" t="s">
        <v>124</v>
      </c>
      <c r="D370" s="69" t="s">
        <v>128</v>
      </c>
      <c r="E370" s="69"/>
      <c r="F370" s="71" t="s">
        <v>10</v>
      </c>
      <c r="G370" s="108">
        <v>2</v>
      </c>
      <c r="H370" s="108">
        <v>0</v>
      </c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  <c r="AD370" s="69"/>
      <c r="AE370" s="69"/>
      <c r="AF370" s="122"/>
    </row>
    <row r="371" spans="1:32" ht="12.75" customHeight="1">
      <c r="A371" s="89"/>
      <c r="B371" s="69"/>
      <c r="C371" s="69" t="s">
        <v>127</v>
      </c>
      <c r="D371" s="69" t="s">
        <v>345</v>
      </c>
      <c r="E371" s="69"/>
      <c r="F371" s="71" t="s">
        <v>10</v>
      </c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122"/>
    </row>
    <row r="372" spans="1:32" ht="12.75" customHeight="1">
      <c r="A372" s="89"/>
      <c r="B372" s="69"/>
      <c r="C372" s="69"/>
      <c r="D372" s="69"/>
      <c r="E372" s="69"/>
      <c r="F372" s="69"/>
      <c r="G372" s="69" t="s">
        <v>561</v>
      </c>
      <c r="H372" s="69"/>
      <c r="I372" s="69"/>
      <c r="J372" s="69"/>
      <c r="K372" s="69"/>
      <c r="L372" s="142" t="s">
        <v>102</v>
      </c>
      <c r="M372" s="142"/>
      <c r="N372" s="142"/>
      <c r="O372" s="142"/>
      <c r="P372" s="142"/>
      <c r="Q372" s="131"/>
      <c r="R372" s="131" t="s">
        <v>562</v>
      </c>
      <c r="S372" s="131"/>
      <c r="T372" s="131"/>
      <c r="U372" s="131"/>
      <c r="V372" s="142" t="s">
        <v>106</v>
      </c>
      <c r="W372" s="142"/>
      <c r="X372" s="142"/>
      <c r="Y372" s="142"/>
      <c r="Z372" s="142"/>
      <c r="AA372" s="69"/>
      <c r="AB372" s="69"/>
      <c r="AC372" s="69"/>
      <c r="AD372" s="69"/>
      <c r="AE372" s="69"/>
      <c r="AF372" s="122"/>
    </row>
    <row r="373" spans="1:32" ht="12.75" customHeight="1">
      <c r="A373" s="89"/>
      <c r="B373" s="69"/>
      <c r="C373" s="69"/>
      <c r="D373" s="69"/>
      <c r="E373" s="69"/>
      <c r="F373" s="69"/>
      <c r="G373" s="69" t="s">
        <v>563</v>
      </c>
      <c r="H373" s="69"/>
      <c r="I373" s="69"/>
      <c r="J373" s="69"/>
      <c r="K373" s="69"/>
      <c r="L373" s="142" t="s">
        <v>104</v>
      </c>
      <c r="M373" s="142"/>
      <c r="N373" s="142"/>
      <c r="O373" s="142"/>
      <c r="P373" s="142"/>
      <c r="Q373" s="131"/>
      <c r="R373" s="131" t="s">
        <v>417</v>
      </c>
      <c r="S373" s="131"/>
      <c r="T373" s="131"/>
      <c r="U373" s="131"/>
      <c r="V373" s="142" t="s">
        <v>418</v>
      </c>
      <c r="W373" s="142"/>
      <c r="X373" s="142"/>
      <c r="Y373" s="142"/>
      <c r="Z373" s="142"/>
      <c r="AA373" s="69"/>
      <c r="AB373" s="69"/>
      <c r="AC373" s="69"/>
      <c r="AD373" s="69"/>
      <c r="AE373" s="69"/>
      <c r="AF373" s="122"/>
    </row>
    <row r="374" spans="1:32" ht="12.75" customHeight="1">
      <c r="A374" s="89"/>
      <c r="B374" s="138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  <c r="AB374" s="125"/>
      <c r="AC374" s="125"/>
      <c r="AD374" s="125"/>
      <c r="AE374" s="125"/>
      <c r="AF374" s="127"/>
    </row>
    <row r="375" spans="1:32" ht="12.75" customHeight="1">
      <c r="A375" s="89"/>
      <c r="B375" s="69"/>
      <c r="C375" s="128" t="s">
        <v>572</v>
      </c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  <c r="AD375" s="69"/>
      <c r="AE375" s="69"/>
      <c r="AF375" s="122"/>
    </row>
    <row r="376" spans="1:32" ht="12.75" customHeight="1">
      <c r="A376" s="89"/>
      <c r="B376" s="69"/>
      <c r="C376" s="69" t="s">
        <v>111</v>
      </c>
      <c r="D376" s="69" t="s">
        <v>340</v>
      </c>
      <c r="E376" s="69"/>
      <c r="F376" s="71" t="s">
        <v>10</v>
      </c>
      <c r="G376" s="108">
        <v>3</v>
      </c>
      <c r="H376" s="108">
        <v>3</v>
      </c>
      <c r="I376" s="108">
        <v>2</v>
      </c>
      <c r="J376" s="108">
        <v>7</v>
      </c>
      <c r="K376" s="108">
        <v>0</v>
      </c>
      <c r="L376" s="108">
        <v>4</v>
      </c>
      <c r="M376" s="108">
        <v>0</v>
      </c>
      <c r="N376" s="108">
        <v>1</v>
      </c>
      <c r="O376" s="108">
        <v>0</v>
      </c>
      <c r="P376" s="108">
        <v>7</v>
      </c>
      <c r="Q376" s="108">
        <v>6</v>
      </c>
      <c r="R376" s="108">
        <v>3</v>
      </c>
      <c r="S376" s="108">
        <v>0</v>
      </c>
      <c r="T376" s="108">
        <v>4</v>
      </c>
      <c r="U376" s="108">
        <v>7</v>
      </c>
      <c r="V376" s="108">
        <v>0</v>
      </c>
      <c r="W376" s="109"/>
      <c r="X376" s="69"/>
      <c r="Y376" s="69"/>
      <c r="Z376" s="69"/>
      <c r="AA376" s="69"/>
      <c r="AB376" s="69"/>
      <c r="AC376" s="69"/>
      <c r="AD376" s="69"/>
      <c r="AE376" s="69"/>
      <c r="AF376" s="122"/>
    </row>
    <row r="377" spans="1:32" ht="12.75" customHeight="1">
      <c r="A377" s="89"/>
      <c r="B377" s="69"/>
      <c r="C377" s="69" t="s">
        <v>115</v>
      </c>
      <c r="D377" s="69" t="s">
        <v>391</v>
      </c>
      <c r="E377" s="69"/>
      <c r="F377" s="71" t="s">
        <v>10</v>
      </c>
      <c r="G377" s="108" t="s">
        <v>484</v>
      </c>
      <c r="H377" s="108" t="s">
        <v>467</v>
      </c>
      <c r="I377" s="108" t="s">
        <v>485</v>
      </c>
      <c r="J377" s="108" t="s">
        <v>464</v>
      </c>
      <c r="K377" s="108" t="s">
        <v>468</v>
      </c>
      <c r="L377" s="108" t="s">
        <v>484</v>
      </c>
      <c r="M377" s="108" t="s">
        <v>477</v>
      </c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  <c r="AF377" s="122"/>
    </row>
    <row r="378" spans="1:32" ht="12.75" customHeight="1">
      <c r="A378" s="89"/>
      <c r="B378" s="69"/>
      <c r="C378" s="69" t="s">
        <v>118</v>
      </c>
      <c r="D378" s="69" t="s">
        <v>359</v>
      </c>
      <c r="E378" s="69"/>
      <c r="F378" s="71" t="s">
        <v>10</v>
      </c>
      <c r="G378" s="108">
        <v>5</v>
      </c>
      <c r="H378" s="108">
        <v>4</v>
      </c>
      <c r="I378" s="69"/>
      <c r="J378" s="69" t="s">
        <v>399</v>
      </c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  <c r="AD378" s="69"/>
      <c r="AE378" s="69"/>
      <c r="AF378" s="122"/>
    </row>
    <row r="379" spans="1:32" ht="12.75" customHeight="1">
      <c r="A379" s="89"/>
      <c r="B379" s="69"/>
      <c r="C379" s="69" t="s">
        <v>121</v>
      </c>
      <c r="D379" s="69" t="s">
        <v>128</v>
      </c>
      <c r="E379" s="69"/>
      <c r="F379" s="71" t="s">
        <v>10</v>
      </c>
      <c r="G379" s="108">
        <v>2</v>
      </c>
      <c r="H379" s="108">
        <v>0</v>
      </c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  <c r="AD379" s="69"/>
      <c r="AE379" s="69"/>
      <c r="AF379" s="122"/>
    </row>
    <row r="380" spans="1:32" ht="12.75" customHeight="1">
      <c r="A380" s="89"/>
      <c r="B380" s="69"/>
      <c r="C380" s="69" t="s">
        <v>124</v>
      </c>
      <c r="D380" s="69" t="s">
        <v>345</v>
      </c>
      <c r="E380" s="69"/>
      <c r="F380" s="71" t="s">
        <v>10</v>
      </c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122"/>
    </row>
    <row r="381" spans="1:32" ht="12.75" customHeight="1">
      <c r="A381" s="89"/>
      <c r="B381" s="69"/>
      <c r="C381" s="69"/>
      <c r="D381" s="69"/>
      <c r="E381" s="69"/>
      <c r="F381" s="71"/>
      <c r="G381" s="69" t="s">
        <v>561</v>
      </c>
      <c r="H381" s="69"/>
      <c r="I381" s="69"/>
      <c r="J381" s="69"/>
      <c r="K381" s="69"/>
      <c r="L381" s="142" t="s">
        <v>102</v>
      </c>
      <c r="M381" s="142"/>
      <c r="N381" s="142"/>
      <c r="O381" s="142"/>
      <c r="P381" s="142"/>
      <c r="Q381" s="69"/>
      <c r="R381" s="69" t="s">
        <v>562</v>
      </c>
      <c r="S381" s="69"/>
      <c r="T381" s="69"/>
      <c r="U381" s="69"/>
      <c r="V381" s="142" t="s">
        <v>106</v>
      </c>
      <c r="W381" s="142"/>
      <c r="X381" s="142"/>
      <c r="Y381" s="142"/>
      <c r="Z381" s="142"/>
      <c r="AA381" s="69"/>
      <c r="AB381" s="69"/>
      <c r="AC381" s="69"/>
      <c r="AD381" s="69"/>
      <c r="AE381" s="69"/>
      <c r="AF381" s="122"/>
    </row>
    <row r="382" spans="1:32" ht="12.75" customHeight="1">
      <c r="A382" s="89"/>
      <c r="B382" s="69"/>
      <c r="C382" s="69"/>
      <c r="D382" s="69"/>
      <c r="E382" s="69"/>
      <c r="F382" s="69"/>
      <c r="G382" s="69" t="s">
        <v>563</v>
      </c>
      <c r="H382" s="69"/>
      <c r="I382" s="69"/>
      <c r="J382" s="69"/>
      <c r="K382" s="69"/>
      <c r="L382" s="142" t="s">
        <v>104</v>
      </c>
      <c r="M382" s="142"/>
      <c r="N382" s="142"/>
      <c r="O382" s="142"/>
      <c r="P382" s="142"/>
      <c r="Q382" s="69"/>
      <c r="R382" s="69" t="s">
        <v>417</v>
      </c>
      <c r="S382" s="69"/>
      <c r="T382" s="69"/>
      <c r="U382" s="69"/>
      <c r="V382" s="142" t="s">
        <v>418</v>
      </c>
      <c r="W382" s="142"/>
      <c r="X382" s="142"/>
      <c r="Y382" s="142"/>
      <c r="Z382" s="142"/>
      <c r="AA382" s="69"/>
      <c r="AB382" s="69"/>
      <c r="AC382" s="69"/>
      <c r="AD382" s="69"/>
      <c r="AE382" s="69"/>
      <c r="AF382" s="122"/>
    </row>
    <row r="383" spans="1:32" ht="12.75" customHeight="1">
      <c r="A383" s="89"/>
      <c r="B383" s="138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  <c r="AB383" s="125"/>
      <c r="AC383" s="125"/>
      <c r="AD383" s="125"/>
      <c r="AE383" s="125"/>
      <c r="AF383" s="127"/>
    </row>
    <row r="384" spans="1:32" ht="12.75" customHeight="1">
      <c r="A384" s="89"/>
      <c r="B384" s="69"/>
      <c r="C384" s="128" t="s">
        <v>472</v>
      </c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  <c r="AD384" s="69"/>
      <c r="AE384" s="69"/>
      <c r="AF384" s="122"/>
    </row>
    <row r="385" spans="1:32" ht="12.75" customHeight="1">
      <c r="A385" s="89"/>
      <c r="B385" s="69"/>
      <c r="C385" s="69" t="s">
        <v>111</v>
      </c>
      <c r="D385" s="69" t="s">
        <v>340</v>
      </c>
      <c r="E385" s="69"/>
      <c r="F385" s="71" t="s">
        <v>10</v>
      </c>
      <c r="G385" s="108">
        <v>3</v>
      </c>
      <c r="H385" s="108">
        <v>3</v>
      </c>
      <c r="I385" s="108">
        <v>2</v>
      </c>
      <c r="J385" s="108">
        <v>7</v>
      </c>
      <c r="K385" s="108">
        <v>0</v>
      </c>
      <c r="L385" s="108">
        <v>4</v>
      </c>
      <c r="M385" s="108">
        <v>0</v>
      </c>
      <c r="N385" s="108">
        <v>1</v>
      </c>
      <c r="O385" s="108">
        <v>0</v>
      </c>
      <c r="P385" s="108">
        <v>7</v>
      </c>
      <c r="Q385" s="108">
        <v>7</v>
      </c>
      <c r="R385" s="108">
        <v>9</v>
      </c>
      <c r="S385" s="108">
        <v>0</v>
      </c>
      <c r="T385" s="108">
        <v>2</v>
      </c>
      <c r="U385" s="108">
        <v>8</v>
      </c>
      <c r="V385" s="108">
        <v>9</v>
      </c>
      <c r="W385" s="108"/>
      <c r="X385" s="69"/>
      <c r="Y385" s="69"/>
      <c r="Z385" s="69"/>
      <c r="AA385" s="69"/>
      <c r="AB385" s="69"/>
      <c r="AC385" s="69"/>
      <c r="AD385" s="69"/>
      <c r="AE385" s="69"/>
      <c r="AF385" s="122"/>
    </row>
    <row r="386" spans="1:32" ht="12.75" customHeight="1">
      <c r="A386" s="89"/>
      <c r="B386" s="69"/>
      <c r="C386" s="69" t="s">
        <v>115</v>
      </c>
      <c r="D386" s="69" t="s">
        <v>391</v>
      </c>
      <c r="E386" s="69"/>
      <c r="F386" s="71" t="s">
        <v>10</v>
      </c>
      <c r="G386" s="108" t="s">
        <v>465</v>
      </c>
      <c r="H386" s="108" t="s">
        <v>469</v>
      </c>
      <c r="I386" s="108" t="s">
        <v>468</v>
      </c>
      <c r="J386" s="108" t="s">
        <v>484</v>
      </c>
      <c r="K386" s="108" t="s">
        <v>477</v>
      </c>
      <c r="L386" s="108" t="s">
        <v>485</v>
      </c>
      <c r="M386" s="108" t="s">
        <v>477</v>
      </c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22"/>
    </row>
    <row r="387" spans="1:32" ht="12.75" customHeight="1">
      <c r="A387" s="89"/>
      <c r="B387" s="69"/>
      <c r="C387" s="69" t="s">
        <v>118</v>
      </c>
      <c r="D387" s="69" t="s">
        <v>359</v>
      </c>
      <c r="E387" s="69"/>
      <c r="F387" s="71" t="s">
        <v>10</v>
      </c>
      <c r="G387" s="108">
        <v>3</v>
      </c>
      <c r="H387" s="108">
        <v>8</v>
      </c>
      <c r="I387" s="69"/>
      <c r="J387" s="69" t="s">
        <v>399</v>
      </c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  <c r="AD387" s="69"/>
      <c r="AE387" s="69"/>
      <c r="AF387" s="122"/>
    </row>
    <row r="388" spans="1:32" ht="12.75" customHeight="1">
      <c r="A388" s="89"/>
      <c r="B388" s="69"/>
      <c r="C388" s="69" t="s">
        <v>121</v>
      </c>
      <c r="D388" s="69" t="s">
        <v>128</v>
      </c>
      <c r="E388" s="69"/>
      <c r="F388" s="71" t="s">
        <v>10</v>
      </c>
      <c r="G388" s="108">
        <v>2</v>
      </c>
      <c r="H388" s="108">
        <v>0</v>
      </c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  <c r="AD388" s="69"/>
      <c r="AE388" s="69"/>
      <c r="AF388" s="122"/>
    </row>
    <row r="389" spans="1:32" ht="12.75" customHeight="1">
      <c r="A389" s="89"/>
      <c r="B389" s="69"/>
      <c r="C389" s="69" t="s">
        <v>124</v>
      </c>
      <c r="D389" s="69" t="s">
        <v>345</v>
      </c>
      <c r="E389" s="69"/>
      <c r="F389" s="71" t="s">
        <v>10</v>
      </c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122"/>
    </row>
    <row r="390" spans="1:32" ht="12.75" customHeight="1">
      <c r="A390" s="89"/>
      <c r="B390" s="69"/>
      <c r="C390" s="69"/>
      <c r="D390" s="69"/>
      <c r="E390" s="69"/>
      <c r="F390" s="69"/>
      <c r="G390" s="69" t="s">
        <v>561</v>
      </c>
      <c r="H390" s="69"/>
      <c r="I390" s="69"/>
      <c r="J390" s="69"/>
      <c r="K390" s="69"/>
      <c r="L390" s="142" t="s">
        <v>102</v>
      </c>
      <c r="M390" s="142"/>
      <c r="N390" s="142"/>
      <c r="O390" s="142"/>
      <c r="P390" s="142"/>
      <c r="Q390" s="69"/>
      <c r="R390" s="69" t="s">
        <v>562</v>
      </c>
      <c r="S390" s="69"/>
      <c r="T390" s="69"/>
      <c r="U390" s="69"/>
      <c r="V390" s="142" t="s">
        <v>106</v>
      </c>
      <c r="W390" s="142"/>
      <c r="X390" s="142"/>
      <c r="Y390" s="142"/>
      <c r="Z390" s="142"/>
      <c r="AA390" s="69"/>
      <c r="AB390" s="69"/>
      <c r="AC390" s="69"/>
      <c r="AD390" s="69"/>
      <c r="AE390" s="69"/>
      <c r="AF390" s="122"/>
    </row>
    <row r="391" spans="1:32" ht="12.75" customHeight="1">
      <c r="A391" s="89"/>
      <c r="B391" s="69"/>
      <c r="C391" s="69"/>
      <c r="D391" s="69"/>
      <c r="E391" s="69"/>
      <c r="F391" s="69"/>
      <c r="G391" s="69" t="s">
        <v>563</v>
      </c>
      <c r="H391" s="69"/>
      <c r="I391" s="69"/>
      <c r="J391" s="69"/>
      <c r="K391" s="69"/>
      <c r="L391" s="142" t="s">
        <v>104</v>
      </c>
      <c r="M391" s="142"/>
      <c r="N391" s="142"/>
      <c r="O391" s="142"/>
      <c r="P391" s="142"/>
      <c r="Q391" s="69"/>
      <c r="R391" s="69" t="s">
        <v>417</v>
      </c>
      <c r="S391" s="69"/>
      <c r="T391" s="69"/>
      <c r="U391" s="69"/>
      <c r="V391" s="142" t="s">
        <v>418</v>
      </c>
      <c r="W391" s="142"/>
      <c r="X391" s="142"/>
      <c r="Y391" s="142"/>
      <c r="Z391" s="142"/>
      <c r="AA391" s="69"/>
      <c r="AB391" s="69"/>
      <c r="AC391" s="69"/>
      <c r="AD391" s="69"/>
      <c r="AE391" s="69"/>
      <c r="AF391" s="122"/>
    </row>
    <row r="392" spans="1:32" ht="12.75" customHeight="1">
      <c r="A392" s="89"/>
      <c r="B392" s="138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  <c r="AB392" s="125"/>
      <c r="AC392" s="125"/>
      <c r="AD392" s="125"/>
      <c r="AE392" s="125"/>
      <c r="AF392" s="127"/>
    </row>
    <row r="393" spans="1:32" ht="12.75" customHeight="1"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  <c r="AD393" s="69"/>
      <c r="AE393" s="69"/>
      <c r="AF393" s="69"/>
    </row>
    <row r="394" spans="1:32" ht="12.75" customHeight="1"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 t="s">
        <v>604</v>
      </c>
      <c r="X394" s="69"/>
      <c r="Y394" s="69"/>
      <c r="Z394" s="69"/>
      <c r="AA394" s="69"/>
      <c r="AB394" s="69"/>
      <c r="AC394" s="69"/>
      <c r="AD394" s="69"/>
      <c r="AE394" s="69"/>
      <c r="AF394" s="69"/>
    </row>
    <row r="395" spans="1:32" ht="12.75" customHeight="1"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  <c r="AD395" s="69"/>
      <c r="AE395" s="69"/>
      <c r="AF395" s="69"/>
    </row>
    <row r="396" spans="1:32" ht="12.75" customHeight="1">
      <c r="B396" s="69"/>
      <c r="C396" s="69"/>
      <c r="D396" s="69"/>
      <c r="E396" s="69"/>
      <c r="F396" s="69"/>
      <c r="G396" s="69" t="s">
        <v>588</v>
      </c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 t="s">
        <v>481</v>
      </c>
      <c r="X396" s="69"/>
      <c r="Y396" s="69"/>
      <c r="Z396" s="69"/>
      <c r="AA396" s="69"/>
      <c r="AB396" s="69"/>
      <c r="AC396" s="69"/>
      <c r="AD396" s="69"/>
      <c r="AE396" s="69"/>
      <c r="AF396" s="69"/>
    </row>
    <row r="397" spans="1:32" ht="12.75" customHeight="1">
      <c r="B397" s="69"/>
      <c r="C397" s="69"/>
      <c r="D397" s="69"/>
      <c r="E397" s="69"/>
      <c r="F397" s="69" t="s">
        <v>597</v>
      </c>
      <c r="G397" s="69" t="s">
        <v>274</v>
      </c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  <c r="AD397" s="69"/>
      <c r="AE397" s="69"/>
      <c r="AF397" s="69"/>
    </row>
    <row r="398" spans="1:32" ht="12.75" customHeight="1">
      <c r="B398" s="69"/>
      <c r="C398" s="69"/>
      <c r="D398" s="69"/>
      <c r="E398" s="69"/>
      <c r="F398" s="69"/>
      <c r="G398" s="69" t="s">
        <v>598</v>
      </c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  <c r="AD398" s="69"/>
      <c r="AE398" s="69"/>
      <c r="AF398" s="69"/>
    </row>
    <row r="399" spans="1:32" ht="12.75" customHeight="1"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  <c r="AD399" s="69"/>
      <c r="AE399" s="69"/>
      <c r="AF399" s="69"/>
    </row>
    <row r="400" spans="1:32" ht="12.75" customHeight="1"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  <c r="AD400" s="69"/>
      <c r="AE400" s="69"/>
      <c r="AF400" s="69"/>
    </row>
    <row r="401" spans="2:32" ht="12.75" customHeight="1"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  <c r="AD401" s="69"/>
      <c r="AE401" s="69"/>
      <c r="AF401" s="69"/>
    </row>
    <row r="402" spans="2:32" ht="12.75" customHeight="1">
      <c r="B402" s="69"/>
      <c r="C402" s="69"/>
      <c r="D402" s="69"/>
      <c r="E402" s="69"/>
      <c r="F402" s="69"/>
      <c r="G402" s="69" t="s">
        <v>366</v>
      </c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 t="s">
        <v>605</v>
      </c>
      <c r="X402" s="69"/>
      <c r="Y402" s="69"/>
      <c r="Z402" s="69"/>
      <c r="AA402" s="69"/>
      <c r="AB402" s="69"/>
      <c r="AC402" s="69"/>
      <c r="AD402" s="69"/>
      <c r="AE402" s="69"/>
      <c r="AF402" s="69"/>
    </row>
    <row r="403" spans="2:32" ht="12.75" customHeight="1"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  <c r="AD403" s="69"/>
      <c r="AE403" s="69"/>
      <c r="AF403" s="69"/>
    </row>
    <row r="404" spans="2:32" ht="12.75" customHeight="1"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  <c r="AD404" s="69"/>
      <c r="AE404" s="69"/>
      <c r="AF404" s="69"/>
    </row>
    <row r="405" spans="2:32" ht="12.75" customHeight="1"/>
    <row r="406" spans="2:32" ht="12.75" customHeight="1"/>
    <row r="407" spans="2:32" ht="12.75" customHeight="1"/>
    <row r="408" spans="2:32" ht="12.75" customHeight="1"/>
    <row r="409" spans="2:32" ht="12.75" customHeight="1"/>
    <row r="410" spans="2:32" ht="12.75" customHeight="1"/>
    <row r="411" spans="2:32" ht="12.75" customHeight="1"/>
    <row r="412" spans="2:32" ht="12.75" customHeight="1"/>
    <row r="413" spans="2:32" ht="12.75" customHeight="1"/>
    <row r="414" spans="2:32" ht="12.75" customHeight="1"/>
    <row r="415" spans="2:32" ht="12.75" customHeight="1"/>
    <row r="416" spans="2:32" ht="12.75" customHeight="1"/>
    <row r="417" spans="1:32" ht="12.75" customHeight="1"/>
    <row r="418" spans="1:32" ht="12.75" customHeight="1"/>
    <row r="419" spans="1:32" ht="12.75" customHeight="1">
      <c r="Z419" s="139" t="s">
        <v>529</v>
      </c>
      <c r="AA419" s="139"/>
      <c r="AB419" s="139"/>
      <c r="AC419" s="139"/>
    </row>
    <row r="420" spans="1:32" ht="12.75" customHeight="1">
      <c r="B420" s="69"/>
      <c r="C420" s="69" t="s">
        <v>332</v>
      </c>
      <c r="D420" s="69"/>
      <c r="E420" s="69"/>
      <c r="F420" s="71" t="s">
        <v>10</v>
      </c>
      <c r="G420" s="69" t="s">
        <v>102</v>
      </c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 t="s">
        <v>530</v>
      </c>
      <c r="W420" s="69" t="s">
        <v>372</v>
      </c>
      <c r="X420" s="69"/>
      <c r="Y420" s="69" t="s">
        <v>10</v>
      </c>
      <c r="Z420" s="69" t="s">
        <v>373</v>
      </c>
      <c r="AA420" s="69"/>
      <c r="AB420" s="69"/>
      <c r="AC420" s="69"/>
      <c r="AD420" s="69"/>
      <c r="AE420" s="69"/>
      <c r="AF420" s="69"/>
    </row>
    <row r="421" spans="1:32" ht="12.75" customHeight="1">
      <c r="B421" s="69"/>
      <c r="C421" s="69" t="s">
        <v>331</v>
      </c>
      <c r="D421" s="69"/>
      <c r="E421" s="69"/>
      <c r="F421" s="71" t="s">
        <v>10</v>
      </c>
      <c r="G421" s="69" t="s">
        <v>104</v>
      </c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 t="s">
        <v>375</v>
      </c>
      <c r="X421" s="69"/>
      <c r="Y421" s="69" t="s">
        <v>10</v>
      </c>
      <c r="Z421" s="69" t="s">
        <v>332</v>
      </c>
      <c r="AA421" s="69"/>
      <c r="AB421" s="69"/>
      <c r="AC421" s="69"/>
      <c r="AD421" s="69"/>
      <c r="AE421" s="69"/>
      <c r="AF421" s="69"/>
    </row>
    <row r="422" spans="1:32" ht="12.75" customHeight="1">
      <c r="B422" s="69"/>
      <c r="C422" s="69" t="s">
        <v>330</v>
      </c>
      <c r="D422" s="69"/>
      <c r="E422" s="69"/>
      <c r="F422" s="71" t="s">
        <v>10</v>
      </c>
      <c r="G422" s="69" t="s">
        <v>106</v>
      </c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 t="s">
        <v>379</v>
      </c>
      <c r="X422" s="69"/>
      <c r="Y422" s="69" t="s">
        <v>10</v>
      </c>
      <c r="Z422" s="69" t="s">
        <v>331</v>
      </c>
      <c r="AA422" s="69"/>
      <c r="AB422" s="69"/>
      <c r="AC422" s="69"/>
      <c r="AD422" s="69"/>
      <c r="AE422" s="69"/>
      <c r="AF422" s="69"/>
    </row>
    <row r="423" spans="1:32" ht="12.75" customHeight="1">
      <c r="B423" s="69"/>
      <c r="C423" s="69"/>
      <c r="D423" s="69"/>
      <c r="E423" s="69"/>
      <c r="F423" s="71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  <c r="AD423" s="69"/>
      <c r="AE423" s="69"/>
      <c r="AF423" s="69"/>
    </row>
    <row r="424" spans="1:32" ht="12.75" customHeight="1">
      <c r="B424" s="69"/>
      <c r="C424" s="69" t="s">
        <v>381</v>
      </c>
      <c r="D424" s="69"/>
      <c r="E424" s="69"/>
      <c r="F424" s="71" t="s">
        <v>10</v>
      </c>
      <c r="G424" s="108">
        <v>3</v>
      </c>
      <c r="H424" s="108">
        <v>3</v>
      </c>
      <c r="I424" s="108">
        <v>2</v>
      </c>
      <c r="J424" s="108">
        <v>7</v>
      </c>
      <c r="K424" s="108">
        <v>0</v>
      </c>
      <c r="L424" s="108">
        <v>4</v>
      </c>
      <c r="M424" s="108">
        <v>0</v>
      </c>
      <c r="N424" s="108">
        <v>1</v>
      </c>
      <c r="O424" s="108">
        <v>1</v>
      </c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  <c r="AD424" s="69"/>
      <c r="AE424" s="69"/>
      <c r="AF424" s="69"/>
    </row>
    <row r="425" spans="1:32" ht="12.75" customHeight="1">
      <c r="B425" s="69"/>
      <c r="C425" s="69"/>
      <c r="D425" s="69"/>
      <c r="E425" s="69"/>
      <c r="F425" s="71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  <c r="AD425" s="69"/>
      <c r="AE425" s="69"/>
      <c r="AF425" s="69"/>
    </row>
    <row r="426" spans="1:32" ht="12.75" customHeight="1"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  <c r="AD426" s="69"/>
      <c r="AE426" s="69"/>
      <c r="AF426" s="69"/>
    </row>
    <row r="427" spans="1:32" ht="12.75" customHeight="1">
      <c r="B427" s="69"/>
      <c r="C427" s="1" t="s">
        <v>531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2.75" customHeight="1"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  <c r="AD428" s="69"/>
      <c r="AE428" s="69"/>
      <c r="AF428" s="69"/>
    </row>
    <row r="429" spans="1:32" ht="12.75" customHeight="1">
      <c r="B429" s="69"/>
      <c r="C429" s="69" t="s">
        <v>385</v>
      </c>
      <c r="D429" s="69"/>
      <c r="E429" s="69"/>
      <c r="F429" s="71" t="s">
        <v>10</v>
      </c>
      <c r="G429" s="108" t="s">
        <v>475</v>
      </c>
      <c r="H429" s="108" t="s">
        <v>467</v>
      </c>
      <c r="I429" s="108" t="s">
        <v>498</v>
      </c>
      <c r="J429" s="108" t="s">
        <v>464</v>
      </c>
      <c r="K429" s="108" t="s">
        <v>484</v>
      </c>
      <c r="L429" s="108" t="s">
        <v>469</v>
      </c>
      <c r="M429" s="108" t="s">
        <v>468</v>
      </c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  <c r="AF429" s="69"/>
    </row>
    <row r="430" spans="1:32" ht="12.75" customHeight="1">
      <c r="B430" s="69"/>
      <c r="C430" s="69" t="s">
        <v>387</v>
      </c>
      <c r="D430" s="69"/>
      <c r="E430" s="69"/>
      <c r="F430" s="71" t="s">
        <v>10</v>
      </c>
      <c r="G430" s="108">
        <v>3</v>
      </c>
      <c r="H430" s="108">
        <v>3</v>
      </c>
      <c r="I430" s="108">
        <v>2</v>
      </c>
      <c r="J430" s="108">
        <v>7</v>
      </c>
      <c r="K430" s="108">
        <v>0</v>
      </c>
      <c r="L430" s="108">
        <v>4</v>
      </c>
      <c r="M430" s="108">
        <v>1</v>
      </c>
      <c r="N430" s="108">
        <v>2</v>
      </c>
      <c r="O430" s="108">
        <v>0</v>
      </c>
      <c r="P430" s="108">
        <v>4</v>
      </c>
      <c r="Q430" s="108">
        <v>1</v>
      </c>
      <c r="R430" s="108">
        <v>2</v>
      </c>
      <c r="S430" s="108">
        <v>0</v>
      </c>
      <c r="T430" s="108">
        <v>0</v>
      </c>
      <c r="U430" s="108">
        <v>0</v>
      </c>
      <c r="V430" s="108">
        <v>9</v>
      </c>
      <c r="W430" s="109"/>
      <c r="X430" s="109"/>
      <c r="Y430" s="109"/>
      <c r="Z430" s="69"/>
      <c r="AA430" s="69"/>
      <c r="AB430" s="69"/>
      <c r="AC430" s="69"/>
      <c r="AD430" s="69"/>
      <c r="AE430" s="69"/>
      <c r="AF430" s="69"/>
    </row>
    <row r="431" spans="1:32" ht="12.75" customHeight="1"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  <c r="AB431" s="125"/>
      <c r="AC431" s="125"/>
      <c r="AD431" s="125"/>
      <c r="AE431" s="125"/>
      <c r="AF431" s="125"/>
    </row>
    <row r="432" spans="1:32" ht="12.75" customHeight="1">
      <c r="A432" s="89"/>
      <c r="B432" s="69"/>
      <c r="C432" s="128" t="s">
        <v>532</v>
      </c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  <c r="AD432" s="69"/>
      <c r="AE432" s="69"/>
      <c r="AF432" s="124"/>
    </row>
    <row r="433" spans="1:32" ht="12.75" customHeight="1">
      <c r="A433" s="8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  <c r="AD433" s="69"/>
      <c r="AE433" s="69"/>
      <c r="AF433" s="122"/>
    </row>
    <row r="434" spans="1:32" ht="12.75" customHeight="1">
      <c r="A434" s="89"/>
      <c r="B434" s="69"/>
      <c r="C434" s="69" t="s">
        <v>111</v>
      </c>
      <c r="D434" s="69" t="s">
        <v>533</v>
      </c>
      <c r="E434" s="69"/>
      <c r="F434" s="71" t="s">
        <v>10</v>
      </c>
      <c r="G434" s="108" t="s">
        <v>476</v>
      </c>
      <c r="H434" s="108" t="s">
        <v>464</v>
      </c>
      <c r="I434" s="108" t="s">
        <v>475</v>
      </c>
      <c r="J434" s="108" t="s">
        <v>486</v>
      </c>
      <c r="K434" s="108" t="s">
        <v>469</v>
      </c>
      <c r="L434" s="108" t="s">
        <v>590</v>
      </c>
      <c r="M434" s="108" t="s">
        <v>469</v>
      </c>
      <c r="N434" s="108"/>
      <c r="O434" s="108" t="s">
        <v>464</v>
      </c>
      <c r="P434" s="108" t="s">
        <v>503</v>
      </c>
      <c r="Q434" s="108" t="s">
        <v>464</v>
      </c>
      <c r="R434" s="108" t="s">
        <v>484</v>
      </c>
      <c r="S434" s="108"/>
      <c r="T434" s="108" t="s">
        <v>484</v>
      </c>
      <c r="U434" s="108" t="s">
        <v>464</v>
      </c>
      <c r="V434" s="108" t="s">
        <v>487</v>
      </c>
      <c r="W434" s="108" t="s">
        <v>467</v>
      </c>
      <c r="X434" s="108" t="s">
        <v>476</v>
      </c>
      <c r="Y434" s="108" t="s">
        <v>468</v>
      </c>
      <c r="Z434" s="108" t="s">
        <v>464</v>
      </c>
      <c r="AA434" s="108"/>
      <c r="AB434" s="108"/>
      <c r="AC434" s="108"/>
      <c r="AD434" s="108"/>
      <c r="AE434" s="108"/>
      <c r="AF434" s="122"/>
    </row>
    <row r="435" spans="1:32" ht="12.75" customHeight="1">
      <c r="A435" s="89"/>
      <c r="B435" s="69"/>
      <c r="C435" s="69" t="s">
        <v>115</v>
      </c>
      <c r="D435" s="69" t="s">
        <v>285</v>
      </c>
      <c r="E435" s="69"/>
      <c r="F435" s="71" t="s">
        <v>10</v>
      </c>
      <c r="G435" s="108" t="s">
        <v>111</v>
      </c>
      <c r="H435" s="69" t="s">
        <v>534</v>
      </c>
      <c r="I435" s="69"/>
      <c r="J435" s="69"/>
      <c r="K435" s="69"/>
      <c r="L435" s="69" t="s">
        <v>394</v>
      </c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  <c r="AD435" s="69"/>
      <c r="AE435" s="69"/>
      <c r="AF435" s="122"/>
    </row>
    <row r="436" spans="1:32" ht="12.75" customHeight="1">
      <c r="A436" s="89"/>
      <c r="B436" s="69"/>
      <c r="C436" s="69" t="s">
        <v>118</v>
      </c>
      <c r="D436" s="69" t="s">
        <v>596</v>
      </c>
      <c r="E436" s="69"/>
      <c r="F436" s="71" t="s">
        <v>10</v>
      </c>
      <c r="G436" s="129">
        <v>4</v>
      </c>
      <c r="H436" s="69" t="s">
        <v>536</v>
      </c>
      <c r="I436" s="69"/>
      <c r="J436" s="69"/>
      <c r="K436" s="69"/>
      <c r="L436" s="69" t="s">
        <v>537</v>
      </c>
      <c r="M436" s="69"/>
      <c r="N436" s="69"/>
      <c r="O436" s="69"/>
      <c r="P436" s="69" t="s">
        <v>538</v>
      </c>
      <c r="Q436" s="69"/>
      <c r="R436" s="69"/>
      <c r="S436" s="69"/>
      <c r="T436" s="69" t="s">
        <v>539</v>
      </c>
      <c r="U436" s="69"/>
      <c r="V436" s="69"/>
      <c r="W436" s="69"/>
      <c r="X436" s="69"/>
      <c r="Y436" s="69" t="s">
        <v>540</v>
      </c>
      <c r="Z436" s="69"/>
      <c r="AA436" s="69"/>
      <c r="AB436" s="69"/>
      <c r="AC436" s="69"/>
      <c r="AD436" s="69"/>
      <c r="AE436" s="69"/>
      <c r="AF436" s="122"/>
    </row>
    <row r="437" spans="1:32" ht="12.75" customHeight="1">
      <c r="A437" s="89"/>
      <c r="B437" s="69"/>
      <c r="C437" s="69" t="s">
        <v>121</v>
      </c>
      <c r="D437" s="69" t="s">
        <v>541</v>
      </c>
      <c r="E437" s="69"/>
      <c r="F437" s="71" t="s">
        <v>10</v>
      </c>
      <c r="G437" s="108" t="s">
        <v>487</v>
      </c>
      <c r="H437" s="108" t="s">
        <v>488</v>
      </c>
      <c r="I437" s="108" t="s">
        <v>475</v>
      </c>
      <c r="J437" s="108" t="s">
        <v>464</v>
      </c>
      <c r="K437" s="108" t="s">
        <v>474</v>
      </c>
      <c r="L437" s="108" t="s">
        <v>464</v>
      </c>
      <c r="M437" s="108" t="s">
        <v>485</v>
      </c>
      <c r="N437" s="108" t="s">
        <v>489</v>
      </c>
      <c r="O437" s="109"/>
      <c r="P437" s="109"/>
      <c r="Q437" s="109"/>
      <c r="R437" s="109"/>
      <c r="S437" s="109"/>
      <c r="T437" s="109"/>
      <c r="U437" s="109"/>
      <c r="V437" s="109"/>
      <c r="W437" s="69"/>
      <c r="X437" s="69"/>
      <c r="Y437" s="69"/>
      <c r="Z437" s="69"/>
      <c r="AA437" s="69"/>
      <c r="AB437" s="69"/>
      <c r="AC437" s="69"/>
      <c r="AD437" s="69"/>
      <c r="AE437" s="69"/>
      <c r="AF437" s="122"/>
    </row>
    <row r="438" spans="1:32" ht="12.75" customHeight="1">
      <c r="A438" s="89"/>
      <c r="B438" s="69"/>
      <c r="C438" s="69" t="s">
        <v>124</v>
      </c>
      <c r="D438" s="69" t="s">
        <v>542</v>
      </c>
      <c r="E438" s="69"/>
      <c r="F438" s="71" t="s">
        <v>10</v>
      </c>
      <c r="G438" s="69" t="s">
        <v>349</v>
      </c>
      <c r="H438" s="69"/>
      <c r="I438" s="129" t="s">
        <v>468</v>
      </c>
      <c r="J438" s="108" t="s">
        <v>464</v>
      </c>
      <c r="K438" s="108" t="s">
        <v>503</v>
      </c>
      <c r="L438" s="108" t="s">
        <v>467</v>
      </c>
      <c r="M438" s="108"/>
      <c r="N438" s="108"/>
      <c r="O438" s="71"/>
      <c r="P438" s="71" t="s">
        <v>397</v>
      </c>
      <c r="Q438" s="71"/>
      <c r="R438" s="108">
        <v>2</v>
      </c>
      <c r="S438" s="108">
        <v>5</v>
      </c>
      <c r="T438" s="71"/>
      <c r="U438" s="71" t="s">
        <v>422</v>
      </c>
      <c r="V438" s="71"/>
      <c r="W438" s="108">
        <v>0</v>
      </c>
      <c r="X438" s="108">
        <v>9</v>
      </c>
      <c r="Y438" s="71"/>
      <c r="Z438" s="71" t="s">
        <v>543</v>
      </c>
      <c r="AA438" s="71"/>
      <c r="AB438" s="108">
        <v>2</v>
      </c>
      <c r="AC438" s="108">
        <v>0</v>
      </c>
      <c r="AD438" s="108">
        <v>1</v>
      </c>
      <c r="AE438" s="108">
        <v>7</v>
      </c>
      <c r="AF438" s="122"/>
    </row>
    <row r="439" spans="1:32" ht="12.75" customHeight="1">
      <c r="A439" s="89"/>
      <c r="B439" s="69"/>
      <c r="C439" s="69" t="s">
        <v>127</v>
      </c>
      <c r="D439" s="69" t="s">
        <v>425</v>
      </c>
      <c r="E439" s="69"/>
      <c r="F439" s="71" t="s">
        <v>10</v>
      </c>
      <c r="G439" s="108">
        <v>2</v>
      </c>
      <c r="H439" s="108">
        <v>0</v>
      </c>
      <c r="I439" s="108">
        <v>3</v>
      </c>
      <c r="J439" s="108">
        <v>0</v>
      </c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  <c r="AD439" s="69"/>
      <c r="AE439" s="69"/>
      <c r="AF439" s="122"/>
    </row>
    <row r="440" spans="1:32" ht="12.75" customHeight="1">
      <c r="A440" s="89"/>
      <c r="B440" s="69"/>
      <c r="C440" s="69" t="s">
        <v>130</v>
      </c>
      <c r="D440" s="69" t="s">
        <v>545</v>
      </c>
      <c r="E440" s="69"/>
      <c r="F440" s="71" t="s">
        <v>10</v>
      </c>
      <c r="G440" s="109" t="s">
        <v>111</v>
      </c>
      <c r="H440" s="69" t="s">
        <v>546</v>
      </c>
      <c r="I440" s="69"/>
      <c r="J440" s="69"/>
      <c r="K440" s="69"/>
      <c r="L440" s="69" t="s">
        <v>547</v>
      </c>
      <c r="M440" s="69"/>
      <c r="N440" s="69"/>
      <c r="O440" s="69"/>
      <c r="P440" s="69" t="s">
        <v>548</v>
      </c>
      <c r="Q440" s="69"/>
      <c r="R440" s="69"/>
      <c r="S440" s="69"/>
      <c r="T440" s="69" t="s">
        <v>549</v>
      </c>
      <c r="U440" s="69"/>
      <c r="V440" s="69"/>
      <c r="W440" s="69"/>
      <c r="X440" s="69"/>
      <c r="Y440" s="69" t="s">
        <v>540</v>
      </c>
      <c r="Z440" s="69"/>
      <c r="AA440" s="69"/>
      <c r="AB440" s="69"/>
      <c r="AC440" s="69"/>
      <c r="AD440" s="69"/>
      <c r="AE440" s="69"/>
      <c r="AF440" s="122"/>
    </row>
    <row r="441" spans="1:32" ht="12.75" customHeight="1">
      <c r="A441" s="89"/>
      <c r="B441" s="69"/>
      <c r="C441" s="69" t="s">
        <v>134</v>
      </c>
      <c r="D441" s="69" t="s">
        <v>550</v>
      </c>
      <c r="E441" s="69"/>
      <c r="F441" s="71" t="s">
        <v>10</v>
      </c>
      <c r="G441" s="109">
        <v>2</v>
      </c>
      <c r="H441" s="69" t="s">
        <v>111</v>
      </c>
      <c r="I441" s="69" t="s">
        <v>115</v>
      </c>
      <c r="J441" s="69" t="s">
        <v>118</v>
      </c>
      <c r="K441" s="69" t="s">
        <v>121</v>
      </c>
      <c r="L441" s="69" t="s">
        <v>551</v>
      </c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  <c r="AD441" s="69"/>
      <c r="AE441" s="69"/>
      <c r="AF441" s="122"/>
    </row>
    <row r="442" spans="1:32" ht="12.75" customHeight="1">
      <c r="A442" s="89"/>
      <c r="B442" s="69"/>
      <c r="C442" s="69" t="s">
        <v>137</v>
      </c>
      <c r="D442" s="69" t="s">
        <v>599</v>
      </c>
      <c r="E442" s="69"/>
      <c r="F442" s="71" t="s">
        <v>10</v>
      </c>
      <c r="G442" s="137">
        <v>2</v>
      </c>
      <c r="H442" s="69" t="s">
        <v>438</v>
      </c>
      <c r="I442" s="69"/>
      <c r="J442" s="69"/>
      <c r="K442" s="69"/>
      <c r="L442" s="69" t="s">
        <v>553</v>
      </c>
      <c r="M442" s="69"/>
      <c r="N442" s="69"/>
      <c r="O442" s="69"/>
      <c r="P442" s="69" t="s">
        <v>554</v>
      </c>
      <c r="Q442" s="69"/>
      <c r="R442" s="69"/>
      <c r="S442" s="69"/>
      <c r="T442" s="69" t="s">
        <v>441</v>
      </c>
      <c r="U442" s="69"/>
      <c r="V442" s="69"/>
      <c r="W442" s="69"/>
      <c r="X442" s="69"/>
      <c r="Y442" s="69"/>
      <c r="Z442" s="69"/>
      <c r="AA442" s="69"/>
      <c r="AB442" s="69"/>
      <c r="AC442" s="69"/>
      <c r="AD442" s="69"/>
      <c r="AE442" s="69"/>
      <c r="AF442" s="122"/>
    </row>
    <row r="443" spans="1:32" ht="12.75" customHeight="1">
      <c r="A443" s="89"/>
      <c r="B443" s="69"/>
      <c r="C443" s="69" t="s">
        <v>145</v>
      </c>
      <c r="D443" s="69" t="s">
        <v>555</v>
      </c>
      <c r="E443" s="69"/>
      <c r="F443" s="71" t="s">
        <v>10</v>
      </c>
      <c r="G443" s="108">
        <v>2</v>
      </c>
      <c r="H443" s="108" t="s">
        <v>600</v>
      </c>
      <c r="I443" s="108">
        <v>6</v>
      </c>
      <c r="J443" s="109"/>
      <c r="K443" s="69" t="s">
        <v>601</v>
      </c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  <c r="AD443" s="69"/>
      <c r="AE443" s="69"/>
      <c r="AF443" s="122"/>
    </row>
    <row r="444" spans="1:32" ht="12.75" customHeight="1">
      <c r="A444" s="89"/>
      <c r="B444" s="69"/>
      <c r="C444" s="69" t="s">
        <v>424</v>
      </c>
      <c r="D444" s="69" t="s">
        <v>557</v>
      </c>
      <c r="E444" s="69"/>
      <c r="F444" s="71" t="s">
        <v>10</v>
      </c>
      <c r="G444" s="108">
        <v>4</v>
      </c>
      <c r="H444" s="108">
        <v>5</v>
      </c>
      <c r="I444" s="71" t="s">
        <v>558</v>
      </c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122"/>
    </row>
    <row r="445" spans="1:32" ht="12.75" customHeight="1">
      <c r="A445" s="89"/>
      <c r="B445" s="138"/>
      <c r="C445" s="125"/>
      <c r="D445" s="125"/>
      <c r="E445" s="125"/>
      <c r="F445" s="126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  <c r="AB445" s="125"/>
      <c r="AC445" s="125"/>
      <c r="AD445" s="125"/>
      <c r="AE445" s="125"/>
      <c r="AF445" s="127"/>
    </row>
    <row r="446" spans="1:32" ht="12.75" customHeight="1">
      <c r="A446" s="89"/>
      <c r="B446" s="69"/>
      <c r="C446" s="128" t="s">
        <v>449</v>
      </c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  <c r="AD446" s="69"/>
      <c r="AE446" s="69"/>
      <c r="AF446" s="122"/>
    </row>
    <row r="447" spans="1:32" ht="12.75" customHeight="1">
      <c r="A447" s="89"/>
      <c r="B447" s="69"/>
      <c r="C447" s="69" t="s">
        <v>111</v>
      </c>
      <c r="D447" s="69" t="s">
        <v>340</v>
      </c>
      <c r="E447" s="69"/>
      <c r="F447" s="71" t="s">
        <v>10</v>
      </c>
      <c r="G447" s="108">
        <v>3</v>
      </c>
      <c r="H447" s="108">
        <v>3</v>
      </c>
      <c r="I447" s="108">
        <v>2</v>
      </c>
      <c r="J447" s="108">
        <v>7</v>
      </c>
      <c r="K447" s="108">
        <v>0</v>
      </c>
      <c r="L447" s="108">
        <v>4</v>
      </c>
      <c r="M447" s="108">
        <v>6</v>
      </c>
      <c r="N447" s="108">
        <v>5</v>
      </c>
      <c r="O447" s="108">
        <v>0</v>
      </c>
      <c r="P447" s="108">
        <v>3</v>
      </c>
      <c r="Q447" s="108">
        <v>9</v>
      </c>
      <c r="R447" s="108">
        <v>1</v>
      </c>
      <c r="S447" s="108">
        <v>0</v>
      </c>
      <c r="T447" s="108">
        <v>0</v>
      </c>
      <c r="U447" s="108">
        <v>0</v>
      </c>
      <c r="V447" s="108">
        <v>7</v>
      </c>
      <c r="W447" s="108"/>
      <c r="X447" s="71"/>
      <c r="Y447" s="71"/>
      <c r="Z447" s="71"/>
      <c r="AA447" s="71"/>
      <c r="AB447" s="71"/>
      <c r="AC447" s="71"/>
      <c r="AD447" s="71"/>
      <c r="AE447" s="71"/>
      <c r="AF447" s="122"/>
    </row>
    <row r="448" spans="1:32" ht="12.75" customHeight="1">
      <c r="A448" s="89"/>
      <c r="B448" s="69"/>
      <c r="C448" s="69" t="s">
        <v>115</v>
      </c>
      <c r="D448" s="69" t="s">
        <v>391</v>
      </c>
      <c r="E448" s="69"/>
      <c r="F448" s="71" t="s">
        <v>10</v>
      </c>
      <c r="G448" s="108" t="s">
        <v>475</v>
      </c>
      <c r="H448" s="108" t="s">
        <v>467</v>
      </c>
      <c r="I448" s="108" t="s">
        <v>468</v>
      </c>
      <c r="J448" s="108" t="s">
        <v>463</v>
      </c>
      <c r="K448" s="108" t="s">
        <v>464</v>
      </c>
      <c r="L448" s="108" t="s">
        <v>476</v>
      </c>
      <c r="M448" s="108" t="s">
        <v>469</v>
      </c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22"/>
    </row>
    <row r="449" spans="1:32" ht="12.75" customHeight="1">
      <c r="A449" s="89"/>
      <c r="B449" s="69"/>
      <c r="C449" s="69" t="s">
        <v>118</v>
      </c>
      <c r="D449" s="69" t="s">
        <v>559</v>
      </c>
      <c r="E449" s="69"/>
      <c r="F449" s="71" t="s">
        <v>10</v>
      </c>
      <c r="G449" s="71" t="s">
        <v>397</v>
      </c>
      <c r="H449" s="129">
        <v>2</v>
      </c>
      <c r="I449" s="108">
        <v>5</v>
      </c>
      <c r="J449" s="71"/>
      <c r="K449" s="71" t="s">
        <v>398</v>
      </c>
      <c r="L449" s="108">
        <v>0</v>
      </c>
      <c r="M449" s="108">
        <v>3</v>
      </c>
      <c r="N449" s="71"/>
      <c r="O449" s="71" t="s">
        <v>560</v>
      </c>
      <c r="P449" s="108">
        <v>1</v>
      </c>
      <c r="Q449" s="108">
        <v>9</v>
      </c>
      <c r="R449" s="108">
        <v>9</v>
      </c>
      <c r="S449" s="108">
        <v>1</v>
      </c>
      <c r="T449" s="71"/>
      <c r="U449" s="71" t="s">
        <v>359</v>
      </c>
      <c r="V449" s="71"/>
      <c r="W449" s="108">
        <v>2</v>
      </c>
      <c r="X449" s="108">
        <v>6</v>
      </c>
      <c r="Y449" s="108"/>
      <c r="Z449" s="71"/>
      <c r="AA449" s="71"/>
      <c r="AB449" s="71"/>
      <c r="AC449" s="71"/>
      <c r="AD449" s="71"/>
      <c r="AE449" s="71"/>
      <c r="AF449" s="122"/>
    </row>
    <row r="450" spans="1:32" ht="12.75" customHeight="1">
      <c r="A450" s="89" t="s">
        <v>574</v>
      </c>
      <c r="B450" s="69"/>
      <c r="C450" s="69" t="s">
        <v>121</v>
      </c>
      <c r="D450" s="69" t="s">
        <v>128</v>
      </c>
      <c r="E450" s="69"/>
      <c r="F450" s="71" t="s">
        <v>10</v>
      </c>
      <c r="G450" s="108">
        <v>0</v>
      </c>
      <c r="H450" s="108">
        <v>2</v>
      </c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  <c r="AD450" s="69"/>
      <c r="AE450" s="69"/>
      <c r="AF450" s="122"/>
    </row>
    <row r="451" spans="1:32" ht="12.75" customHeight="1">
      <c r="A451" s="89"/>
      <c r="B451" s="69"/>
      <c r="C451" s="69" t="s">
        <v>124</v>
      </c>
      <c r="D451" s="69" t="s">
        <v>345</v>
      </c>
      <c r="E451" s="69"/>
      <c r="F451" s="71" t="s">
        <v>10</v>
      </c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122"/>
    </row>
    <row r="452" spans="1:32" ht="12.75" customHeight="1">
      <c r="A452" s="89"/>
      <c r="B452" s="69"/>
      <c r="C452" s="69"/>
      <c r="D452" s="69"/>
      <c r="E452" s="69"/>
      <c r="F452" s="71"/>
      <c r="G452" s="69" t="s">
        <v>561</v>
      </c>
      <c r="H452" s="69"/>
      <c r="I452" s="69"/>
      <c r="J452" s="69"/>
      <c r="K452" s="69"/>
      <c r="L452" s="142" t="s">
        <v>102</v>
      </c>
      <c r="M452" s="142"/>
      <c r="N452" s="142"/>
      <c r="O452" s="142"/>
      <c r="P452" s="142"/>
      <c r="Q452" s="131"/>
      <c r="R452" s="131" t="s">
        <v>562</v>
      </c>
      <c r="S452" s="131"/>
      <c r="T452" s="131"/>
      <c r="U452" s="131"/>
      <c r="V452" s="142" t="s">
        <v>106</v>
      </c>
      <c r="W452" s="142"/>
      <c r="X452" s="142"/>
      <c r="Y452" s="142"/>
      <c r="Z452" s="142"/>
      <c r="AA452" s="69"/>
      <c r="AB452" s="69"/>
      <c r="AC452" s="69"/>
      <c r="AD452" s="69"/>
      <c r="AE452" s="69"/>
      <c r="AF452" s="122"/>
    </row>
    <row r="453" spans="1:32" ht="12.75" customHeight="1">
      <c r="A453" s="89"/>
      <c r="B453" s="69"/>
      <c r="C453" s="69"/>
      <c r="D453" s="69"/>
      <c r="E453" s="69"/>
      <c r="F453" s="71"/>
      <c r="G453" s="69" t="s">
        <v>563</v>
      </c>
      <c r="H453" s="69"/>
      <c r="I453" s="69"/>
      <c r="J453" s="69"/>
      <c r="K453" s="69"/>
      <c r="L453" s="142" t="s">
        <v>104</v>
      </c>
      <c r="M453" s="142"/>
      <c r="N453" s="142"/>
      <c r="O453" s="142"/>
      <c r="P453" s="142"/>
      <c r="Q453" s="131"/>
      <c r="R453" s="131" t="s">
        <v>417</v>
      </c>
      <c r="S453" s="131"/>
      <c r="T453" s="131"/>
      <c r="U453" s="131"/>
      <c r="V453" s="142" t="s">
        <v>418</v>
      </c>
      <c r="W453" s="142"/>
      <c r="X453" s="142"/>
      <c r="Y453" s="142"/>
      <c r="Z453" s="142"/>
      <c r="AA453" s="69"/>
      <c r="AB453" s="69"/>
      <c r="AC453" s="69"/>
      <c r="AD453" s="69"/>
      <c r="AE453" s="69"/>
      <c r="AF453" s="122"/>
    </row>
    <row r="454" spans="1:32" ht="12.75" customHeight="1">
      <c r="A454" s="89"/>
      <c r="B454" s="69"/>
      <c r="C454" s="69" t="s">
        <v>127</v>
      </c>
      <c r="D454" s="69" t="s">
        <v>564</v>
      </c>
      <c r="E454" s="69"/>
      <c r="F454" s="71" t="s">
        <v>10</v>
      </c>
      <c r="G454" s="108" t="s">
        <v>111</v>
      </c>
      <c r="H454" s="71"/>
      <c r="I454" s="71" t="s">
        <v>565</v>
      </c>
      <c r="J454" s="71"/>
      <c r="K454" s="71"/>
      <c r="L454" s="71" t="s">
        <v>566</v>
      </c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69"/>
      <c r="X454" s="69"/>
      <c r="Y454" s="69"/>
      <c r="Z454" s="69"/>
      <c r="AA454" s="69"/>
      <c r="AB454" s="69"/>
      <c r="AC454" s="69"/>
      <c r="AD454" s="69"/>
      <c r="AE454" s="69"/>
      <c r="AF454" s="122"/>
    </row>
    <row r="455" spans="1:32" ht="12.75" customHeight="1">
      <c r="A455" s="89"/>
      <c r="B455" s="69"/>
      <c r="C455" s="69" t="s">
        <v>130</v>
      </c>
      <c r="D455" s="69" t="s">
        <v>567</v>
      </c>
      <c r="E455" s="69"/>
      <c r="F455" s="71" t="s">
        <v>10</v>
      </c>
      <c r="G455" s="130" t="s">
        <v>568</v>
      </c>
      <c r="H455" s="141"/>
      <c r="I455" s="141"/>
      <c r="J455" s="141"/>
      <c r="K455" s="143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69"/>
      <c r="X455" s="69"/>
      <c r="Y455" s="69"/>
      <c r="Z455" s="69"/>
      <c r="AA455" s="69"/>
      <c r="AB455" s="69"/>
      <c r="AC455" s="69"/>
      <c r="AD455" s="69"/>
      <c r="AE455" s="69"/>
      <c r="AF455" s="122"/>
    </row>
    <row r="456" spans="1:32" ht="12.75" customHeight="1">
      <c r="A456" s="89"/>
      <c r="B456" s="69"/>
      <c r="C456" s="69" t="s">
        <v>134</v>
      </c>
      <c r="D456" s="69" t="s">
        <v>569</v>
      </c>
      <c r="E456" s="69"/>
      <c r="F456" s="71" t="s">
        <v>10</v>
      </c>
      <c r="G456" s="71" t="s">
        <v>570</v>
      </c>
      <c r="H456" s="71"/>
      <c r="I456" s="108"/>
      <c r="J456" s="108"/>
      <c r="K456" s="71"/>
      <c r="L456" s="71" t="s">
        <v>398</v>
      </c>
      <c r="M456" s="71"/>
      <c r="N456" s="108"/>
      <c r="O456" s="108"/>
      <c r="P456" s="71"/>
      <c r="Q456" s="71" t="s">
        <v>560</v>
      </c>
      <c r="R456" s="71"/>
      <c r="S456" s="108"/>
      <c r="T456" s="108"/>
      <c r="U456" s="108"/>
      <c r="V456" s="108"/>
      <c r="W456" s="69"/>
      <c r="X456" s="69"/>
      <c r="Y456" s="69"/>
      <c r="Z456" s="69"/>
      <c r="AA456" s="69"/>
      <c r="AB456" s="69"/>
      <c r="AC456" s="69"/>
      <c r="AD456" s="69"/>
      <c r="AE456" s="69"/>
      <c r="AF456" s="122"/>
    </row>
    <row r="457" spans="1:32" ht="12.75" customHeight="1">
      <c r="A457" s="89"/>
      <c r="B457" s="138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  <c r="AB457" s="125"/>
      <c r="AC457" s="125"/>
      <c r="AD457" s="125"/>
      <c r="AE457" s="125"/>
      <c r="AF457" s="127"/>
    </row>
    <row r="458" spans="1:32" ht="12.75" customHeight="1">
      <c r="A458" s="89"/>
      <c r="B458" s="69"/>
      <c r="C458" s="128" t="s">
        <v>443</v>
      </c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  <c r="AD458" s="69"/>
      <c r="AE458" s="69"/>
      <c r="AF458" s="122"/>
    </row>
    <row r="459" spans="1:32" ht="12.75" customHeight="1">
      <c r="A459" s="89"/>
      <c r="B459" s="69"/>
      <c r="C459" s="69" t="s">
        <v>111</v>
      </c>
      <c r="D459" s="69" t="s">
        <v>340</v>
      </c>
      <c r="E459" s="69"/>
      <c r="F459" s="71" t="s">
        <v>10</v>
      </c>
      <c r="G459" s="108">
        <v>3</v>
      </c>
      <c r="H459" s="108">
        <v>3</v>
      </c>
      <c r="I459" s="108">
        <v>2</v>
      </c>
      <c r="J459" s="108">
        <v>7</v>
      </c>
      <c r="K459" s="108">
        <v>0</v>
      </c>
      <c r="L459" s="108">
        <v>4</v>
      </c>
      <c r="M459" s="108">
        <v>1</v>
      </c>
      <c r="N459" s="108">
        <v>4</v>
      </c>
      <c r="O459" s="108">
        <v>1</v>
      </c>
      <c r="P459" s="108">
        <v>2</v>
      </c>
      <c r="Q459" s="108">
        <v>8</v>
      </c>
      <c r="R459" s="108">
        <v>4</v>
      </c>
      <c r="S459" s="108">
        <v>0</v>
      </c>
      <c r="T459" s="108">
        <v>0</v>
      </c>
      <c r="U459" s="108">
        <v>0</v>
      </c>
      <c r="V459" s="108">
        <v>3</v>
      </c>
      <c r="W459" s="108"/>
      <c r="X459" s="71"/>
      <c r="Y459" s="71"/>
      <c r="Z459" s="71"/>
      <c r="AA459" s="71"/>
      <c r="AB459" s="71"/>
      <c r="AC459" s="71"/>
      <c r="AD459" s="71"/>
      <c r="AE459" s="71"/>
      <c r="AF459" s="122"/>
    </row>
    <row r="460" spans="1:32" ht="12.75" customHeight="1">
      <c r="A460" s="89"/>
      <c r="B460" s="69"/>
      <c r="C460" s="69" t="s">
        <v>115</v>
      </c>
      <c r="D460" s="69" t="s">
        <v>391</v>
      </c>
      <c r="E460" s="69"/>
      <c r="F460" s="71" t="s">
        <v>10</v>
      </c>
      <c r="G460" s="108" t="s">
        <v>475</v>
      </c>
      <c r="H460" s="108" t="s">
        <v>467</v>
      </c>
      <c r="I460" s="108" t="s">
        <v>498</v>
      </c>
      <c r="J460" s="108" t="s">
        <v>464</v>
      </c>
      <c r="K460" s="108" t="s">
        <v>484</v>
      </c>
      <c r="L460" s="108" t="s">
        <v>469</v>
      </c>
      <c r="M460" s="108" t="s">
        <v>468</v>
      </c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  <c r="AF460" s="122"/>
    </row>
    <row r="461" spans="1:32" ht="12.75" customHeight="1">
      <c r="A461" s="89"/>
      <c r="B461" s="69"/>
      <c r="C461" s="69" t="s">
        <v>118</v>
      </c>
      <c r="D461" s="69" t="s">
        <v>559</v>
      </c>
      <c r="E461" s="69"/>
      <c r="F461" s="71" t="s">
        <v>10</v>
      </c>
      <c r="G461" s="71" t="s">
        <v>397</v>
      </c>
      <c r="H461" s="129">
        <v>1</v>
      </c>
      <c r="I461" s="108">
        <v>4</v>
      </c>
      <c r="J461" s="71"/>
      <c r="K461" s="71" t="s">
        <v>398</v>
      </c>
      <c r="L461" s="108">
        <v>1</v>
      </c>
      <c r="M461" s="108">
        <v>2</v>
      </c>
      <c r="N461" s="71"/>
      <c r="O461" s="71" t="s">
        <v>560</v>
      </c>
      <c r="P461" s="108">
        <v>1</v>
      </c>
      <c r="Q461" s="108">
        <v>9</v>
      </c>
      <c r="R461" s="108">
        <v>8</v>
      </c>
      <c r="S461" s="108">
        <v>4</v>
      </c>
      <c r="T461" s="71"/>
      <c r="U461" s="71" t="s">
        <v>359</v>
      </c>
      <c r="V461" s="71"/>
      <c r="W461" s="108">
        <v>3</v>
      </c>
      <c r="X461" s="108">
        <v>3</v>
      </c>
      <c r="Y461" s="108"/>
      <c r="Z461" s="71"/>
      <c r="AA461" s="71"/>
      <c r="AB461" s="71"/>
      <c r="AC461" s="71"/>
      <c r="AD461" s="71"/>
      <c r="AE461" s="71"/>
      <c r="AF461" s="122"/>
    </row>
    <row r="462" spans="1:32" ht="12.75" customHeight="1">
      <c r="A462" s="89"/>
      <c r="B462" s="69"/>
      <c r="C462" s="69" t="s">
        <v>121</v>
      </c>
      <c r="D462" s="69" t="s">
        <v>128</v>
      </c>
      <c r="E462" s="69"/>
      <c r="F462" s="71" t="s">
        <v>10</v>
      </c>
      <c r="G462" s="108">
        <v>2</v>
      </c>
      <c r="H462" s="108">
        <v>0</v>
      </c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  <c r="AD462" s="69"/>
      <c r="AE462" s="69"/>
      <c r="AF462" s="122"/>
    </row>
    <row r="463" spans="1:32" ht="12.75" customHeight="1">
      <c r="A463" s="89"/>
      <c r="B463" s="69"/>
      <c r="C463" s="69" t="s">
        <v>124</v>
      </c>
      <c r="D463" s="69" t="s">
        <v>345</v>
      </c>
      <c r="E463" s="69"/>
      <c r="F463" s="71" t="s">
        <v>10</v>
      </c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122"/>
    </row>
    <row r="464" spans="1:32" ht="12.75" customHeight="1">
      <c r="A464" s="89"/>
      <c r="B464" s="69"/>
      <c r="C464" s="69"/>
      <c r="D464" s="69"/>
      <c r="E464" s="69"/>
      <c r="F464" s="71"/>
      <c r="G464" s="69" t="s">
        <v>561</v>
      </c>
      <c r="H464" s="69"/>
      <c r="I464" s="69"/>
      <c r="J464" s="69"/>
      <c r="K464" s="69"/>
      <c r="L464" s="142" t="s">
        <v>102</v>
      </c>
      <c r="M464" s="142"/>
      <c r="N464" s="142"/>
      <c r="O464" s="142"/>
      <c r="P464" s="142"/>
      <c r="Q464" s="131"/>
      <c r="R464" s="131" t="s">
        <v>562</v>
      </c>
      <c r="S464" s="131"/>
      <c r="T464" s="131"/>
      <c r="U464" s="131"/>
      <c r="V464" s="142" t="s">
        <v>106</v>
      </c>
      <c r="W464" s="142"/>
      <c r="X464" s="142"/>
      <c r="Y464" s="142"/>
      <c r="Z464" s="142"/>
      <c r="AA464" s="69"/>
      <c r="AB464" s="69"/>
      <c r="AC464" s="69"/>
      <c r="AD464" s="69"/>
      <c r="AE464" s="69"/>
      <c r="AF464" s="122"/>
    </row>
    <row r="465" spans="1:32" ht="12.75" customHeight="1">
      <c r="A465" s="89"/>
      <c r="B465" s="69"/>
      <c r="C465" s="69"/>
      <c r="D465" s="69"/>
      <c r="E465" s="69"/>
      <c r="F465" s="71"/>
      <c r="G465" s="69" t="s">
        <v>563</v>
      </c>
      <c r="H465" s="69"/>
      <c r="I465" s="69"/>
      <c r="J465" s="69"/>
      <c r="K465" s="69"/>
      <c r="L465" s="142" t="s">
        <v>104</v>
      </c>
      <c r="M465" s="142"/>
      <c r="N465" s="142"/>
      <c r="O465" s="142"/>
      <c r="P465" s="142"/>
      <c r="Q465" s="131"/>
      <c r="R465" s="131" t="s">
        <v>417</v>
      </c>
      <c r="S465" s="131"/>
      <c r="T465" s="131"/>
      <c r="U465" s="131"/>
      <c r="V465" s="142" t="s">
        <v>418</v>
      </c>
      <c r="W465" s="142"/>
      <c r="X465" s="142"/>
      <c r="Y465" s="142"/>
      <c r="Z465" s="142"/>
      <c r="AA465" s="69"/>
      <c r="AB465" s="69"/>
      <c r="AC465" s="69"/>
      <c r="AD465" s="69"/>
      <c r="AE465" s="69"/>
      <c r="AF465" s="122"/>
    </row>
    <row r="466" spans="1:32" ht="12.75" customHeight="1">
      <c r="A466" s="89"/>
      <c r="B466" s="69"/>
      <c r="C466" s="69" t="s">
        <v>127</v>
      </c>
      <c r="D466" s="69" t="s">
        <v>564</v>
      </c>
      <c r="E466" s="69"/>
      <c r="F466" s="71" t="s">
        <v>10</v>
      </c>
      <c r="G466" s="108" t="s">
        <v>111</v>
      </c>
      <c r="H466" s="71"/>
      <c r="I466" s="71" t="s">
        <v>565</v>
      </c>
      <c r="J466" s="71"/>
      <c r="K466" s="71"/>
      <c r="L466" s="71" t="s">
        <v>566</v>
      </c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69"/>
      <c r="X466" s="69"/>
      <c r="Y466" s="69"/>
      <c r="Z466" s="69"/>
      <c r="AA466" s="69"/>
      <c r="AB466" s="69"/>
      <c r="AC466" s="69"/>
      <c r="AD466" s="69"/>
      <c r="AE466" s="69"/>
      <c r="AF466" s="122"/>
    </row>
    <row r="467" spans="1:32" ht="12.75" customHeight="1">
      <c r="A467" s="89"/>
      <c r="B467" s="69"/>
      <c r="C467" s="69" t="s">
        <v>130</v>
      </c>
      <c r="D467" s="69" t="s">
        <v>567</v>
      </c>
      <c r="E467" s="69"/>
      <c r="F467" s="71" t="s">
        <v>10</v>
      </c>
      <c r="G467" s="130" t="s">
        <v>568</v>
      </c>
      <c r="H467" s="141"/>
      <c r="I467" s="141"/>
      <c r="J467" s="141"/>
      <c r="K467" s="143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69"/>
      <c r="X467" s="69"/>
      <c r="Y467" s="69"/>
      <c r="Z467" s="69"/>
      <c r="AA467" s="69"/>
      <c r="AB467" s="69"/>
      <c r="AC467" s="69"/>
      <c r="AD467" s="69"/>
      <c r="AE467" s="69"/>
      <c r="AF467" s="122"/>
    </row>
    <row r="468" spans="1:32" ht="12.75" customHeight="1">
      <c r="A468" s="89"/>
      <c r="B468" s="138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  <c r="AB468" s="125"/>
      <c r="AC468" s="125"/>
      <c r="AD468" s="125"/>
      <c r="AE468" s="125"/>
      <c r="AF468" s="127"/>
    </row>
    <row r="469" spans="1:32" ht="12.75" customHeight="1">
      <c r="A469" s="89"/>
      <c r="B469" s="69"/>
      <c r="C469" s="128" t="s">
        <v>455</v>
      </c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  <c r="AD469" s="69"/>
      <c r="AE469" s="69"/>
      <c r="AF469" s="122"/>
    </row>
    <row r="470" spans="1:32" ht="12.75" customHeight="1">
      <c r="A470" s="89"/>
      <c r="B470" s="69"/>
      <c r="C470" s="69" t="s">
        <v>111</v>
      </c>
      <c r="D470" s="69" t="s">
        <v>340</v>
      </c>
      <c r="E470" s="69"/>
      <c r="F470" s="71" t="s">
        <v>10</v>
      </c>
      <c r="G470" s="108">
        <v>3</v>
      </c>
      <c r="H470" s="108">
        <v>3</v>
      </c>
      <c r="I470" s="108">
        <v>2</v>
      </c>
      <c r="J470" s="108">
        <v>7</v>
      </c>
      <c r="K470" s="108">
        <v>0</v>
      </c>
      <c r="L470" s="108">
        <v>4</v>
      </c>
      <c r="M470" s="108">
        <v>1</v>
      </c>
      <c r="N470" s="108">
        <v>4</v>
      </c>
      <c r="O470" s="108">
        <v>1</v>
      </c>
      <c r="P470" s="108">
        <v>2</v>
      </c>
      <c r="Q470" s="108">
        <v>8</v>
      </c>
      <c r="R470" s="108">
        <v>4</v>
      </c>
      <c r="S470" s="108">
        <v>0</v>
      </c>
      <c r="T470" s="108">
        <v>0</v>
      </c>
      <c r="U470" s="108">
        <v>0</v>
      </c>
      <c r="V470" s="108">
        <v>3</v>
      </c>
      <c r="W470" s="109"/>
      <c r="X470" s="69"/>
      <c r="Y470" s="69"/>
      <c r="Z470" s="69"/>
      <c r="AA470" s="69"/>
      <c r="AB470" s="69"/>
      <c r="AC470" s="69"/>
      <c r="AD470" s="69"/>
      <c r="AE470" s="69"/>
      <c r="AF470" s="122"/>
    </row>
    <row r="471" spans="1:32" ht="12.75" customHeight="1">
      <c r="A471" s="89"/>
      <c r="B471" s="69"/>
      <c r="C471" s="69" t="s">
        <v>115</v>
      </c>
      <c r="D471" s="69" t="s">
        <v>391</v>
      </c>
      <c r="E471" s="69"/>
      <c r="F471" s="71" t="s">
        <v>10</v>
      </c>
      <c r="G471" s="108" t="s">
        <v>475</v>
      </c>
      <c r="H471" s="108" t="s">
        <v>467</v>
      </c>
      <c r="I471" s="108" t="s">
        <v>498</v>
      </c>
      <c r="J471" s="108" t="s">
        <v>464</v>
      </c>
      <c r="K471" s="108" t="s">
        <v>484</v>
      </c>
      <c r="L471" s="108" t="s">
        <v>469</v>
      </c>
      <c r="M471" s="108" t="s">
        <v>468</v>
      </c>
      <c r="N471" s="108"/>
      <c r="O471" s="108"/>
      <c r="P471" s="108"/>
      <c r="Q471" s="108"/>
      <c r="R471" s="108"/>
      <c r="S471" s="108"/>
      <c r="T471" s="108"/>
      <c r="U471" s="108"/>
      <c r="V471" s="108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22"/>
    </row>
    <row r="472" spans="1:32" ht="12.75" customHeight="1">
      <c r="A472" s="89"/>
      <c r="B472" s="69"/>
      <c r="C472" s="69" t="s">
        <v>118</v>
      </c>
      <c r="D472" s="69" t="s">
        <v>359</v>
      </c>
      <c r="E472" s="69"/>
      <c r="F472" s="71" t="s">
        <v>10</v>
      </c>
      <c r="G472" s="108">
        <v>3</v>
      </c>
      <c r="H472" s="108">
        <v>3</v>
      </c>
      <c r="I472" s="69"/>
      <c r="J472" s="69" t="s">
        <v>399</v>
      </c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  <c r="AD472" s="69"/>
      <c r="AE472" s="69"/>
      <c r="AF472" s="122"/>
    </row>
    <row r="473" spans="1:32" ht="12.75" customHeight="1">
      <c r="A473" s="89"/>
      <c r="B473" s="69"/>
      <c r="C473" s="69" t="s">
        <v>121</v>
      </c>
      <c r="D473" s="69" t="s">
        <v>571</v>
      </c>
      <c r="E473" s="69"/>
      <c r="F473" s="71" t="s">
        <v>10</v>
      </c>
      <c r="G473" s="132" t="s">
        <v>111</v>
      </c>
      <c r="H473" s="69" t="s">
        <v>534</v>
      </c>
      <c r="I473" s="69"/>
      <c r="J473" s="69"/>
      <c r="K473" s="69"/>
      <c r="L473" s="69" t="s">
        <v>394</v>
      </c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  <c r="AD473" s="69"/>
      <c r="AE473" s="69"/>
      <c r="AF473" s="122"/>
    </row>
    <row r="474" spans="1:32" ht="12.75" customHeight="1">
      <c r="A474" s="89"/>
      <c r="B474" s="69"/>
      <c r="C474" s="69" t="s">
        <v>124</v>
      </c>
      <c r="D474" s="69" t="s">
        <v>128</v>
      </c>
      <c r="E474" s="69"/>
      <c r="F474" s="71" t="s">
        <v>10</v>
      </c>
      <c r="G474" s="108">
        <v>2</v>
      </c>
      <c r="H474" s="108">
        <v>0</v>
      </c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  <c r="AD474" s="69"/>
      <c r="AE474" s="69"/>
      <c r="AF474" s="122"/>
    </row>
    <row r="475" spans="1:32" ht="12.75" customHeight="1">
      <c r="A475" s="89"/>
      <c r="B475" s="69"/>
      <c r="C475" s="69" t="s">
        <v>127</v>
      </c>
      <c r="D475" s="69" t="s">
        <v>345</v>
      </c>
      <c r="E475" s="69"/>
      <c r="F475" s="71" t="s">
        <v>10</v>
      </c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122"/>
    </row>
    <row r="476" spans="1:32" ht="12.75" customHeight="1">
      <c r="A476" s="89"/>
      <c r="B476" s="69"/>
      <c r="C476" s="69"/>
      <c r="D476" s="69"/>
      <c r="E476" s="69"/>
      <c r="F476" s="69"/>
      <c r="G476" s="69" t="s">
        <v>561</v>
      </c>
      <c r="H476" s="69"/>
      <c r="I476" s="69"/>
      <c r="J476" s="69"/>
      <c r="K476" s="69"/>
      <c r="L476" s="142" t="s">
        <v>102</v>
      </c>
      <c r="M476" s="142"/>
      <c r="N476" s="142"/>
      <c r="O476" s="142"/>
      <c r="P476" s="142"/>
      <c r="Q476" s="131"/>
      <c r="R476" s="131" t="s">
        <v>562</v>
      </c>
      <c r="S476" s="131"/>
      <c r="T476" s="131"/>
      <c r="U476" s="131"/>
      <c r="V476" s="142" t="s">
        <v>106</v>
      </c>
      <c r="W476" s="142"/>
      <c r="X476" s="142"/>
      <c r="Y476" s="142"/>
      <c r="Z476" s="142"/>
      <c r="AA476" s="69"/>
      <c r="AB476" s="69"/>
      <c r="AC476" s="69"/>
      <c r="AD476" s="69"/>
      <c r="AE476" s="69"/>
      <c r="AF476" s="122"/>
    </row>
    <row r="477" spans="1:32" ht="12.75" customHeight="1">
      <c r="A477" s="89"/>
      <c r="B477" s="69"/>
      <c r="C477" s="69"/>
      <c r="D477" s="69"/>
      <c r="E477" s="69"/>
      <c r="F477" s="69"/>
      <c r="G477" s="69" t="s">
        <v>563</v>
      </c>
      <c r="H477" s="69"/>
      <c r="I477" s="69"/>
      <c r="J477" s="69"/>
      <c r="K477" s="69"/>
      <c r="L477" s="142" t="s">
        <v>104</v>
      </c>
      <c r="M477" s="142"/>
      <c r="N477" s="142"/>
      <c r="O477" s="142"/>
      <c r="P477" s="142"/>
      <c r="Q477" s="131"/>
      <c r="R477" s="131" t="s">
        <v>417</v>
      </c>
      <c r="S477" s="131"/>
      <c r="T477" s="131"/>
      <c r="U477" s="131"/>
      <c r="V477" s="142" t="s">
        <v>418</v>
      </c>
      <c r="W477" s="142"/>
      <c r="X477" s="142"/>
      <c r="Y477" s="142"/>
      <c r="Z477" s="142"/>
      <c r="AA477" s="69"/>
      <c r="AB477" s="69"/>
      <c r="AC477" s="69"/>
      <c r="AD477" s="69"/>
      <c r="AE477" s="69"/>
      <c r="AF477" s="122"/>
    </row>
    <row r="478" spans="1:32" ht="12.75" customHeight="1">
      <c r="A478" s="89"/>
      <c r="B478" s="138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  <c r="AB478" s="125"/>
      <c r="AC478" s="125"/>
      <c r="AD478" s="125"/>
      <c r="AE478" s="125"/>
      <c r="AF478" s="127"/>
    </row>
    <row r="479" spans="1:32" ht="12.75" customHeight="1">
      <c r="A479" s="89"/>
      <c r="B479" s="69"/>
      <c r="C479" s="128" t="s">
        <v>572</v>
      </c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  <c r="AD479" s="69"/>
      <c r="AE479" s="69"/>
      <c r="AF479" s="122"/>
    </row>
    <row r="480" spans="1:32" ht="12.75" customHeight="1">
      <c r="A480" s="89"/>
      <c r="B480" s="69"/>
      <c r="C480" s="69" t="s">
        <v>111</v>
      </c>
      <c r="D480" s="69" t="s">
        <v>340</v>
      </c>
      <c r="E480" s="69"/>
      <c r="F480" s="71" t="s">
        <v>10</v>
      </c>
      <c r="G480" s="108">
        <v>3</v>
      </c>
      <c r="H480" s="108">
        <v>3</v>
      </c>
      <c r="I480" s="108">
        <v>2</v>
      </c>
      <c r="J480" s="108">
        <v>7</v>
      </c>
      <c r="K480" s="108">
        <v>0</v>
      </c>
      <c r="L480" s="108">
        <v>4</v>
      </c>
      <c r="M480" s="108">
        <v>0</v>
      </c>
      <c r="N480" s="108">
        <v>1</v>
      </c>
      <c r="O480" s="108">
        <v>0</v>
      </c>
      <c r="P480" s="108">
        <v>7</v>
      </c>
      <c r="Q480" s="108">
        <v>6</v>
      </c>
      <c r="R480" s="108">
        <v>3</v>
      </c>
      <c r="S480" s="108">
        <v>0</v>
      </c>
      <c r="T480" s="108">
        <v>4</v>
      </c>
      <c r="U480" s="108">
        <v>7</v>
      </c>
      <c r="V480" s="108">
        <v>0</v>
      </c>
      <c r="W480" s="109"/>
      <c r="X480" s="69"/>
      <c r="Y480" s="69"/>
      <c r="Z480" s="69"/>
      <c r="AA480" s="69"/>
      <c r="AB480" s="69"/>
      <c r="AC480" s="69"/>
      <c r="AD480" s="69"/>
      <c r="AE480" s="69"/>
      <c r="AF480" s="122"/>
    </row>
    <row r="481" spans="1:32" ht="12.75" customHeight="1">
      <c r="A481" s="89"/>
      <c r="B481" s="69"/>
      <c r="C481" s="69" t="s">
        <v>115</v>
      </c>
      <c r="D481" s="69" t="s">
        <v>391</v>
      </c>
      <c r="E481" s="69"/>
      <c r="F481" s="71" t="s">
        <v>10</v>
      </c>
      <c r="G481" s="108" t="s">
        <v>484</v>
      </c>
      <c r="H481" s="108" t="s">
        <v>467</v>
      </c>
      <c r="I481" s="108" t="s">
        <v>485</v>
      </c>
      <c r="J481" s="108" t="s">
        <v>464</v>
      </c>
      <c r="K481" s="108" t="s">
        <v>468</v>
      </c>
      <c r="L481" s="108" t="s">
        <v>484</v>
      </c>
      <c r="M481" s="108" t="s">
        <v>477</v>
      </c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  <c r="AF481" s="122"/>
    </row>
    <row r="482" spans="1:32" ht="12.75" customHeight="1">
      <c r="A482" s="89"/>
      <c r="B482" s="69"/>
      <c r="C482" s="69" t="s">
        <v>118</v>
      </c>
      <c r="D482" s="69" t="s">
        <v>359</v>
      </c>
      <c r="E482" s="69"/>
      <c r="F482" s="71" t="s">
        <v>10</v>
      </c>
      <c r="G482" s="108">
        <v>5</v>
      </c>
      <c r="H482" s="108">
        <v>4</v>
      </c>
      <c r="I482" s="69"/>
      <c r="J482" s="69" t="s">
        <v>399</v>
      </c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  <c r="AD482" s="69"/>
      <c r="AE482" s="69"/>
      <c r="AF482" s="122"/>
    </row>
    <row r="483" spans="1:32" ht="12.75" customHeight="1">
      <c r="A483" s="89"/>
      <c r="B483" s="69"/>
      <c r="C483" s="69" t="s">
        <v>121</v>
      </c>
      <c r="D483" s="69" t="s">
        <v>128</v>
      </c>
      <c r="E483" s="69"/>
      <c r="F483" s="71" t="s">
        <v>10</v>
      </c>
      <c r="G483" s="108">
        <v>2</v>
      </c>
      <c r="H483" s="108">
        <v>0</v>
      </c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  <c r="AD483" s="69"/>
      <c r="AE483" s="69"/>
      <c r="AF483" s="122"/>
    </row>
    <row r="484" spans="1:32" ht="12.75" customHeight="1">
      <c r="A484" s="89"/>
      <c r="B484" s="69"/>
      <c r="C484" s="69" t="s">
        <v>124</v>
      </c>
      <c r="D484" s="69" t="s">
        <v>345</v>
      </c>
      <c r="E484" s="69"/>
      <c r="F484" s="71" t="s">
        <v>10</v>
      </c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122"/>
    </row>
    <row r="485" spans="1:32" ht="12.75" customHeight="1">
      <c r="A485" s="89"/>
      <c r="B485" s="69"/>
      <c r="C485" s="69"/>
      <c r="D485" s="69"/>
      <c r="E485" s="69"/>
      <c r="F485" s="71"/>
      <c r="G485" s="69" t="s">
        <v>561</v>
      </c>
      <c r="H485" s="69"/>
      <c r="I485" s="69"/>
      <c r="J485" s="69"/>
      <c r="K485" s="69"/>
      <c r="L485" s="142" t="s">
        <v>102</v>
      </c>
      <c r="M485" s="142"/>
      <c r="N485" s="142"/>
      <c r="O485" s="142"/>
      <c r="P485" s="142"/>
      <c r="Q485" s="69"/>
      <c r="R485" s="69" t="s">
        <v>562</v>
      </c>
      <c r="S485" s="69"/>
      <c r="T485" s="69"/>
      <c r="U485" s="69"/>
      <c r="V485" s="142" t="s">
        <v>106</v>
      </c>
      <c r="W485" s="142"/>
      <c r="X485" s="142"/>
      <c r="Y485" s="142"/>
      <c r="Z485" s="142"/>
      <c r="AA485" s="69"/>
      <c r="AB485" s="69"/>
      <c r="AC485" s="69"/>
      <c r="AD485" s="69"/>
      <c r="AE485" s="69"/>
      <c r="AF485" s="122"/>
    </row>
    <row r="486" spans="1:32" ht="12.75" customHeight="1">
      <c r="A486" s="89"/>
      <c r="B486" s="69"/>
      <c r="C486" s="69"/>
      <c r="D486" s="69"/>
      <c r="E486" s="69"/>
      <c r="F486" s="69"/>
      <c r="G486" s="69" t="s">
        <v>563</v>
      </c>
      <c r="H486" s="69"/>
      <c r="I486" s="69"/>
      <c r="J486" s="69"/>
      <c r="K486" s="69"/>
      <c r="L486" s="142" t="s">
        <v>104</v>
      </c>
      <c r="M486" s="142"/>
      <c r="N486" s="142"/>
      <c r="O486" s="142"/>
      <c r="P486" s="142"/>
      <c r="Q486" s="69"/>
      <c r="R486" s="69" t="s">
        <v>417</v>
      </c>
      <c r="S486" s="69"/>
      <c r="T486" s="69"/>
      <c r="U486" s="69"/>
      <c r="V486" s="142" t="s">
        <v>418</v>
      </c>
      <c r="W486" s="142"/>
      <c r="X486" s="142"/>
      <c r="Y486" s="142"/>
      <c r="Z486" s="142"/>
      <c r="AA486" s="69"/>
      <c r="AB486" s="69"/>
      <c r="AC486" s="69"/>
      <c r="AD486" s="69"/>
      <c r="AE486" s="69"/>
      <c r="AF486" s="122"/>
    </row>
    <row r="487" spans="1:32" ht="12.75" customHeight="1">
      <c r="A487" s="89"/>
      <c r="B487" s="138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  <c r="AB487" s="125"/>
      <c r="AC487" s="125"/>
      <c r="AD487" s="125"/>
      <c r="AE487" s="125"/>
      <c r="AF487" s="127"/>
    </row>
    <row r="488" spans="1:32" ht="12.75" customHeight="1">
      <c r="A488" s="89"/>
      <c r="B488" s="69"/>
      <c r="C488" s="128" t="s">
        <v>472</v>
      </c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  <c r="AD488" s="69"/>
      <c r="AE488" s="69"/>
      <c r="AF488" s="122"/>
    </row>
    <row r="489" spans="1:32" ht="12.75" customHeight="1">
      <c r="A489" s="89"/>
      <c r="B489" s="69"/>
      <c r="C489" s="69" t="s">
        <v>111</v>
      </c>
      <c r="D489" s="69" t="s">
        <v>340</v>
      </c>
      <c r="E489" s="69"/>
      <c r="F489" s="71" t="s">
        <v>10</v>
      </c>
      <c r="G489" s="108">
        <v>3</v>
      </c>
      <c r="H489" s="108">
        <v>3</v>
      </c>
      <c r="I489" s="108">
        <v>2</v>
      </c>
      <c r="J489" s="108">
        <v>7</v>
      </c>
      <c r="K489" s="108">
        <v>0</v>
      </c>
      <c r="L489" s="108">
        <v>4</v>
      </c>
      <c r="M489" s="108">
        <v>0</v>
      </c>
      <c r="N489" s="108">
        <v>1</v>
      </c>
      <c r="O489" s="108">
        <v>0</v>
      </c>
      <c r="P489" s="108">
        <v>7</v>
      </c>
      <c r="Q489" s="108">
        <v>7</v>
      </c>
      <c r="R489" s="108">
        <v>9</v>
      </c>
      <c r="S489" s="108">
        <v>0</v>
      </c>
      <c r="T489" s="108">
        <v>2</v>
      </c>
      <c r="U489" s="108">
        <v>8</v>
      </c>
      <c r="V489" s="108">
        <v>9</v>
      </c>
      <c r="W489" s="108"/>
      <c r="X489" s="69"/>
      <c r="Y489" s="69"/>
      <c r="Z489" s="69"/>
      <c r="AA489" s="69"/>
      <c r="AB489" s="69"/>
      <c r="AC489" s="69"/>
      <c r="AD489" s="69"/>
      <c r="AE489" s="69"/>
      <c r="AF489" s="122"/>
    </row>
    <row r="490" spans="1:32" ht="12.75" customHeight="1">
      <c r="A490" s="89"/>
      <c r="B490" s="69"/>
      <c r="C490" s="69" t="s">
        <v>115</v>
      </c>
      <c r="D490" s="69" t="s">
        <v>391</v>
      </c>
      <c r="E490" s="69"/>
      <c r="F490" s="71" t="s">
        <v>10</v>
      </c>
      <c r="G490" s="108" t="s">
        <v>465</v>
      </c>
      <c r="H490" s="108" t="s">
        <v>469</v>
      </c>
      <c r="I490" s="108" t="s">
        <v>468</v>
      </c>
      <c r="J490" s="108" t="s">
        <v>484</v>
      </c>
      <c r="K490" s="108" t="s">
        <v>477</v>
      </c>
      <c r="L490" s="108" t="s">
        <v>485</v>
      </c>
      <c r="M490" s="108" t="s">
        <v>477</v>
      </c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22"/>
    </row>
    <row r="491" spans="1:32" ht="12.75" customHeight="1">
      <c r="A491" s="89"/>
      <c r="B491" s="69"/>
      <c r="C491" s="69" t="s">
        <v>118</v>
      </c>
      <c r="D491" s="69" t="s">
        <v>359</v>
      </c>
      <c r="E491" s="69"/>
      <c r="F491" s="71" t="s">
        <v>10</v>
      </c>
      <c r="G491" s="108">
        <v>3</v>
      </c>
      <c r="H491" s="108">
        <v>8</v>
      </c>
      <c r="I491" s="69"/>
      <c r="J491" s="69" t="s">
        <v>399</v>
      </c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  <c r="AD491" s="69"/>
      <c r="AE491" s="69"/>
      <c r="AF491" s="122"/>
    </row>
    <row r="492" spans="1:32" ht="12.75" customHeight="1">
      <c r="A492" s="89"/>
      <c r="B492" s="69"/>
      <c r="C492" s="69" t="s">
        <v>121</v>
      </c>
      <c r="D492" s="69" t="s">
        <v>128</v>
      </c>
      <c r="E492" s="69"/>
      <c r="F492" s="71" t="s">
        <v>10</v>
      </c>
      <c r="G492" s="108">
        <v>2</v>
      </c>
      <c r="H492" s="108">
        <v>0</v>
      </c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  <c r="AD492" s="69"/>
      <c r="AE492" s="69"/>
      <c r="AF492" s="122"/>
    </row>
    <row r="493" spans="1:32" ht="12.75" customHeight="1">
      <c r="A493" s="89"/>
      <c r="B493" s="69"/>
      <c r="C493" s="69" t="s">
        <v>124</v>
      </c>
      <c r="D493" s="69" t="s">
        <v>345</v>
      </c>
      <c r="E493" s="69"/>
      <c r="F493" s="71" t="s">
        <v>10</v>
      </c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122"/>
    </row>
    <row r="494" spans="1:32" ht="12.75" customHeight="1">
      <c r="A494" s="89"/>
      <c r="B494" s="69"/>
      <c r="C494" s="69"/>
      <c r="D494" s="69"/>
      <c r="E494" s="69"/>
      <c r="F494" s="69"/>
      <c r="G494" s="69" t="s">
        <v>561</v>
      </c>
      <c r="H494" s="69"/>
      <c r="I494" s="69"/>
      <c r="J494" s="69"/>
      <c r="K494" s="69"/>
      <c r="L494" s="142" t="s">
        <v>102</v>
      </c>
      <c r="M494" s="142"/>
      <c r="N494" s="142"/>
      <c r="O494" s="142"/>
      <c r="P494" s="142"/>
      <c r="Q494" s="69"/>
      <c r="R494" s="69" t="s">
        <v>562</v>
      </c>
      <c r="S494" s="69"/>
      <c r="T494" s="69"/>
      <c r="U494" s="69"/>
      <c r="V494" s="142" t="s">
        <v>106</v>
      </c>
      <c r="W494" s="142"/>
      <c r="X494" s="142"/>
      <c r="Y494" s="142"/>
      <c r="Z494" s="142"/>
      <c r="AA494" s="69"/>
      <c r="AB494" s="69"/>
      <c r="AC494" s="69"/>
      <c r="AD494" s="69"/>
      <c r="AE494" s="69"/>
      <c r="AF494" s="122"/>
    </row>
    <row r="495" spans="1:32" ht="12.75" customHeight="1">
      <c r="A495" s="89"/>
      <c r="B495" s="69"/>
      <c r="C495" s="69"/>
      <c r="D495" s="69"/>
      <c r="E495" s="69"/>
      <c r="F495" s="69"/>
      <c r="G495" s="69" t="s">
        <v>563</v>
      </c>
      <c r="H495" s="69"/>
      <c r="I495" s="69"/>
      <c r="J495" s="69"/>
      <c r="K495" s="69"/>
      <c r="L495" s="142" t="s">
        <v>104</v>
      </c>
      <c r="M495" s="142"/>
      <c r="N495" s="142"/>
      <c r="O495" s="142"/>
      <c r="P495" s="142"/>
      <c r="Q495" s="69"/>
      <c r="R495" s="69" t="s">
        <v>417</v>
      </c>
      <c r="S495" s="69"/>
      <c r="T495" s="69"/>
      <c r="U495" s="69"/>
      <c r="V495" s="142" t="s">
        <v>418</v>
      </c>
      <c r="W495" s="142"/>
      <c r="X495" s="142"/>
      <c r="Y495" s="142"/>
      <c r="Z495" s="142"/>
      <c r="AA495" s="69"/>
      <c r="AB495" s="69"/>
      <c r="AC495" s="69"/>
      <c r="AD495" s="69"/>
      <c r="AE495" s="69"/>
      <c r="AF495" s="122"/>
    </row>
    <row r="496" spans="1:32" ht="12.75" customHeight="1">
      <c r="A496" s="89"/>
      <c r="B496" s="138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  <c r="AB496" s="125"/>
      <c r="AC496" s="125"/>
      <c r="AD496" s="125"/>
      <c r="AE496" s="125"/>
      <c r="AF496" s="127"/>
    </row>
    <row r="497" spans="2:32" ht="12.75" customHeight="1"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  <c r="AD497" s="69"/>
      <c r="AE497" s="69"/>
      <c r="AF497" s="69"/>
    </row>
    <row r="498" spans="2:32" ht="12.75" customHeight="1"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 t="s">
        <v>604</v>
      </c>
      <c r="X498" s="69"/>
      <c r="Y498" s="69"/>
      <c r="Z498" s="69"/>
      <c r="AA498" s="69"/>
      <c r="AB498" s="69"/>
      <c r="AC498" s="69"/>
      <c r="AD498" s="69"/>
      <c r="AE498" s="69"/>
      <c r="AF498" s="69"/>
    </row>
    <row r="499" spans="2:32" ht="12.75" customHeight="1"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  <c r="AD499" s="69"/>
      <c r="AE499" s="69"/>
      <c r="AF499" s="69"/>
    </row>
    <row r="500" spans="2:32" ht="12.75" customHeight="1">
      <c r="B500" s="69"/>
      <c r="C500" s="69"/>
      <c r="D500" s="69"/>
      <c r="E500" s="69"/>
      <c r="F500" s="69"/>
      <c r="G500" s="69" t="s">
        <v>588</v>
      </c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 t="s">
        <v>481</v>
      </c>
      <c r="X500" s="69"/>
      <c r="Y500" s="69"/>
      <c r="Z500" s="69"/>
      <c r="AA500" s="69"/>
      <c r="AB500" s="69"/>
      <c r="AC500" s="69"/>
      <c r="AD500" s="69"/>
      <c r="AE500" s="69"/>
      <c r="AF500" s="69"/>
    </row>
    <row r="501" spans="2:32" ht="12.75" customHeight="1">
      <c r="B501" s="69"/>
      <c r="C501" s="69"/>
      <c r="D501" s="69"/>
      <c r="E501" s="69"/>
      <c r="F501" s="69" t="s">
        <v>597</v>
      </c>
      <c r="G501" s="69" t="s">
        <v>274</v>
      </c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  <c r="AD501" s="69"/>
      <c r="AE501" s="69"/>
      <c r="AF501" s="69"/>
    </row>
    <row r="502" spans="2:32" ht="12.75" customHeight="1">
      <c r="B502" s="69"/>
      <c r="C502" s="69"/>
      <c r="D502" s="69"/>
      <c r="E502" s="69"/>
      <c r="F502" s="69"/>
      <c r="G502" s="69" t="s">
        <v>598</v>
      </c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  <c r="AD502" s="69"/>
      <c r="AE502" s="69"/>
      <c r="AF502" s="69"/>
    </row>
    <row r="503" spans="2:32" ht="12.75" customHeight="1"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  <c r="AD503" s="69"/>
      <c r="AE503" s="69"/>
      <c r="AF503" s="69"/>
    </row>
    <row r="504" spans="2:32" ht="12.75" customHeight="1"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  <c r="AD504" s="69"/>
      <c r="AE504" s="69"/>
      <c r="AF504" s="69"/>
    </row>
    <row r="505" spans="2:32" ht="12.75" customHeight="1"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  <c r="AD505" s="69"/>
      <c r="AE505" s="69"/>
      <c r="AF505" s="69"/>
    </row>
    <row r="506" spans="2:32" ht="12.75" customHeight="1">
      <c r="B506" s="69"/>
      <c r="C506" s="69"/>
      <c r="D506" s="69"/>
      <c r="E506" s="69"/>
      <c r="F506" s="69"/>
      <c r="G506" s="69" t="s">
        <v>366</v>
      </c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 t="s">
        <v>605</v>
      </c>
      <c r="X506" s="69"/>
      <c r="Y506" s="69"/>
      <c r="Z506" s="69"/>
      <c r="AA506" s="69"/>
      <c r="AB506" s="69"/>
      <c r="AC506" s="69"/>
      <c r="AD506" s="69"/>
      <c r="AE506" s="69"/>
      <c r="AF506" s="69"/>
    </row>
    <row r="507" spans="2:32" ht="12.75" customHeight="1"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</row>
    <row r="508" spans="2:32" ht="12.75" customHeight="1"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  <c r="AD508" s="69"/>
      <c r="AE508" s="69"/>
      <c r="AF508" s="69"/>
    </row>
    <row r="509" spans="2:32" ht="12.75" customHeight="1"/>
    <row r="510" spans="2:32" ht="12.75" customHeight="1"/>
    <row r="511" spans="2:32" ht="12.75" customHeight="1"/>
    <row r="512" spans="2:32" ht="12.75" customHeight="1"/>
    <row r="513" spans="2:32" ht="12.75" customHeight="1"/>
    <row r="514" spans="2:32" ht="12.75" customHeight="1"/>
    <row r="515" spans="2:32" ht="12.75" customHeight="1"/>
    <row r="516" spans="2:32" ht="12.75" customHeight="1"/>
    <row r="517" spans="2:32" ht="12.75" customHeight="1"/>
    <row r="518" spans="2:32" ht="12.75" customHeight="1"/>
    <row r="519" spans="2:32" ht="12.75" customHeight="1"/>
    <row r="520" spans="2:32" ht="12.75" customHeight="1"/>
    <row r="521" spans="2:32" ht="12.75" customHeight="1"/>
    <row r="522" spans="2:32" ht="12.75" customHeight="1"/>
    <row r="523" spans="2:32" ht="12.75" customHeight="1"/>
    <row r="524" spans="2:32" ht="12.75" customHeight="1">
      <c r="Z524" s="139" t="s">
        <v>529</v>
      </c>
      <c r="AA524" s="139"/>
      <c r="AB524" s="139"/>
      <c r="AC524" s="139"/>
    </row>
    <row r="525" spans="2:32" ht="12.75" customHeight="1">
      <c r="B525" s="69"/>
      <c r="C525" s="69" t="s">
        <v>332</v>
      </c>
      <c r="D525" s="69"/>
      <c r="E525" s="69"/>
      <c r="F525" s="71" t="s">
        <v>10</v>
      </c>
      <c r="G525" s="69" t="s">
        <v>102</v>
      </c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 t="s">
        <v>530</v>
      </c>
      <c r="W525" s="69" t="s">
        <v>372</v>
      </c>
      <c r="X525" s="69"/>
      <c r="Y525" s="69" t="s">
        <v>10</v>
      </c>
      <c r="Z525" s="69" t="s">
        <v>373</v>
      </c>
      <c r="AA525" s="69"/>
      <c r="AB525" s="69"/>
      <c r="AC525" s="69"/>
      <c r="AD525" s="69"/>
      <c r="AE525" s="69"/>
      <c r="AF525" s="69"/>
    </row>
    <row r="526" spans="2:32" ht="12.75" customHeight="1">
      <c r="B526" s="69"/>
      <c r="C526" s="69" t="s">
        <v>331</v>
      </c>
      <c r="D526" s="69"/>
      <c r="E526" s="69"/>
      <c r="F526" s="71" t="s">
        <v>10</v>
      </c>
      <c r="G526" s="69" t="s">
        <v>104</v>
      </c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 t="s">
        <v>375</v>
      </c>
      <c r="X526" s="69"/>
      <c r="Y526" s="69" t="s">
        <v>10</v>
      </c>
      <c r="Z526" s="69" t="s">
        <v>332</v>
      </c>
      <c r="AA526" s="69"/>
      <c r="AB526" s="69"/>
      <c r="AC526" s="69"/>
      <c r="AD526" s="69"/>
      <c r="AE526" s="69"/>
      <c r="AF526" s="69"/>
    </row>
    <row r="527" spans="2:32" ht="12.75" customHeight="1">
      <c r="B527" s="69"/>
      <c r="C527" s="69" t="s">
        <v>330</v>
      </c>
      <c r="D527" s="69"/>
      <c r="E527" s="69"/>
      <c r="F527" s="71" t="s">
        <v>10</v>
      </c>
      <c r="G527" s="69" t="s">
        <v>106</v>
      </c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 t="s">
        <v>379</v>
      </c>
      <c r="X527" s="69"/>
      <c r="Y527" s="69" t="s">
        <v>10</v>
      </c>
      <c r="Z527" s="69" t="s">
        <v>331</v>
      </c>
      <c r="AA527" s="69"/>
      <c r="AB527" s="69"/>
      <c r="AC527" s="69"/>
      <c r="AD527" s="69"/>
      <c r="AE527" s="69"/>
      <c r="AF527" s="69"/>
    </row>
    <row r="528" spans="2:32" ht="12.75" customHeight="1">
      <c r="B528" s="69"/>
      <c r="C528" s="69"/>
      <c r="D528" s="69"/>
      <c r="E528" s="69"/>
      <c r="F528" s="71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  <c r="AD528" s="69"/>
      <c r="AE528" s="69"/>
      <c r="AF528" s="69"/>
    </row>
    <row r="529" spans="1:32" ht="12.75" customHeight="1">
      <c r="B529" s="69"/>
      <c r="C529" s="69" t="s">
        <v>381</v>
      </c>
      <c r="D529" s="69"/>
      <c r="E529" s="69"/>
      <c r="F529" s="71" t="s">
        <v>10</v>
      </c>
      <c r="G529" s="108">
        <v>3</v>
      </c>
      <c r="H529" s="108">
        <v>3</v>
      </c>
      <c r="I529" s="108">
        <v>2</v>
      </c>
      <c r="J529" s="108">
        <v>7</v>
      </c>
      <c r="K529" s="108">
        <v>0</v>
      </c>
      <c r="L529" s="108">
        <v>4</v>
      </c>
      <c r="M529" s="108">
        <v>0</v>
      </c>
      <c r="N529" s="108">
        <v>1</v>
      </c>
      <c r="O529" s="108">
        <v>1</v>
      </c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  <c r="AD529" s="69"/>
      <c r="AE529" s="69"/>
      <c r="AF529" s="69"/>
    </row>
    <row r="530" spans="1:32" ht="12.75" customHeight="1">
      <c r="B530" s="69"/>
      <c r="C530" s="69"/>
      <c r="D530" s="69"/>
      <c r="E530" s="69"/>
      <c r="F530" s="71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  <c r="AD530" s="69"/>
      <c r="AE530" s="69"/>
      <c r="AF530" s="69"/>
    </row>
    <row r="531" spans="1:32" ht="12.75" customHeight="1"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  <c r="AD531" s="69"/>
      <c r="AE531" s="69"/>
      <c r="AF531" s="69"/>
    </row>
    <row r="532" spans="1:32" ht="12.75" customHeight="1">
      <c r="B532" s="69"/>
      <c r="C532" s="1" t="s">
        <v>531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2.75" customHeight="1"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  <c r="AD533" s="69"/>
      <c r="AE533" s="69"/>
      <c r="AF533" s="69"/>
    </row>
    <row r="534" spans="1:32" ht="12.75" customHeight="1">
      <c r="B534" s="69"/>
      <c r="C534" s="69" t="s">
        <v>385</v>
      </c>
      <c r="D534" s="69"/>
      <c r="E534" s="69"/>
      <c r="F534" s="71" t="s">
        <v>10</v>
      </c>
      <c r="G534" s="108" t="s">
        <v>475</v>
      </c>
      <c r="H534" s="108" t="s">
        <v>467</v>
      </c>
      <c r="I534" s="108" t="s">
        <v>498</v>
      </c>
      <c r="J534" s="108" t="s">
        <v>464</v>
      </c>
      <c r="K534" s="108" t="s">
        <v>484</v>
      </c>
      <c r="L534" s="108" t="s">
        <v>469</v>
      </c>
      <c r="M534" s="108" t="s">
        <v>468</v>
      </c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  <c r="AF534" s="69"/>
    </row>
    <row r="535" spans="1:32" ht="12.75" customHeight="1">
      <c r="B535" s="69"/>
      <c r="C535" s="69" t="s">
        <v>387</v>
      </c>
      <c r="D535" s="69"/>
      <c r="E535" s="69"/>
      <c r="F535" s="71" t="s">
        <v>10</v>
      </c>
      <c r="G535" s="108">
        <v>3</v>
      </c>
      <c r="H535" s="108">
        <v>3</v>
      </c>
      <c r="I535" s="108">
        <v>2</v>
      </c>
      <c r="J535" s="108">
        <v>7</v>
      </c>
      <c r="K535" s="108">
        <v>0</v>
      </c>
      <c r="L535" s="108">
        <v>4</v>
      </c>
      <c r="M535" s="108">
        <v>1</v>
      </c>
      <c r="N535" s="108">
        <v>2</v>
      </c>
      <c r="O535" s="108">
        <v>0</v>
      </c>
      <c r="P535" s="108">
        <v>4</v>
      </c>
      <c r="Q535" s="108">
        <v>1</v>
      </c>
      <c r="R535" s="108">
        <v>2</v>
      </c>
      <c r="S535" s="108">
        <v>0</v>
      </c>
      <c r="T535" s="108">
        <v>0</v>
      </c>
      <c r="U535" s="108">
        <v>0</v>
      </c>
      <c r="V535" s="108">
        <v>9</v>
      </c>
      <c r="W535" s="109"/>
      <c r="X535" s="109"/>
      <c r="Y535" s="109"/>
      <c r="Z535" s="69"/>
      <c r="AA535" s="69"/>
      <c r="AB535" s="69"/>
      <c r="AC535" s="69"/>
      <c r="AD535" s="69"/>
      <c r="AE535" s="69"/>
      <c r="AF535" s="69"/>
    </row>
    <row r="536" spans="1:32" ht="12.75" customHeight="1"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  <c r="AB536" s="125"/>
      <c r="AC536" s="125"/>
      <c r="AD536" s="125"/>
      <c r="AE536" s="125"/>
      <c r="AF536" s="125"/>
    </row>
    <row r="537" spans="1:32" ht="12.75" customHeight="1">
      <c r="A537" s="89"/>
      <c r="B537" s="69"/>
      <c r="C537" s="128" t="s">
        <v>532</v>
      </c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  <c r="AD537" s="69"/>
      <c r="AE537" s="69"/>
      <c r="AF537" s="124"/>
    </row>
    <row r="538" spans="1:32" ht="12.75" customHeight="1">
      <c r="A538" s="8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  <c r="AD538" s="69"/>
      <c r="AE538" s="69"/>
      <c r="AF538" s="122"/>
    </row>
    <row r="539" spans="1:32" ht="12.75" customHeight="1">
      <c r="A539" s="89"/>
      <c r="B539" s="69"/>
      <c r="C539" s="69" t="s">
        <v>111</v>
      </c>
      <c r="D539" s="69" t="s">
        <v>533</v>
      </c>
      <c r="E539" s="69"/>
      <c r="F539" s="71" t="s">
        <v>10</v>
      </c>
      <c r="G539" s="108" t="s">
        <v>476</v>
      </c>
      <c r="H539" s="108" t="s">
        <v>464</v>
      </c>
      <c r="I539" s="108" t="s">
        <v>475</v>
      </c>
      <c r="J539" s="108" t="s">
        <v>486</v>
      </c>
      <c r="K539" s="108" t="s">
        <v>469</v>
      </c>
      <c r="L539" s="108" t="s">
        <v>590</v>
      </c>
      <c r="M539" s="108" t="s">
        <v>469</v>
      </c>
      <c r="N539" s="108"/>
      <c r="O539" s="108" t="s">
        <v>464</v>
      </c>
      <c r="P539" s="108" t="s">
        <v>503</v>
      </c>
      <c r="Q539" s="108" t="s">
        <v>464</v>
      </c>
      <c r="R539" s="108" t="s">
        <v>484</v>
      </c>
      <c r="S539" s="108"/>
      <c r="T539" s="108" t="s">
        <v>484</v>
      </c>
      <c r="U539" s="108" t="s">
        <v>464</v>
      </c>
      <c r="V539" s="108" t="s">
        <v>487</v>
      </c>
      <c r="W539" s="108" t="s">
        <v>467</v>
      </c>
      <c r="X539" s="108" t="s">
        <v>476</v>
      </c>
      <c r="Y539" s="108" t="s">
        <v>468</v>
      </c>
      <c r="Z539" s="108" t="s">
        <v>464</v>
      </c>
      <c r="AA539" s="108"/>
      <c r="AB539" s="108"/>
      <c r="AC539" s="108"/>
      <c r="AD539" s="108"/>
      <c r="AE539" s="108"/>
      <c r="AF539" s="122"/>
    </row>
    <row r="540" spans="1:32" ht="12.75" customHeight="1">
      <c r="A540" s="89"/>
      <c r="B540" s="69"/>
      <c r="C540" s="69" t="s">
        <v>115</v>
      </c>
      <c r="D540" s="69" t="s">
        <v>285</v>
      </c>
      <c r="E540" s="69"/>
      <c r="F540" s="71" t="s">
        <v>10</v>
      </c>
      <c r="G540" s="108" t="s">
        <v>111</v>
      </c>
      <c r="H540" s="69" t="s">
        <v>534</v>
      </c>
      <c r="I540" s="69"/>
      <c r="J540" s="69"/>
      <c r="K540" s="69"/>
      <c r="L540" s="69" t="s">
        <v>394</v>
      </c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  <c r="AD540" s="69"/>
      <c r="AE540" s="69"/>
      <c r="AF540" s="122"/>
    </row>
    <row r="541" spans="1:32" ht="12.75" customHeight="1">
      <c r="A541" s="89"/>
      <c r="B541" s="69"/>
      <c r="C541" s="69" t="s">
        <v>118</v>
      </c>
      <c r="D541" s="69" t="s">
        <v>596</v>
      </c>
      <c r="E541" s="69"/>
      <c r="F541" s="71" t="s">
        <v>10</v>
      </c>
      <c r="G541" s="129">
        <v>4</v>
      </c>
      <c r="H541" s="69" t="s">
        <v>536</v>
      </c>
      <c r="I541" s="69"/>
      <c r="J541" s="69"/>
      <c r="K541" s="69"/>
      <c r="L541" s="69" t="s">
        <v>537</v>
      </c>
      <c r="M541" s="69"/>
      <c r="N541" s="69"/>
      <c r="O541" s="69"/>
      <c r="P541" s="69" t="s">
        <v>538</v>
      </c>
      <c r="Q541" s="69"/>
      <c r="R541" s="69"/>
      <c r="S541" s="69"/>
      <c r="T541" s="69" t="s">
        <v>539</v>
      </c>
      <c r="U541" s="69"/>
      <c r="V541" s="69"/>
      <c r="W541" s="69"/>
      <c r="X541" s="69"/>
      <c r="Y541" s="69" t="s">
        <v>540</v>
      </c>
      <c r="Z541" s="69"/>
      <c r="AA541" s="69"/>
      <c r="AB541" s="69"/>
      <c r="AC541" s="69"/>
      <c r="AD541" s="69"/>
      <c r="AE541" s="69"/>
      <c r="AF541" s="122"/>
    </row>
    <row r="542" spans="1:32" ht="12.75" customHeight="1">
      <c r="A542" s="89"/>
      <c r="B542" s="69"/>
      <c r="C542" s="69" t="s">
        <v>121</v>
      </c>
      <c r="D542" s="69" t="s">
        <v>541</v>
      </c>
      <c r="E542" s="69"/>
      <c r="F542" s="71" t="s">
        <v>10</v>
      </c>
      <c r="G542" s="108" t="s">
        <v>487</v>
      </c>
      <c r="H542" s="108" t="s">
        <v>488</v>
      </c>
      <c r="I542" s="108" t="s">
        <v>475</v>
      </c>
      <c r="J542" s="108" t="s">
        <v>464</v>
      </c>
      <c r="K542" s="108" t="s">
        <v>474</v>
      </c>
      <c r="L542" s="108" t="s">
        <v>464</v>
      </c>
      <c r="M542" s="108" t="s">
        <v>485</v>
      </c>
      <c r="N542" s="108" t="s">
        <v>489</v>
      </c>
      <c r="O542" s="109"/>
      <c r="P542" s="109"/>
      <c r="Q542" s="109"/>
      <c r="R542" s="109"/>
      <c r="S542" s="109"/>
      <c r="T542" s="109"/>
      <c r="U542" s="109"/>
      <c r="V542" s="109"/>
      <c r="W542" s="69"/>
      <c r="X542" s="69"/>
      <c r="Y542" s="69"/>
      <c r="Z542" s="69"/>
      <c r="AA542" s="69"/>
      <c r="AB542" s="69"/>
      <c r="AC542" s="69"/>
      <c r="AD542" s="69"/>
      <c r="AE542" s="69"/>
      <c r="AF542" s="122"/>
    </row>
    <row r="543" spans="1:32" ht="12.75" customHeight="1">
      <c r="A543" s="89"/>
      <c r="B543" s="69"/>
      <c r="C543" s="69" t="s">
        <v>124</v>
      </c>
      <c r="D543" s="69" t="s">
        <v>542</v>
      </c>
      <c r="E543" s="69"/>
      <c r="F543" s="71" t="s">
        <v>10</v>
      </c>
      <c r="G543" s="69" t="s">
        <v>349</v>
      </c>
      <c r="H543" s="69"/>
      <c r="I543" s="129" t="s">
        <v>468</v>
      </c>
      <c r="J543" s="108" t="s">
        <v>464</v>
      </c>
      <c r="K543" s="108" t="s">
        <v>503</v>
      </c>
      <c r="L543" s="108" t="s">
        <v>467</v>
      </c>
      <c r="M543" s="108"/>
      <c r="N543" s="108"/>
      <c r="O543" s="71"/>
      <c r="P543" s="71" t="s">
        <v>397</v>
      </c>
      <c r="Q543" s="71"/>
      <c r="R543" s="108">
        <v>2</v>
      </c>
      <c r="S543" s="108">
        <v>5</v>
      </c>
      <c r="T543" s="71"/>
      <c r="U543" s="71" t="s">
        <v>422</v>
      </c>
      <c r="V543" s="71"/>
      <c r="W543" s="108">
        <v>0</v>
      </c>
      <c r="X543" s="108">
        <v>9</v>
      </c>
      <c r="Y543" s="71"/>
      <c r="Z543" s="71" t="s">
        <v>543</v>
      </c>
      <c r="AA543" s="71"/>
      <c r="AB543" s="108">
        <v>2</v>
      </c>
      <c r="AC543" s="108">
        <v>0</v>
      </c>
      <c r="AD543" s="108">
        <v>1</v>
      </c>
      <c r="AE543" s="108">
        <v>7</v>
      </c>
      <c r="AF543" s="122"/>
    </row>
    <row r="544" spans="1:32" ht="12.75" customHeight="1">
      <c r="A544" s="89"/>
      <c r="B544" s="69"/>
      <c r="C544" s="69" t="s">
        <v>127</v>
      </c>
      <c r="D544" s="69" t="s">
        <v>425</v>
      </c>
      <c r="E544" s="69"/>
      <c r="F544" s="71" t="s">
        <v>10</v>
      </c>
      <c r="G544" s="108">
        <v>2</v>
      </c>
      <c r="H544" s="108">
        <v>0</v>
      </c>
      <c r="I544" s="108">
        <v>3</v>
      </c>
      <c r="J544" s="108">
        <v>0</v>
      </c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  <c r="AD544" s="69"/>
      <c r="AE544" s="69"/>
      <c r="AF544" s="122"/>
    </row>
    <row r="545" spans="1:32" ht="12.75" customHeight="1">
      <c r="A545" s="89"/>
      <c r="B545" s="69"/>
      <c r="C545" s="69" t="s">
        <v>130</v>
      </c>
      <c r="D545" s="69" t="s">
        <v>545</v>
      </c>
      <c r="E545" s="69"/>
      <c r="F545" s="71" t="s">
        <v>10</v>
      </c>
      <c r="G545" s="109" t="s">
        <v>111</v>
      </c>
      <c r="H545" s="69" t="s">
        <v>546</v>
      </c>
      <c r="I545" s="69"/>
      <c r="J545" s="69"/>
      <c r="K545" s="69"/>
      <c r="L545" s="69" t="s">
        <v>547</v>
      </c>
      <c r="M545" s="69"/>
      <c r="N545" s="69"/>
      <c r="O545" s="69"/>
      <c r="P545" s="69" t="s">
        <v>548</v>
      </c>
      <c r="Q545" s="69"/>
      <c r="R545" s="69"/>
      <c r="S545" s="69"/>
      <c r="T545" s="69" t="s">
        <v>549</v>
      </c>
      <c r="U545" s="69"/>
      <c r="V545" s="69"/>
      <c r="W545" s="69"/>
      <c r="X545" s="69"/>
      <c r="Y545" s="69" t="s">
        <v>540</v>
      </c>
      <c r="Z545" s="69"/>
      <c r="AA545" s="69"/>
      <c r="AB545" s="69"/>
      <c r="AC545" s="69"/>
      <c r="AD545" s="69"/>
      <c r="AE545" s="69"/>
      <c r="AF545" s="122"/>
    </row>
    <row r="546" spans="1:32" ht="12.75" customHeight="1">
      <c r="A546" s="89"/>
      <c r="B546" s="69"/>
      <c r="C546" s="69" t="s">
        <v>134</v>
      </c>
      <c r="D546" s="69" t="s">
        <v>550</v>
      </c>
      <c r="E546" s="69"/>
      <c r="F546" s="71" t="s">
        <v>10</v>
      </c>
      <c r="G546" s="109">
        <v>2</v>
      </c>
      <c r="H546" s="69" t="s">
        <v>111</v>
      </c>
      <c r="I546" s="69" t="s">
        <v>115</v>
      </c>
      <c r="J546" s="69" t="s">
        <v>118</v>
      </c>
      <c r="K546" s="69" t="s">
        <v>121</v>
      </c>
      <c r="L546" s="69" t="s">
        <v>551</v>
      </c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  <c r="AD546" s="69"/>
      <c r="AE546" s="69"/>
      <c r="AF546" s="122"/>
    </row>
    <row r="547" spans="1:32" ht="12.75" customHeight="1">
      <c r="A547" s="89"/>
      <c r="B547" s="69"/>
      <c r="C547" s="69" t="s">
        <v>137</v>
      </c>
      <c r="D547" s="69" t="s">
        <v>599</v>
      </c>
      <c r="E547" s="69"/>
      <c r="F547" s="71" t="s">
        <v>10</v>
      </c>
      <c r="G547" s="137">
        <v>2</v>
      </c>
      <c r="H547" s="69" t="s">
        <v>438</v>
      </c>
      <c r="I547" s="69"/>
      <c r="J547" s="69"/>
      <c r="K547" s="69"/>
      <c r="L547" s="69" t="s">
        <v>553</v>
      </c>
      <c r="M547" s="69"/>
      <c r="N547" s="69"/>
      <c r="O547" s="69"/>
      <c r="P547" s="69" t="s">
        <v>554</v>
      </c>
      <c r="Q547" s="69"/>
      <c r="R547" s="69"/>
      <c r="S547" s="69"/>
      <c r="T547" s="69" t="s">
        <v>441</v>
      </c>
      <c r="U547" s="69"/>
      <c r="V547" s="69"/>
      <c r="W547" s="69"/>
      <c r="X547" s="69"/>
      <c r="Y547" s="69"/>
      <c r="Z547" s="69"/>
      <c r="AA547" s="69"/>
      <c r="AB547" s="69"/>
      <c r="AC547" s="69"/>
      <c r="AD547" s="69"/>
      <c r="AE547" s="69"/>
      <c r="AF547" s="122"/>
    </row>
    <row r="548" spans="1:32" ht="12.75" customHeight="1">
      <c r="A548" s="89"/>
      <c r="B548" s="69"/>
      <c r="C548" s="69" t="s">
        <v>145</v>
      </c>
      <c r="D548" s="69" t="s">
        <v>555</v>
      </c>
      <c r="E548" s="69"/>
      <c r="F548" s="71" t="s">
        <v>10</v>
      </c>
      <c r="G548" s="108">
        <v>2</v>
      </c>
      <c r="H548" s="108" t="s">
        <v>600</v>
      </c>
      <c r="I548" s="108">
        <v>6</v>
      </c>
      <c r="J548" s="109"/>
      <c r="K548" s="69" t="s">
        <v>601</v>
      </c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  <c r="AD548" s="69"/>
      <c r="AE548" s="69"/>
      <c r="AF548" s="122"/>
    </row>
    <row r="549" spans="1:32" ht="12.75" customHeight="1">
      <c r="A549" s="89"/>
      <c r="B549" s="69"/>
      <c r="C549" s="69" t="s">
        <v>424</v>
      </c>
      <c r="D549" s="69" t="s">
        <v>557</v>
      </c>
      <c r="E549" s="69"/>
      <c r="F549" s="71" t="s">
        <v>10</v>
      </c>
      <c r="G549" s="108">
        <v>4</v>
      </c>
      <c r="H549" s="108">
        <v>5</v>
      </c>
      <c r="I549" s="71" t="s">
        <v>558</v>
      </c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  <c r="AD549" s="69"/>
      <c r="AE549" s="69"/>
      <c r="AF549" s="122"/>
    </row>
    <row r="550" spans="1:32" ht="12.75" customHeight="1">
      <c r="A550" s="89"/>
      <c r="B550" s="138"/>
      <c r="C550" s="125"/>
      <c r="D550" s="125"/>
      <c r="E550" s="125"/>
      <c r="F550" s="126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  <c r="AB550" s="125"/>
      <c r="AC550" s="125"/>
      <c r="AD550" s="125"/>
      <c r="AE550" s="125"/>
      <c r="AF550" s="127"/>
    </row>
    <row r="551" spans="1:32" ht="12.75" customHeight="1">
      <c r="A551" s="89"/>
      <c r="B551" s="69"/>
      <c r="C551" s="128" t="s">
        <v>449</v>
      </c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  <c r="AD551" s="69"/>
      <c r="AE551" s="69"/>
      <c r="AF551" s="122"/>
    </row>
    <row r="552" spans="1:32" ht="12.75" customHeight="1">
      <c r="A552" s="89"/>
      <c r="B552" s="69"/>
      <c r="C552" s="69" t="s">
        <v>111</v>
      </c>
      <c r="D552" s="69" t="s">
        <v>340</v>
      </c>
      <c r="E552" s="69"/>
      <c r="F552" s="71" t="s">
        <v>10</v>
      </c>
      <c r="G552" s="108">
        <v>3</v>
      </c>
      <c r="H552" s="108">
        <v>3</v>
      </c>
      <c r="I552" s="108">
        <v>2</v>
      </c>
      <c r="J552" s="108">
        <v>7</v>
      </c>
      <c r="K552" s="108">
        <v>0</v>
      </c>
      <c r="L552" s="108">
        <v>4</v>
      </c>
      <c r="M552" s="108">
        <v>6</v>
      </c>
      <c r="N552" s="108">
        <v>5</v>
      </c>
      <c r="O552" s="108">
        <v>0</v>
      </c>
      <c r="P552" s="108">
        <v>3</v>
      </c>
      <c r="Q552" s="108">
        <v>9</v>
      </c>
      <c r="R552" s="108">
        <v>1</v>
      </c>
      <c r="S552" s="108">
        <v>0</v>
      </c>
      <c r="T552" s="108">
        <v>0</v>
      </c>
      <c r="U552" s="108">
        <v>0</v>
      </c>
      <c r="V552" s="108">
        <v>7</v>
      </c>
      <c r="W552" s="108"/>
      <c r="X552" s="71"/>
      <c r="Y552" s="71"/>
      <c r="Z552" s="71"/>
      <c r="AA552" s="71"/>
      <c r="AB552" s="71"/>
      <c r="AC552" s="71"/>
      <c r="AD552" s="71"/>
      <c r="AE552" s="71"/>
      <c r="AF552" s="122"/>
    </row>
    <row r="553" spans="1:32" ht="12.75" customHeight="1">
      <c r="A553" s="89"/>
      <c r="B553" s="69"/>
      <c r="C553" s="69" t="s">
        <v>115</v>
      </c>
      <c r="D553" s="69" t="s">
        <v>391</v>
      </c>
      <c r="E553" s="69"/>
      <c r="F553" s="71" t="s">
        <v>10</v>
      </c>
      <c r="G553" s="108" t="s">
        <v>475</v>
      </c>
      <c r="H553" s="108" t="s">
        <v>467</v>
      </c>
      <c r="I553" s="108" t="s">
        <v>468</v>
      </c>
      <c r="J553" s="108" t="s">
        <v>463</v>
      </c>
      <c r="K553" s="108" t="s">
        <v>464</v>
      </c>
      <c r="L553" s="108" t="s">
        <v>476</v>
      </c>
      <c r="M553" s="108" t="s">
        <v>469</v>
      </c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  <c r="AF553" s="122"/>
    </row>
    <row r="554" spans="1:32" ht="12.75" customHeight="1">
      <c r="A554" s="89"/>
      <c r="B554" s="69"/>
      <c r="C554" s="69" t="s">
        <v>118</v>
      </c>
      <c r="D554" s="69" t="s">
        <v>559</v>
      </c>
      <c r="E554" s="69"/>
      <c r="F554" s="71" t="s">
        <v>10</v>
      </c>
      <c r="G554" s="71" t="s">
        <v>397</v>
      </c>
      <c r="H554" s="129">
        <v>2</v>
      </c>
      <c r="I554" s="108">
        <v>5</v>
      </c>
      <c r="J554" s="71"/>
      <c r="K554" s="71" t="s">
        <v>398</v>
      </c>
      <c r="L554" s="108">
        <v>0</v>
      </c>
      <c r="M554" s="108">
        <v>3</v>
      </c>
      <c r="N554" s="71"/>
      <c r="O554" s="71" t="s">
        <v>560</v>
      </c>
      <c r="P554" s="108">
        <v>1</v>
      </c>
      <c r="Q554" s="108">
        <v>9</v>
      </c>
      <c r="R554" s="108">
        <v>9</v>
      </c>
      <c r="S554" s="108">
        <v>1</v>
      </c>
      <c r="T554" s="71"/>
      <c r="U554" s="71" t="s">
        <v>359</v>
      </c>
      <c r="V554" s="71"/>
      <c r="W554" s="108">
        <v>2</v>
      </c>
      <c r="X554" s="108">
        <v>6</v>
      </c>
      <c r="Y554" s="108"/>
      <c r="Z554" s="71"/>
      <c r="AA554" s="71"/>
      <c r="AB554" s="71"/>
      <c r="AC554" s="71"/>
      <c r="AD554" s="71"/>
      <c r="AE554" s="71"/>
      <c r="AF554" s="122"/>
    </row>
    <row r="555" spans="1:32" ht="12.75" customHeight="1">
      <c r="A555" s="89" t="s">
        <v>574</v>
      </c>
      <c r="B555" s="69"/>
      <c r="C555" s="69" t="s">
        <v>121</v>
      </c>
      <c r="D555" s="69" t="s">
        <v>128</v>
      </c>
      <c r="E555" s="69"/>
      <c r="F555" s="71" t="s">
        <v>10</v>
      </c>
      <c r="G555" s="108">
        <v>0</v>
      </c>
      <c r="H555" s="108">
        <v>2</v>
      </c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  <c r="AD555" s="69"/>
      <c r="AE555" s="69"/>
      <c r="AF555" s="122"/>
    </row>
    <row r="556" spans="1:32" ht="12.75" customHeight="1">
      <c r="A556" s="89"/>
      <c r="B556" s="69"/>
      <c r="C556" s="69" t="s">
        <v>124</v>
      </c>
      <c r="D556" s="69" t="s">
        <v>345</v>
      </c>
      <c r="E556" s="69"/>
      <c r="F556" s="71" t="s">
        <v>10</v>
      </c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122"/>
    </row>
    <row r="557" spans="1:32" ht="12.75" customHeight="1">
      <c r="A557" s="89"/>
      <c r="B557" s="69"/>
      <c r="C557" s="69"/>
      <c r="D557" s="69"/>
      <c r="E557" s="69"/>
      <c r="F557" s="71"/>
      <c r="G557" s="69" t="s">
        <v>561</v>
      </c>
      <c r="H557" s="69"/>
      <c r="I557" s="69"/>
      <c r="J557" s="69"/>
      <c r="K557" s="69"/>
      <c r="L557" s="142" t="s">
        <v>102</v>
      </c>
      <c r="M557" s="142"/>
      <c r="N557" s="142"/>
      <c r="O557" s="142"/>
      <c r="P557" s="142"/>
      <c r="Q557" s="131"/>
      <c r="R557" s="131" t="s">
        <v>562</v>
      </c>
      <c r="S557" s="131"/>
      <c r="T557" s="131"/>
      <c r="U557" s="131"/>
      <c r="V557" s="142" t="s">
        <v>106</v>
      </c>
      <c r="W557" s="142"/>
      <c r="X557" s="142"/>
      <c r="Y557" s="142"/>
      <c r="Z557" s="142"/>
      <c r="AA557" s="69"/>
      <c r="AB557" s="69"/>
      <c r="AC557" s="69"/>
      <c r="AD557" s="69"/>
      <c r="AE557" s="69"/>
      <c r="AF557" s="122"/>
    </row>
    <row r="558" spans="1:32" ht="12.75" customHeight="1">
      <c r="A558" s="89"/>
      <c r="B558" s="69"/>
      <c r="C558" s="69"/>
      <c r="D558" s="69"/>
      <c r="E558" s="69"/>
      <c r="F558" s="71"/>
      <c r="G558" s="69" t="s">
        <v>563</v>
      </c>
      <c r="H558" s="69"/>
      <c r="I558" s="69"/>
      <c r="J558" s="69"/>
      <c r="K558" s="69"/>
      <c r="L558" s="142" t="s">
        <v>104</v>
      </c>
      <c r="M558" s="142"/>
      <c r="N558" s="142"/>
      <c r="O558" s="142"/>
      <c r="P558" s="142"/>
      <c r="Q558" s="131"/>
      <c r="R558" s="131" t="s">
        <v>417</v>
      </c>
      <c r="S558" s="131"/>
      <c r="T558" s="131"/>
      <c r="U558" s="131"/>
      <c r="V558" s="142" t="s">
        <v>418</v>
      </c>
      <c r="W558" s="142"/>
      <c r="X558" s="142"/>
      <c r="Y558" s="142"/>
      <c r="Z558" s="142"/>
      <c r="AA558" s="69"/>
      <c r="AB558" s="69"/>
      <c r="AC558" s="69"/>
      <c r="AD558" s="69"/>
      <c r="AE558" s="69"/>
      <c r="AF558" s="122"/>
    </row>
    <row r="559" spans="1:32" ht="12.75" customHeight="1">
      <c r="A559" s="89"/>
      <c r="B559" s="69"/>
      <c r="C559" s="69" t="s">
        <v>127</v>
      </c>
      <c r="D559" s="69" t="s">
        <v>564</v>
      </c>
      <c r="E559" s="69"/>
      <c r="F559" s="71" t="s">
        <v>10</v>
      </c>
      <c r="G559" s="108" t="s">
        <v>111</v>
      </c>
      <c r="H559" s="71"/>
      <c r="I559" s="71" t="s">
        <v>565</v>
      </c>
      <c r="J559" s="71"/>
      <c r="K559" s="71"/>
      <c r="L559" s="71" t="s">
        <v>566</v>
      </c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69"/>
      <c r="X559" s="69"/>
      <c r="Y559" s="69"/>
      <c r="Z559" s="69"/>
      <c r="AA559" s="69"/>
      <c r="AB559" s="69"/>
      <c r="AC559" s="69"/>
      <c r="AD559" s="69"/>
      <c r="AE559" s="69"/>
      <c r="AF559" s="122"/>
    </row>
    <row r="560" spans="1:32" ht="12.75" customHeight="1">
      <c r="A560" s="89"/>
      <c r="B560" s="69"/>
      <c r="C560" s="69" t="s">
        <v>130</v>
      </c>
      <c r="D560" s="69" t="s">
        <v>567</v>
      </c>
      <c r="E560" s="69"/>
      <c r="F560" s="71" t="s">
        <v>10</v>
      </c>
      <c r="G560" s="130" t="s">
        <v>568</v>
      </c>
      <c r="H560" s="141"/>
      <c r="I560" s="141"/>
      <c r="J560" s="141"/>
      <c r="K560" s="143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69"/>
      <c r="X560" s="69"/>
      <c r="Y560" s="69"/>
      <c r="Z560" s="69"/>
      <c r="AA560" s="69"/>
      <c r="AB560" s="69"/>
      <c r="AC560" s="69"/>
      <c r="AD560" s="69"/>
      <c r="AE560" s="69"/>
      <c r="AF560" s="122"/>
    </row>
    <row r="561" spans="1:32" ht="12.75" customHeight="1">
      <c r="A561" s="89"/>
      <c r="B561" s="69"/>
      <c r="C561" s="69" t="s">
        <v>134</v>
      </c>
      <c r="D561" s="69" t="s">
        <v>569</v>
      </c>
      <c r="E561" s="69"/>
      <c r="F561" s="71" t="s">
        <v>10</v>
      </c>
      <c r="G561" s="71" t="s">
        <v>570</v>
      </c>
      <c r="H561" s="71"/>
      <c r="I561" s="108"/>
      <c r="J561" s="108"/>
      <c r="K561" s="71"/>
      <c r="L561" s="71" t="s">
        <v>398</v>
      </c>
      <c r="M561" s="71"/>
      <c r="N561" s="108"/>
      <c r="O561" s="108"/>
      <c r="P561" s="71"/>
      <c r="Q561" s="71" t="s">
        <v>560</v>
      </c>
      <c r="R561" s="71"/>
      <c r="S561" s="108"/>
      <c r="T561" s="108"/>
      <c r="U561" s="108"/>
      <c r="V561" s="108"/>
      <c r="W561" s="69"/>
      <c r="X561" s="69"/>
      <c r="Y561" s="69"/>
      <c r="Z561" s="69"/>
      <c r="AA561" s="69"/>
      <c r="AB561" s="69"/>
      <c r="AC561" s="69"/>
      <c r="AD561" s="69"/>
      <c r="AE561" s="69"/>
      <c r="AF561" s="122"/>
    </row>
    <row r="562" spans="1:32" ht="12.75" customHeight="1">
      <c r="A562" s="89"/>
      <c r="B562" s="138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  <c r="AB562" s="125"/>
      <c r="AC562" s="125"/>
      <c r="AD562" s="125"/>
      <c r="AE562" s="125"/>
      <c r="AF562" s="127"/>
    </row>
    <row r="563" spans="1:32" ht="12.75" customHeight="1">
      <c r="A563" s="89"/>
      <c r="B563" s="69"/>
      <c r="C563" s="128" t="s">
        <v>443</v>
      </c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  <c r="AD563" s="69"/>
      <c r="AE563" s="69"/>
      <c r="AF563" s="122"/>
    </row>
    <row r="564" spans="1:32" ht="12.75" customHeight="1">
      <c r="A564" s="89"/>
      <c r="B564" s="69"/>
      <c r="C564" s="69" t="s">
        <v>111</v>
      </c>
      <c r="D564" s="69" t="s">
        <v>340</v>
      </c>
      <c r="E564" s="69"/>
      <c r="F564" s="71" t="s">
        <v>10</v>
      </c>
      <c r="G564" s="108">
        <v>3</v>
      </c>
      <c r="H564" s="108">
        <v>3</v>
      </c>
      <c r="I564" s="108">
        <v>2</v>
      </c>
      <c r="J564" s="108">
        <v>7</v>
      </c>
      <c r="K564" s="108">
        <v>0</v>
      </c>
      <c r="L564" s="108">
        <v>4</v>
      </c>
      <c r="M564" s="108">
        <v>1</v>
      </c>
      <c r="N564" s="108">
        <v>4</v>
      </c>
      <c r="O564" s="108">
        <v>1</v>
      </c>
      <c r="P564" s="108">
        <v>2</v>
      </c>
      <c r="Q564" s="108">
        <v>8</v>
      </c>
      <c r="R564" s="108">
        <v>4</v>
      </c>
      <c r="S564" s="108">
        <v>0</v>
      </c>
      <c r="T564" s="108">
        <v>0</v>
      </c>
      <c r="U564" s="108">
        <v>0</v>
      </c>
      <c r="V564" s="108">
        <v>3</v>
      </c>
      <c r="W564" s="108"/>
      <c r="X564" s="71"/>
      <c r="Y564" s="71"/>
      <c r="Z564" s="71"/>
      <c r="AA564" s="71"/>
      <c r="AB564" s="71"/>
      <c r="AC564" s="71"/>
      <c r="AD564" s="71"/>
      <c r="AE564" s="71"/>
      <c r="AF564" s="122"/>
    </row>
    <row r="565" spans="1:32" ht="12.75" customHeight="1">
      <c r="A565" s="89"/>
      <c r="B565" s="69"/>
      <c r="C565" s="69" t="s">
        <v>115</v>
      </c>
      <c r="D565" s="69" t="s">
        <v>391</v>
      </c>
      <c r="E565" s="69"/>
      <c r="F565" s="71" t="s">
        <v>10</v>
      </c>
      <c r="G565" s="108" t="s">
        <v>475</v>
      </c>
      <c r="H565" s="108" t="s">
        <v>467</v>
      </c>
      <c r="I565" s="108" t="s">
        <v>498</v>
      </c>
      <c r="J565" s="108" t="s">
        <v>464</v>
      </c>
      <c r="K565" s="108" t="s">
        <v>484</v>
      </c>
      <c r="L565" s="108" t="s">
        <v>469</v>
      </c>
      <c r="M565" s="108" t="s">
        <v>468</v>
      </c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  <c r="AF565" s="122"/>
    </row>
    <row r="566" spans="1:32" ht="12.75" customHeight="1">
      <c r="A566" s="89"/>
      <c r="B566" s="69"/>
      <c r="C566" s="69" t="s">
        <v>118</v>
      </c>
      <c r="D566" s="69" t="s">
        <v>559</v>
      </c>
      <c r="E566" s="69"/>
      <c r="F566" s="71" t="s">
        <v>10</v>
      </c>
      <c r="G566" s="71" t="s">
        <v>397</v>
      </c>
      <c r="H566" s="129">
        <v>1</v>
      </c>
      <c r="I566" s="108">
        <v>4</v>
      </c>
      <c r="J566" s="71"/>
      <c r="K566" s="71" t="s">
        <v>398</v>
      </c>
      <c r="L566" s="108">
        <v>1</v>
      </c>
      <c r="M566" s="108">
        <v>2</v>
      </c>
      <c r="N566" s="71"/>
      <c r="O566" s="71" t="s">
        <v>560</v>
      </c>
      <c r="P566" s="108">
        <v>1</v>
      </c>
      <c r="Q566" s="108">
        <v>9</v>
      </c>
      <c r="R566" s="108">
        <v>8</v>
      </c>
      <c r="S566" s="108">
        <v>4</v>
      </c>
      <c r="T566" s="71"/>
      <c r="U566" s="71" t="s">
        <v>359</v>
      </c>
      <c r="V566" s="71"/>
      <c r="W566" s="108">
        <v>3</v>
      </c>
      <c r="X566" s="108">
        <v>3</v>
      </c>
      <c r="Y566" s="108"/>
      <c r="Z566" s="71"/>
      <c r="AA566" s="71"/>
      <c r="AB566" s="71"/>
      <c r="AC566" s="71"/>
      <c r="AD566" s="71"/>
      <c r="AE566" s="71"/>
      <c r="AF566" s="122"/>
    </row>
    <row r="567" spans="1:32" ht="12.75" customHeight="1">
      <c r="A567" s="89"/>
      <c r="B567" s="69"/>
      <c r="C567" s="69" t="s">
        <v>121</v>
      </c>
      <c r="D567" s="69" t="s">
        <v>128</v>
      </c>
      <c r="E567" s="69"/>
      <c r="F567" s="71" t="s">
        <v>10</v>
      </c>
      <c r="G567" s="108">
        <v>2</v>
      </c>
      <c r="H567" s="108">
        <v>0</v>
      </c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  <c r="AD567" s="69"/>
      <c r="AE567" s="69"/>
      <c r="AF567" s="122"/>
    </row>
    <row r="568" spans="1:32" ht="12.75" customHeight="1">
      <c r="A568" s="89"/>
      <c r="B568" s="69"/>
      <c r="C568" s="69" t="s">
        <v>124</v>
      </c>
      <c r="D568" s="69" t="s">
        <v>345</v>
      </c>
      <c r="E568" s="69"/>
      <c r="F568" s="71" t="s">
        <v>10</v>
      </c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122"/>
    </row>
    <row r="569" spans="1:32" ht="12.75" customHeight="1">
      <c r="A569" s="89"/>
      <c r="B569" s="69"/>
      <c r="C569" s="69"/>
      <c r="D569" s="69"/>
      <c r="E569" s="69"/>
      <c r="F569" s="71"/>
      <c r="G569" s="69" t="s">
        <v>561</v>
      </c>
      <c r="H569" s="69"/>
      <c r="I569" s="69"/>
      <c r="J569" s="69"/>
      <c r="K569" s="69"/>
      <c r="L569" s="142" t="s">
        <v>102</v>
      </c>
      <c r="M569" s="142"/>
      <c r="N569" s="142"/>
      <c r="O569" s="142"/>
      <c r="P569" s="142"/>
      <c r="Q569" s="131"/>
      <c r="R569" s="131" t="s">
        <v>562</v>
      </c>
      <c r="S569" s="131"/>
      <c r="T569" s="131"/>
      <c r="U569" s="131"/>
      <c r="V569" s="142" t="s">
        <v>106</v>
      </c>
      <c r="W569" s="142"/>
      <c r="X569" s="142"/>
      <c r="Y569" s="142"/>
      <c r="Z569" s="142"/>
      <c r="AA569" s="69"/>
      <c r="AB569" s="69"/>
      <c r="AC569" s="69"/>
      <c r="AD569" s="69"/>
      <c r="AE569" s="69"/>
      <c r="AF569" s="122"/>
    </row>
    <row r="570" spans="1:32" ht="12.75" customHeight="1">
      <c r="A570" s="89"/>
      <c r="B570" s="69"/>
      <c r="C570" s="69"/>
      <c r="D570" s="69"/>
      <c r="E570" s="69"/>
      <c r="F570" s="71"/>
      <c r="G570" s="69" t="s">
        <v>563</v>
      </c>
      <c r="H570" s="69"/>
      <c r="I570" s="69"/>
      <c r="J570" s="69"/>
      <c r="K570" s="69"/>
      <c r="L570" s="142" t="s">
        <v>104</v>
      </c>
      <c r="M570" s="142"/>
      <c r="N570" s="142"/>
      <c r="O570" s="142"/>
      <c r="P570" s="142"/>
      <c r="Q570" s="131"/>
      <c r="R570" s="131" t="s">
        <v>417</v>
      </c>
      <c r="S570" s="131"/>
      <c r="T570" s="131"/>
      <c r="U570" s="131"/>
      <c r="V570" s="142" t="s">
        <v>418</v>
      </c>
      <c r="W570" s="142"/>
      <c r="X570" s="142"/>
      <c r="Y570" s="142"/>
      <c r="Z570" s="142"/>
      <c r="AA570" s="69"/>
      <c r="AB570" s="69"/>
      <c r="AC570" s="69"/>
      <c r="AD570" s="69"/>
      <c r="AE570" s="69"/>
      <c r="AF570" s="122"/>
    </row>
    <row r="571" spans="1:32" ht="12.75" customHeight="1">
      <c r="A571" s="89"/>
      <c r="B571" s="69"/>
      <c r="C571" s="69" t="s">
        <v>127</v>
      </c>
      <c r="D571" s="69" t="s">
        <v>564</v>
      </c>
      <c r="E571" s="69"/>
      <c r="F571" s="71" t="s">
        <v>10</v>
      </c>
      <c r="G571" s="108" t="s">
        <v>111</v>
      </c>
      <c r="H571" s="71"/>
      <c r="I571" s="71" t="s">
        <v>565</v>
      </c>
      <c r="J571" s="71"/>
      <c r="K571" s="71"/>
      <c r="L571" s="71" t="s">
        <v>566</v>
      </c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69"/>
      <c r="X571" s="69"/>
      <c r="Y571" s="69"/>
      <c r="Z571" s="69"/>
      <c r="AA571" s="69"/>
      <c r="AB571" s="69"/>
      <c r="AC571" s="69"/>
      <c r="AD571" s="69"/>
      <c r="AE571" s="69"/>
      <c r="AF571" s="122"/>
    </row>
    <row r="572" spans="1:32" ht="12.75" customHeight="1">
      <c r="A572" s="89"/>
      <c r="B572" s="69"/>
      <c r="C572" s="69" t="s">
        <v>130</v>
      </c>
      <c r="D572" s="69" t="s">
        <v>567</v>
      </c>
      <c r="E572" s="69"/>
      <c r="F572" s="71" t="s">
        <v>10</v>
      </c>
      <c r="G572" s="130" t="s">
        <v>568</v>
      </c>
      <c r="H572" s="141"/>
      <c r="I572" s="141"/>
      <c r="J572" s="141"/>
      <c r="K572" s="143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69"/>
      <c r="X572" s="69"/>
      <c r="Y572" s="69"/>
      <c r="Z572" s="69"/>
      <c r="AA572" s="69"/>
      <c r="AB572" s="69"/>
      <c r="AC572" s="69"/>
      <c r="AD572" s="69"/>
      <c r="AE572" s="69"/>
      <c r="AF572" s="122"/>
    </row>
    <row r="573" spans="1:32" ht="12.75" customHeight="1">
      <c r="A573" s="89"/>
      <c r="B573" s="138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  <c r="AB573" s="125"/>
      <c r="AC573" s="125"/>
      <c r="AD573" s="125"/>
      <c r="AE573" s="125"/>
      <c r="AF573" s="127"/>
    </row>
    <row r="574" spans="1:32" ht="12.75" customHeight="1">
      <c r="A574" s="89"/>
      <c r="B574" s="69"/>
      <c r="C574" s="128" t="s">
        <v>455</v>
      </c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  <c r="AD574" s="69"/>
      <c r="AE574" s="69"/>
      <c r="AF574" s="122"/>
    </row>
    <row r="575" spans="1:32" ht="12.75" customHeight="1">
      <c r="A575" s="89"/>
      <c r="B575" s="69"/>
      <c r="C575" s="69" t="s">
        <v>111</v>
      </c>
      <c r="D575" s="69" t="s">
        <v>340</v>
      </c>
      <c r="E575" s="69"/>
      <c r="F575" s="71" t="s">
        <v>10</v>
      </c>
      <c r="G575" s="108">
        <v>3</v>
      </c>
      <c r="H575" s="108">
        <v>3</v>
      </c>
      <c r="I575" s="108">
        <v>2</v>
      </c>
      <c r="J575" s="108">
        <v>7</v>
      </c>
      <c r="K575" s="108">
        <v>0</v>
      </c>
      <c r="L575" s="108">
        <v>4</v>
      </c>
      <c r="M575" s="108">
        <v>1</v>
      </c>
      <c r="N575" s="108">
        <v>4</v>
      </c>
      <c r="O575" s="108">
        <v>1</v>
      </c>
      <c r="P575" s="108">
        <v>2</v>
      </c>
      <c r="Q575" s="108">
        <v>8</v>
      </c>
      <c r="R575" s="108">
        <v>4</v>
      </c>
      <c r="S575" s="108">
        <v>0</v>
      </c>
      <c r="T575" s="108">
        <v>0</v>
      </c>
      <c r="U575" s="108">
        <v>0</v>
      </c>
      <c r="V575" s="108">
        <v>3</v>
      </c>
      <c r="W575" s="109"/>
      <c r="X575" s="69"/>
      <c r="Y575" s="69"/>
      <c r="Z575" s="69"/>
      <c r="AA575" s="69"/>
      <c r="AB575" s="69"/>
      <c r="AC575" s="69"/>
      <c r="AD575" s="69"/>
      <c r="AE575" s="69"/>
      <c r="AF575" s="122"/>
    </row>
    <row r="576" spans="1:32" ht="12.75" customHeight="1">
      <c r="A576" s="89"/>
      <c r="B576" s="69"/>
      <c r="C576" s="69" t="s">
        <v>115</v>
      </c>
      <c r="D576" s="69" t="s">
        <v>391</v>
      </c>
      <c r="E576" s="69"/>
      <c r="F576" s="71" t="s">
        <v>10</v>
      </c>
      <c r="G576" s="108" t="s">
        <v>475</v>
      </c>
      <c r="H576" s="108" t="s">
        <v>467</v>
      </c>
      <c r="I576" s="108" t="s">
        <v>498</v>
      </c>
      <c r="J576" s="108" t="s">
        <v>464</v>
      </c>
      <c r="K576" s="108" t="s">
        <v>484</v>
      </c>
      <c r="L576" s="108" t="s">
        <v>469</v>
      </c>
      <c r="M576" s="108" t="s">
        <v>468</v>
      </c>
      <c r="N576" s="108"/>
      <c r="O576" s="108"/>
      <c r="P576" s="108"/>
      <c r="Q576" s="108"/>
      <c r="R576" s="108"/>
      <c r="S576" s="108"/>
      <c r="T576" s="108"/>
      <c r="U576" s="108"/>
      <c r="V576" s="108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22"/>
    </row>
    <row r="577" spans="1:32" ht="12.75" customHeight="1">
      <c r="A577" s="89"/>
      <c r="B577" s="69"/>
      <c r="C577" s="69" t="s">
        <v>118</v>
      </c>
      <c r="D577" s="69" t="s">
        <v>359</v>
      </c>
      <c r="E577" s="69"/>
      <c r="F577" s="71" t="s">
        <v>10</v>
      </c>
      <c r="G577" s="108">
        <v>3</v>
      </c>
      <c r="H577" s="108">
        <v>3</v>
      </c>
      <c r="I577" s="69"/>
      <c r="J577" s="69" t="s">
        <v>399</v>
      </c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  <c r="AD577" s="69"/>
      <c r="AE577" s="69"/>
      <c r="AF577" s="122"/>
    </row>
    <row r="578" spans="1:32" ht="12.75" customHeight="1">
      <c r="A578" s="89"/>
      <c r="B578" s="69"/>
      <c r="C578" s="69" t="s">
        <v>121</v>
      </c>
      <c r="D578" s="69" t="s">
        <v>571</v>
      </c>
      <c r="E578" s="69"/>
      <c r="F578" s="71" t="s">
        <v>10</v>
      </c>
      <c r="G578" s="132" t="s">
        <v>111</v>
      </c>
      <c r="H578" s="69" t="s">
        <v>534</v>
      </c>
      <c r="I578" s="69"/>
      <c r="J578" s="69"/>
      <c r="K578" s="69"/>
      <c r="L578" s="69" t="s">
        <v>394</v>
      </c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  <c r="AD578" s="69"/>
      <c r="AE578" s="69"/>
      <c r="AF578" s="122"/>
    </row>
    <row r="579" spans="1:32" ht="12.75" customHeight="1">
      <c r="A579" s="89"/>
      <c r="B579" s="69"/>
      <c r="C579" s="69" t="s">
        <v>124</v>
      </c>
      <c r="D579" s="69" t="s">
        <v>128</v>
      </c>
      <c r="E579" s="69"/>
      <c r="F579" s="71" t="s">
        <v>10</v>
      </c>
      <c r="G579" s="108">
        <v>2</v>
      </c>
      <c r="H579" s="108">
        <v>0</v>
      </c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  <c r="AD579" s="69"/>
      <c r="AE579" s="69"/>
      <c r="AF579" s="122"/>
    </row>
    <row r="580" spans="1:32" ht="12.75" customHeight="1">
      <c r="A580" s="89"/>
      <c r="B580" s="69"/>
      <c r="C580" s="69" t="s">
        <v>127</v>
      </c>
      <c r="D580" s="69" t="s">
        <v>345</v>
      </c>
      <c r="E580" s="69"/>
      <c r="F580" s="71" t="s">
        <v>10</v>
      </c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122"/>
    </row>
    <row r="581" spans="1:32" ht="12.75" customHeight="1">
      <c r="A581" s="89"/>
      <c r="B581" s="69"/>
      <c r="C581" s="69"/>
      <c r="D581" s="69"/>
      <c r="E581" s="69"/>
      <c r="F581" s="69"/>
      <c r="G581" s="69" t="s">
        <v>561</v>
      </c>
      <c r="H581" s="69"/>
      <c r="I581" s="69"/>
      <c r="J581" s="69"/>
      <c r="K581" s="69"/>
      <c r="L581" s="142" t="s">
        <v>102</v>
      </c>
      <c r="M581" s="142"/>
      <c r="N581" s="142"/>
      <c r="O581" s="142"/>
      <c r="P581" s="142"/>
      <c r="Q581" s="131"/>
      <c r="R581" s="131" t="s">
        <v>562</v>
      </c>
      <c r="S581" s="131"/>
      <c r="T581" s="131"/>
      <c r="U581" s="131"/>
      <c r="V581" s="142" t="s">
        <v>106</v>
      </c>
      <c r="W581" s="142"/>
      <c r="X581" s="142"/>
      <c r="Y581" s="142"/>
      <c r="Z581" s="142"/>
      <c r="AA581" s="69"/>
      <c r="AB581" s="69"/>
      <c r="AC581" s="69"/>
      <c r="AD581" s="69"/>
      <c r="AE581" s="69"/>
      <c r="AF581" s="122"/>
    </row>
    <row r="582" spans="1:32" ht="12.75" customHeight="1">
      <c r="A582" s="89"/>
      <c r="B582" s="69"/>
      <c r="C582" s="69"/>
      <c r="D582" s="69"/>
      <c r="E582" s="69"/>
      <c r="F582" s="69"/>
      <c r="G582" s="69" t="s">
        <v>563</v>
      </c>
      <c r="H582" s="69"/>
      <c r="I582" s="69"/>
      <c r="J582" s="69"/>
      <c r="K582" s="69"/>
      <c r="L582" s="142" t="s">
        <v>104</v>
      </c>
      <c r="M582" s="142"/>
      <c r="N582" s="142"/>
      <c r="O582" s="142"/>
      <c r="P582" s="142"/>
      <c r="Q582" s="131"/>
      <c r="R582" s="131" t="s">
        <v>417</v>
      </c>
      <c r="S582" s="131"/>
      <c r="T582" s="131"/>
      <c r="U582" s="131"/>
      <c r="V582" s="142" t="s">
        <v>418</v>
      </c>
      <c r="W582" s="142"/>
      <c r="X582" s="142"/>
      <c r="Y582" s="142"/>
      <c r="Z582" s="142"/>
      <c r="AA582" s="69"/>
      <c r="AB582" s="69"/>
      <c r="AC582" s="69"/>
      <c r="AD582" s="69"/>
      <c r="AE582" s="69"/>
      <c r="AF582" s="122"/>
    </row>
    <row r="583" spans="1:32" ht="12.75" customHeight="1">
      <c r="A583" s="89"/>
      <c r="B583" s="138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  <c r="AB583" s="125"/>
      <c r="AC583" s="125"/>
      <c r="AD583" s="125"/>
      <c r="AE583" s="125"/>
      <c r="AF583" s="127"/>
    </row>
    <row r="584" spans="1:32" ht="12.75" customHeight="1">
      <c r="A584" s="89"/>
      <c r="B584" s="69"/>
      <c r="C584" s="128" t="s">
        <v>572</v>
      </c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  <c r="AD584" s="69"/>
      <c r="AE584" s="69"/>
      <c r="AF584" s="122"/>
    </row>
    <row r="585" spans="1:32" ht="12.75" customHeight="1">
      <c r="A585" s="89"/>
      <c r="B585" s="69"/>
      <c r="C585" s="69" t="s">
        <v>111</v>
      </c>
      <c r="D585" s="69" t="s">
        <v>340</v>
      </c>
      <c r="E585" s="69"/>
      <c r="F585" s="71" t="s">
        <v>10</v>
      </c>
      <c r="G585" s="108">
        <v>3</v>
      </c>
      <c r="H585" s="108">
        <v>3</v>
      </c>
      <c r="I585" s="108">
        <v>2</v>
      </c>
      <c r="J585" s="108">
        <v>7</v>
      </c>
      <c r="K585" s="108">
        <v>0</v>
      </c>
      <c r="L585" s="108">
        <v>4</v>
      </c>
      <c r="M585" s="108">
        <v>0</v>
      </c>
      <c r="N585" s="108">
        <v>1</v>
      </c>
      <c r="O585" s="108">
        <v>0</v>
      </c>
      <c r="P585" s="108">
        <v>7</v>
      </c>
      <c r="Q585" s="108">
        <v>6</v>
      </c>
      <c r="R585" s="108">
        <v>3</v>
      </c>
      <c r="S585" s="108">
        <v>0</v>
      </c>
      <c r="T585" s="108">
        <v>4</v>
      </c>
      <c r="U585" s="108">
        <v>7</v>
      </c>
      <c r="V585" s="108">
        <v>0</v>
      </c>
      <c r="W585" s="109"/>
      <c r="X585" s="69"/>
      <c r="Y585" s="69"/>
      <c r="Z585" s="69"/>
      <c r="AA585" s="69"/>
      <c r="AB585" s="69"/>
      <c r="AC585" s="69"/>
      <c r="AD585" s="69"/>
      <c r="AE585" s="69"/>
      <c r="AF585" s="122"/>
    </row>
    <row r="586" spans="1:32" ht="12.75" customHeight="1">
      <c r="A586" s="89"/>
      <c r="B586" s="69"/>
      <c r="C586" s="69" t="s">
        <v>115</v>
      </c>
      <c r="D586" s="69" t="s">
        <v>391</v>
      </c>
      <c r="E586" s="69"/>
      <c r="F586" s="71" t="s">
        <v>10</v>
      </c>
      <c r="G586" s="108" t="s">
        <v>484</v>
      </c>
      <c r="H586" s="108" t="s">
        <v>467</v>
      </c>
      <c r="I586" s="108" t="s">
        <v>485</v>
      </c>
      <c r="J586" s="108" t="s">
        <v>464</v>
      </c>
      <c r="K586" s="108" t="s">
        <v>468</v>
      </c>
      <c r="L586" s="108" t="s">
        <v>484</v>
      </c>
      <c r="M586" s="108" t="s">
        <v>477</v>
      </c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  <c r="AF586" s="122"/>
    </row>
    <row r="587" spans="1:32" ht="12.75" customHeight="1">
      <c r="A587" s="89"/>
      <c r="B587" s="69"/>
      <c r="C587" s="69" t="s">
        <v>118</v>
      </c>
      <c r="D587" s="69" t="s">
        <v>359</v>
      </c>
      <c r="E587" s="69"/>
      <c r="F587" s="71" t="s">
        <v>10</v>
      </c>
      <c r="G587" s="108">
        <v>5</v>
      </c>
      <c r="H587" s="108">
        <v>4</v>
      </c>
      <c r="I587" s="69"/>
      <c r="J587" s="69" t="s">
        <v>399</v>
      </c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  <c r="AD587" s="69"/>
      <c r="AE587" s="69"/>
      <c r="AF587" s="122"/>
    </row>
    <row r="588" spans="1:32" ht="12.75" customHeight="1">
      <c r="A588" s="89"/>
      <c r="B588" s="69"/>
      <c r="C588" s="69" t="s">
        <v>121</v>
      </c>
      <c r="D588" s="69" t="s">
        <v>128</v>
      </c>
      <c r="E588" s="69"/>
      <c r="F588" s="71" t="s">
        <v>10</v>
      </c>
      <c r="G588" s="108">
        <v>2</v>
      </c>
      <c r="H588" s="108">
        <v>0</v>
      </c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  <c r="AD588" s="69"/>
      <c r="AE588" s="69"/>
      <c r="AF588" s="122"/>
    </row>
    <row r="589" spans="1:32" ht="12.75" customHeight="1">
      <c r="A589" s="89"/>
      <c r="B589" s="69"/>
      <c r="C589" s="69" t="s">
        <v>124</v>
      </c>
      <c r="D589" s="69" t="s">
        <v>345</v>
      </c>
      <c r="E589" s="69"/>
      <c r="F589" s="71" t="s">
        <v>10</v>
      </c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122"/>
    </row>
    <row r="590" spans="1:32" ht="12.75" customHeight="1">
      <c r="A590" s="89"/>
      <c r="B590" s="69"/>
      <c r="C590" s="69"/>
      <c r="D590" s="69"/>
      <c r="E590" s="69"/>
      <c r="F590" s="71"/>
      <c r="G590" s="69" t="s">
        <v>561</v>
      </c>
      <c r="H590" s="69"/>
      <c r="I590" s="69"/>
      <c r="J590" s="69"/>
      <c r="K590" s="69"/>
      <c r="L590" s="142" t="s">
        <v>102</v>
      </c>
      <c r="M590" s="142"/>
      <c r="N590" s="142"/>
      <c r="O590" s="142"/>
      <c r="P590" s="142"/>
      <c r="Q590" s="69"/>
      <c r="R590" s="69" t="s">
        <v>562</v>
      </c>
      <c r="S590" s="69"/>
      <c r="T590" s="69"/>
      <c r="U590" s="69"/>
      <c r="V590" s="142" t="s">
        <v>106</v>
      </c>
      <c r="W590" s="142"/>
      <c r="X590" s="142"/>
      <c r="Y590" s="142"/>
      <c r="Z590" s="142"/>
      <c r="AA590" s="69"/>
      <c r="AB590" s="69"/>
      <c r="AC590" s="69"/>
      <c r="AD590" s="69"/>
      <c r="AE590" s="69"/>
      <c r="AF590" s="122"/>
    </row>
    <row r="591" spans="1:32" ht="12.75" customHeight="1">
      <c r="A591" s="89"/>
      <c r="B591" s="69"/>
      <c r="C591" s="69"/>
      <c r="D591" s="69"/>
      <c r="E591" s="69"/>
      <c r="F591" s="69"/>
      <c r="G591" s="69" t="s">
        <v>563</v>
      </c>
      <c r="H591" s="69"/>
      <c r="I591" s="69"/>
      <c r="J591" s="69"/>
      <c r="K591" s="69"/>
      <c r="L591" s="142" t="s">
        <v>104</v>
      </c>
      <c r="M591" s="142"/>
      <c r="N591" s="142"/>
      <c r="O591" s="142"/>
      <c r="P591" s="142"/>
      <c r="Q591" s="69"/>
      <c r="R591" s="69" t="s">
        <v>417</v>
      </c>
      <c r="S591" s="69"/>
      <c r="T591" s="69"/>
      <c r="U591" s="69"/>
      <c r="V591" s="142" t="s">
        <v>418</v>
      </c>
      <c r="W591" s="142"/>
      <c r="X591" s="142"/>
      <c r="Y591" s="142"/>
      <c r="Z591" s="142"/>
      <c r="AA591" s="69"/>
      <c r="AB591" s="69"/>
      <c r="AC591" s="69"/>
      <c r="AD591" s="69"/>
      <c r="AE591" s="69"/>
      <c r="AF591" s="122"/>
    </row>
    <row r="592" spans="1:32" ht="12.75" customHeight="1">
      <c r="A592" s="89"/>
      <c r="B592" s="138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  <c r="AB592" s="125"/>
      <c r="AC592" s="125"/>
      <c r="AD592" s="125"/>
      <c r="AE592" s="125"/>
      <c r="AF592" s="127"/>
    </row>
    <row r="593" spans="1:32" ht="12.75" customHeight="1">
      <c r="A593" s="89"/>
      <c r="B593" s="69"/>
      <c r="C593" s="128" t="s">
        <v>472</v>
      </c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  <c r="AD593" s="69"/>
      <c r="AE593" s="69"/>
      <c r="AF593" s="122"/>
    </row>
    <row r="594" spans="1:32" ht="12.75" customHeight="1">
      <c r="A594" s="89"/>
      <c r="B594" s="69"/>
      <c r="C594" s="69" t="s">
        <v>111</v>
      </c>
      <c r="D594" s="69" t="s">
        <v>340</v>
      </c>
      <c r="E594" s="69"/>
      <c r="F594" s="71" t="s">
        <v>10</v>
      </c>
      <c r="G594" s="108">
        <v>3</v>
      </c>
      <c r="H594" s="108">
        <v>3</v>
      </c>
      <c r="I594" s="108">
        <v>2</v>
      </c>
      <c r="J594" s="108">
        <v>7</v>
      </c>
      <c r="K594" s="108">
        <v>0</v>
      </c>
      <c r="L594" s="108">
        <v>4</v>
      </c>
      <c r="M594" s="108">
        <v>0</v>
      </c>
      <c r="N594" s="108">
        <v>1</v>
      </c>
      <c r="O594" s="108">
        <v>0</v>
      </c>
      <c r="P594" s="108">
        <v>7</v>
      </c>
      <c r="Q594" s="108">
        <v>7</v>
      </c>
      <c r="R594" s="108">
        <v>9</v>
      </c>
      <c r="S594" s="108">
        <v>0</v>
      </c>
      <c r="T594" s="108">
        <v>2</v>
      </c>
      <c r="U594" s="108">
        <v>8</v>
      </c>
      <c r="V594" s="108">
        <v>9</v>
      </c>
      <c r="W594" s="108"/>
      <c r="X594" s="69"/>
      <c r="Y594" s="69"/>
      <c r="Z594" s="69"/>
      <c r="AA594" s="69"/>
      <c r="AB594" s="69"/>
      <c r="AC594" s="69"/>
      <c r="AD594" s="69"/>
      <c r="AE594" s="69"/>
      <c r="AF594" s="122"/>
    </row>
    <row r="595" spans="1:32" ht="12.75" customHeight="1">
      <c r="A595" s="89"/>
      <c r="B595" s="69"/>
      <c r="C595" s="69" t="s">
        <v>115</v>
      </c>
      <c r="D595" s="69" t="s">
        <v>391</v>
      </c>
      <c r="E595" s="69"/>
      <c r="F595" s="71" t="s">
        <v>10</v>
      </c>
      <c r="G595" s="108" t="s">
        <v>465</v>
      </c>
      <c r="H595" s="108" t="s">
        <v>469</v>
      </c>
      <c r="I595" s="108" t="s">
        <v>468</v>
      </c>
      <c r="J595" s="108" t="s">
        <v>484</v>
      </c>
      <c r="K595" s="108" t="s">
        <v>477</v>
      </c>
      <c r="L595" s="108" t="s">
        <v>485</v>
      </c>
      <c r="M595" s="108" t="s">
        <v>477</v>
      </c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22"/>
    </row>
    <row r="596" spans="1:32" ht="12.75" customHeight="1">
      <c r="A596" s="89"/>
      <c r="B596" s="69"/>
      <c r="C596" s="69" t="s">
        <v>118</v>
      </c>
      <c r="D596" s="69" t="s">
        <v>359</v>
      </c>
      <c r="E596" s="69"/>
      <c r="F596" s="71" t="s">
        <v>10</v>
      </c>
      <c r="G596" s="108">
        <v>3</v>
      </c>
      <c r="H596" s="108">
        <v>8</v>
      </c>
      <c r="I596" s="69"/>
      <c r="J596" s="69" t="s">
        <v>399</v>
      </c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  <c r="AD596" s="69"/>
      <c r="AE596" s="69"/>
      <c r="AF596" s="122"/>
    </row>
    <row r="597" spans="1:32" ht="12.75" customHeight="1">
      <c r="A597" s="89"/>
      <c r="B597" s="69"/>
      <c r="C597" s="69" t="s">
        <v>121</v>
      </c>
      <c r="D597" s="69" t="s">
        <v>128</v>
      </c>
      <c r="E597" s="69"/>
      <c r="F597" s="71" t="s">
        <v>10</v>
      </c>
      <c r="G597" s="108">
        <v>2</v>
      </c>
      <c r="H597" s="108">
        <v>0</v>
      </c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  <c r="AD597" s="69"/>
      <c r="AE597" s="69"/>
      <c r="AF597" s="122"/>
    </row>
    <row r="598" spans="1:32" ht="12.75" customHeight="1">
      <c r="A598" s="89"/>
      <c r="B598" s="69"/>
      <c r="C598" s="69" t="s">
        <v>124</v>
      </c>
      <c r="D598" s="69" t="s">
        <v>345</v>
      </c>
      <c r="E598" s="69"/>
      <c r="F598" s="71" t="s">
        <v>10</v>
      </c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122"/>
    </row>
    <row r="599" spans="1:32" ht="12.75" customHeight="1">
      <c r="A599" s="89"/>
      <c r="B599" s="69"/>
      <c r="C599" s="69"/>
      <c r="D599" s="69"/>
      <c r="E599" s="69"/>
      <c r="F599" s="69"/>
      <c r="G599" s="69" t="s">
        <v>561</v>
      </c>
      <c r="H599" s="69"/>
      <c r="I599" s="69"/>
      <c r="J599" s="69"/>
      <c r="K599" s="69"/>
      <c r="L599" s="142" t="s">
        <v>102</v>
      </c>
      <c r="M599" s="142"/>
      <c r="N599" s="142"/>
      <c r="O599" s="142"/>
      <c r="P599" s="142"/>
      <c r="Q599" s="69"/>
      <c r="R599" s="69" t="s">
        <v>562</v>
      </c>
      <c r="S599" s="69"/>
      <c r="T599" s="69"/>
      <c r="U599" s="69"/>
      <c r="V599" s="142" t="s">
        <v>106</v>
      </c>
      <c r="W599" s="142"/>
      <c r="X599" s="142"/>
      <c r="Y599" s="142"/>
      <c r="Z599" s="142"/>
      <c r="AA599" s="69"/>
      <c r="AB599" s="69"/>
      <c r="AC599" s="69"/>
      <c r="AD599" s="69"/>
      <c r="AE599" s="69"/>
      <c r="AF599" s="122"/>
    </row>
    <row r="600" spans="1:32" ht="12.75" customHeight="1">
      <c r="A600" s="89"/>
      <c r="B600" s="69"/>
      <c r="C600" s="69"/>
      <c r="D600" s="69"/>
      <c r="E600" s="69"/>
      <c r="F600" s="69"/>
      <c r="G600" s="69" t="s">
        <v>563</v>
      </c>
      <c r="H600" s="69"/>
      <c r="I600" s="69"/>
      <c r="J600" s="69"/>
      <c r="K600" s="69"/>
      <c r="L600" s="142" t="s">
        <v>104</v>
      </c>
      <c r="M600" s="142"/>
      <c r="N600" s="142"/>
      <c r="O600" s="142"/>
      <c r="P600" s="142"/>
      <c r="Q600" s="69"/>
      <c r="R600" s="69" t="s">
        <v>417</v>
      </c>
      <c r="S600" s="69"/>
      <c r="T600" s="69"/>
      <c r="U600" s="69"/>
      <c r="V600" s="142" t="s">
        <v>418</v>
      </c>
      <c r="W600" s="142"/>
      <c r="X600" s="142"/>
      <c r="Y600" s="142"/>
      <c r="Z600" s="142"/>
      <c r="AA600" s="69"/>
      <c r="AB600" s="69"/>
      <c r="AC600" s="69"/>
      <c r="AD600" s="69"/>
      <c r="AE600" s="69"/>
      <c r="AF600" s="122"/>
    </row>
    <row r="601" spans="1:32" ht="12.75" customHeight="1">
      <c r="A601" s="89"/>
      <c r="B601" s="138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  <c r="AB601" s="125"/>
      <c r="AC601" s="125"/>
      <c r="AD601" s="125"/>
      <c r="AE601" s="125"/>
      <c r="AF601" s="127"/>
    </row>
    <row r="602" spans="1:32" ht="12.75" customHeight="1"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  <c r="AD602" s="69"/>
      <c r="AE602" s="69"/>
      <c r="AF602" s="69"/>
    </row>
    <row r="603" spans="1:32" ht="12.75" customHeight="1"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 t="s">
        <v>604</v>
      </c>
      <c r="X603" s="69"/>
      <c r="Y603" s="69"/>
      <c r="Z603" s="69"/>
      <c r="AA603" s="69"/>
      <c r="AB603" s="69"/>
      <c r="AC603" s="69"/>
      <c r="AD603" s="69"/>
      <c r="AE603" s="69"/>
      <c r="AF603" s="69"/>
    </row>
    <row r="604" spans="1:32" ht="12.75" customHeight="1"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  <c r="AD604" s="69"/>
      <c r="AE604" s="69"/>
      <c r="AF604" s="69"/>
    </row>
    <row r="605" spans="1:32" ht="12.75" customHeight="1">
      <c r="B605" s="69"/>
      <c r="C605" s="69"/>
      <c r="D605" s="69"/>
      <c r="E605" s="69"/>
      <c r="F605" s="69"/>
      <c r="G605" s="69" t="s">
        <v>588</v>
      </c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 t="s">
        <v>481</v>
      </c>
      <c r="X605" s="69"/>
      <c r="Y605" s="69"/>
      <c r="Z605" s="69"/>
      <c r="AA605" s="69"/>
      <c r="AB605" s="69"/>
      <c r="AC605" s="69"/>
      <c r="AD605" s="69"/>
      <c r="AE605" s="69"/>
      <c r="AF605" s="69"/>
    </row>
    <row r="606" spans="1:32" ht="12.75" customHeight="1">
      <c r="B606" s="69"/>
      <c r="C606" s="69"/>
      <c r="D606" s="69"/>
      <c r="E606" s="69"/>
      <c r="F606" s="69" t="s">
        <v>597</v>
      </c>
      <c r="G606" s="69" t="s">
        <v>274</v>
      </c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  <c r="AD606" s="69"/>
      <c r="AE606" s="69"/>
      <c r="AF606" s="69"/>
    </row>
    <row r="607" spans="1:32" ht="12.75" customHeight="1">
      <c r="B607" s="69"/>
      <c r="C607" s="69"/>
      <c r="D607" s="69"/>
      <c r="E607" s="69"/>
      <c r="F607" s="69"/>
      <c r="G607" s="69" t="s">
        <v>598</v>
      </c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  <c r="AD607" s="69"/>
      <c r="AE607" s="69"/>
      <c r="AF607" s="69"/>
    </row>
    <row r="608" spans="1:32" ht="12.75" customHeight="1"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  <c r="AD608" s="69"/>
      <c r="AE608" s="69"/>
      <c r="AF608" s="69"/>
    </row>
    <row r="609" spans="2:32" ht="12.75" customHeight="1"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  <c r="AD609" s="69"/>
      <c r="AE609" s="69"/>
      <c r="AF609" s="69"/>
    </row>
    <row r="610" spans="2:32" ht="12.75" customHeight="1"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  <c r="AD610" s="69"/>
      <c r="AE610" s="69"/>
      <c r="AF610" s="69"/>
    </row>
    <row r="611" spans="2:32" ht="12.75" customHeight="1">
      <c r="B611" s="69"/>
      <c r="C611" s="69"/>
      <c r="D611" s="69"/>
      <c r="E611" s="69"/>
      <c r="F611" s="69"/>
      <c r="G611" s="69" t="s">
        <v>366</v>
      </c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 t="s">
        <v>605</v>
      </c>
      <c r="X611" s="69"/>
      <c r="Y611" s="69"/>
      <c r="Z611" s="69"/>
      <c r="AA611" s="69"/>
      <c r="AB611" s="69"/>
      <c r="AC611" s="69"/>
      <c r="AD611" s="69"/>
      <c r="AE611" s="69"/>
      <c r="AF611" s="69"/>
    </row>
    <row r="612" spans="2:32" ht="12.75" customHeight="1"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  <c r="AD612" s="69"/>
      <c r="AE612" s="69"/>
      <c r="AF612" s="69"/>
    </row>
    <row r="613" spans="2:32" ht="12.75" customHeight="1"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  <c r="AD613" s="69"/>
      <c r="AE613" s="69"/>
      <c r="AF613" s="69"/>
    </row>
    <row r="614" spans="2:32" ht="12.75" customHeight="1"/>
    <row r="615" spans="2:32" ht="12.75" customHeight="1"/>
    <row r="616" spans="2:32" ht="12.75" customHeight="1"/>
    <row r="617" spans="2:32" ht="12.75" customHeight="1"/>
    <row r="618" spans="2:32" ht="12.75" customHeight="1"/>
    <row r="619" spans="2:32" ht="12.75" customHeight="1"/>
    <row r="620" spans="2:32" ht="12.75" customHeight="1"/>
    <row r="621" spans="2:32" ht="12.75" customHeight="1"/>
    <row r="622" spans="2:32" ht="12.75" customHeight="1"/>
    <row r="623" spans="2:32" ht="12.75" customHeight="1"/>
    <row r="624" spans="2:32" ht="12.75" customHeight="1"/>
    <row r="625" spans="1:32" ht="12.75" customHeight="1"/>
    <row r="626" spans="1:32" ht="12.75" customHeight="1"/>
    <row r="627" spans="1:32" ht="12.75" customHeight="1">
      <c r="Z627" s="139" t="s">
        <v>529</v>
      </c>
      <c r="AA627" s="139"/>
      <c r="AB627" s="139"/>
      <c r="AC627" s="139"/>
    </row>
    <row r="628" spans="1:32" ht="12.75" customHeight="1">
      <c r="B628" s="69"/>
      <c r="C628" s="69" t="s">
        <v>332</v>
      </c>
      <c r="D628" s="69"/>
      <c r="E628" s="69"/>
      <c r="F628" s="71" t="s">
        <v>10</v>
      </c>
      <c r="G628" s="69" t="s">
        <v>102</v>
      </c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 t="s">
        <v>530</v>
      </c>
      <c r="W628" s="69" t="s">
        <v>372</v>
      </c>
      <c r="X628" s="69"/>
      <c r="Y628" s="69" t="s">
        <v>10</v>
      </c>
      <c r="Z628" s="69" t="s">
        <v>373</v>
      </c>
      <c r="AA628" s="69"/>
      <c r="AB628" s="69"/>
      <c r="AC628" s="69"/>
      <c r="AD628" s="69"/>
      <c r="AE628" s="69"/>
      <c r="AF628" s="69"/>
    </row>
    <row r="629" spans="1:32" ht="12.75" customHeight="1">
      <c r="B629" s="69"/>
      <c r="C629" s="69" t="s">
        <v>331</v>
      </c>
      <c r="D629" s="69"/>
      <c r="E629" s="69"/>
      <c r="F629" s="71" t="s">
        <v>10</v>
      </c>
      <c r="G629" s="69" t="s">
        <v>104</v>
      </c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 t="s">
        <v>375</v>
      </c>
      <c r="X629" s="69"/>
      <c r="Y629" s="69" t="s">
        <v>10</v>
      </c>
      <c r="Z629" s="69" t="s">
        <v>332</v>
      </c>
      <c r="AA629" s="69"/>
      <c r="AB629" s="69"/>
      <c r="AC629" s="69"/>
      <c r="AD629" s="69"/>
      <c r="AE629" s="69"/>
      <c r="AF629" s="69"/>
    </row>
    <row r="630" spans="1:32" ht="12.75" customHeight="1">
      <c r="B630" s="69"/>
      <c r="C630" s="69" t="s">
        <v>330</v>
      </c>
      <c r="D630" s="69"/>
      <c r="E630" s="69"/>
      <c r="F630" s="71" t="s">
        <v>10</v>
      </c>
      <c r="G630" s="69" t="s">
        <v>106</v>
      </c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 t="s">
        <v>379</v>
      </c>
      <c r="X630" s="69"/>
      <c r="Y630" s="69" t="s">
        <v>10</v>
      </c>
      <c r="Z630" s="69" t="s">
        <v>331</v>
      </c>
      <c r="AA630" s="69"/>
      <c r="AB630" s="69"/>
      <c r="AC630" s="69"/>
      <c r="AD630" s="69"/>
      <c r="AE630" s="69"/>
      <c r="AF630" s="69"/>
    </row>
    <row r="631" spans="1:32" ht="12.75" customHeight="1">
      <c r="B631" s="69"/>
      <c r="C631" s="69"/>
      <c r="D631" s="69"/>
      <c r="E631" s="69"/>
      <c r="F631" s="71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  <c r="AD631" s="69"/>
      <c r="AE631" s="69"/>
      <c r="AF631" s="69"/>
    </row>
    <row r="632" spans="1:32" ht="12.75" customHeight="1">
      <c r="B632" s="69"/>
      <c r="C632" s="69" t="s">
        <v>381</v>
      </c>
      <c r="D632" s="69"/>
      <c r="E632" s="69"/>
      <c r="F632" s="71" t="s">
        <v>10</v>
      </c>
      <c r="G632" s="108">
        <v>3</v>
      </c>
      <c r="H632" s="108">
        <v>3</v>
      </c>
      <c r="I632" s="108">
        <v>2</v>
      </c>
      <c r="J632" s="108">
        <v>7</v>
      </c>
      <c r="K632" s="108">
        <v>0</v>
      </c>
      <c r="L632" s="108">
        <v>4</v>
      </c>
      <c r="M632" s="108">
        <v>0</v>
      </c>
      <c r="N632" s="108">
        <v>1</v>
      </c>
      <c r="O632" s="108">
        <v>1</v>
      </c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  <c r="AD632" s="69"/>
      <c r="AE632" s="69"/>
      <c r="AF632" s="69"/>
    </row>
    <row r="633" spans="1:32" ht="12.75" customHeight="1">
      <c r="B633" s="69"/>
      <c r="C633" s="69"/>
      <c r="D633" s="69"/>
      <c r="E633" s="69"/>
      <c r="F633" s="71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  <c r="AD633" s="69"/>
      <c r="AE633" s="69"/>
      <c r="AF633" s="69"/>
    </row>
    <row r="634" spans="1:32" ht="12.75" customHeight="1"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  <c r="AD634" s="69"/>
      <c r="AE634" s="69"/>
      <c r="AF634" s="69"/>
    </row>
    <row r="635" spans="1:32" ht="12.75" customHeight="1">
      <c r="B635" s="69"/>
      <c r="C635" s="1" t="s">
        <v>531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2.75" customHeight="1"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  <c r="AD636" s="69"/>
      <c r="AE636" s="69"/>
      <c r="AF636" s="69"/>
    </row>
    <row r="637" spans="1:32" ht="12.75" customHeight="1">
      <c r="B637" s="69"/>
      <c r="C637" s="69" t="s">
        <v>385</v>
      </c>
      <c r="D637" s="69"/>
      <c r="E637" s="69"/>
      <c r="F637" s="71" t="s">
        <v>10</v>
      </c>
      <c r="G637" s="108" t="s">
        <v>475</v>
      </c>
      <c r="H637" s="108" t="s">
        <v>467</v>
      </c>
      <c r="I637" s="108" t="s">
        <v>498</v>
      </c>
      <c r="J637" s="108" t="s">
        <v>464</v>
      </c>
      <c r="K637" s="108" t="s">
        <v>484</v>
      </c>
      <c r="L637" s="108" t="s">
        <v>469</v>
      </c>
      <c r="M637" s="108" t="s">
        <v>468</v>
      </c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  <c r="AF637" s="69"/>
    </row>
    <row r="638" spans="1:32" ht="12.75" customHeight="1">
      <c r="B638" s="69"/>
      <c r="C638" s="69" t="s">
        <v>387</v>
      </c>
      <c r="D638" s="69"/>
      <c r="E638" s="69"/>
      <c r="F638" s="71" t="s">
        <v>10</v>
      </c>
      <c r="G638" s="108">
        <v>3</v>
      </c>
      <c r="H638" s="108">
        <v>3</v>
      </c>
      <c r="I638" s="108">
        <v>2</v>
      </c>
      <c r="J638" s="108">
        <v>7</v>
      </c>
      <c r="K638" s="108">
        <v>0</v>
      </c>
      <c r="L638" s="108">
        <v>4</v>
      </c>
      <c r="M638" s="108">
        <v>1</v>
      </c>
      <c r="N638" s="108">
        <v>2</v>
      </c>
      <c r="O638" s="108">
        <v>0</v>
      </c>
      <c r="P638" s="108">
        <v>4</v>
      </c>
      <c r="Q638" s="108">
        <v>1</v>
      </c>
      <c r="R638" s="108">
        <v>2</v>
      </c>
      <c r="S638" s="108">
        <v>0</v>
      </c>
      <c r="T638" s="108">
        <v>0</v>
      </c>
      <c r="U638" s="108">
        <v>0</v>
      </c>
      <c r="V638" s="108">
        <v>9</v>
      </c>
      <c r="W638" s="109"/>
      <c r="X638" s="109"/>
      <c r="Y638" s="109"/>
      <c r="Z638" s="69"/>
      <c r="AA638" s="69"/>
      <c r="AB638" s="69"/>
      <c r="AC638" s="69"/>
      <c r="AD638" s="69"/>
      <c r="AE638" s="69"/>
      <c r="AF638" s="69"/>
    </row>
    <row r="639" spans="1:32" ht="12.75" customHeight="1"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B639" s="125"/>
      <c r="AC639" s="125"/>
      <c r="AD639" s="125"/>
      <c r="AE639" s="125"/>
      <c r="AF639" s="125"/>
    </row>
    <row r="640" spans="1:32" ht="12.75" customHeight="1">
      <c r="A640" s="89"/>
      <c r="B640" s="69"/>
      <c r="C640" s="128" t="s">
        <v>532</v>
      </c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  <c r="AD640" s="69"/>
      <c r="AE640" s="69"/>
      <c r="AF640" s="124"/>
    </row>
    <row r="641" spans="1:32" ht="12.75" customHeight="1">
      <c r="A641" s="8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  <c r="AD641" s="69"/>
      <c r="AE641" s="69"/>
      <c r="AF641" s="122"/>
    </row>
    <row r="642" spans="1:32" ht="12.75" customHeight="1">
      <c r="A642" s="89"/>
      <c r="B642" s="69"/>
      <c r="C642" s="69" t="s">
        <v>111</v>
      </c>
      <c r="D642" s="69" t="s">
        <v>533</v>
      </c>
      <c r="E642" s="69"/>
      <c r="F642" s="71" t="s">
        <v>10</v>
      </c>
      <c r="G642" s="108" t="s">
        <v>476</v>
      </c>
      <c r="H642" s="108" t="s">
        <v>464</v>
      </c>
      <c r="I642" s="108" t="s">
        <v>475</v>
      </c>
      <c r="J642" s="108" t="s">
        <v>486</v>
      </c>
      <c r="K642" s="108" t="s">
        <v>469</v>
      </c>
      <c r="L642" s="108" t="s">
        <v>590</v>
      </c>
      <c r="M642" s="108" t="s">
        <v>469</v>
      </c>
      <c r="N642" s="108"/>
      <c r="O642" s="108" t="s">
        <v>464</v>
      </c>
      <c r="P642" s="108" t="s">
        <v>503</v>
      </c>
      <c r="Q642" s="108" t="s">
        <v>464</v>
      </c>
      <c r="R642" s="108" t="s">
        <v>484</v>
      </c>
      <c r="S642" s="108"/>
      <c r="T642" s="108" t="s">
        <v>484</v>
      </c>
      <c r="U642" s="108" t="s">
        <v>464</v>
      </c>
      <c r="V642" s="108" t="s">
        <v>487</v>
      </c>
      <c r="W642" s="108" t="s">
        <v>467</v>
      </c>
      <c r="X642" s="108" t="s">
        <v>476</v>
      </c>
      <c r="Y642" s="108" t="s">
        <v>468</v>
      </c>
      <c r="Z642" s="108" t="s">
        <v>464</v>
      </c>
      <c r="AA642" s="108"/>
      <c r="AB642" s="108"/>
      <c r="AC642" s="108"/>
      <c r="AD642" s="108"/>
      <c r="AE642" s="108"/>
      <c r="AF642" s="122"/>
    </row>
    <row r="643" spans="1:32" ht="12.75" customHeight="1">
      <c r="A643" s="89"/>
      <c r="B643" s="69"/>
      <c r="C643" s="69" t="s">
        <v>115</v>
      </c>
      <c r="D643" s="69" t="s">
        <v>285</v>
      </c>
      <c r="E643" s="69"/>
      <c r="F643" s="71" t="s">
        <v>10</v>
      </c>
      <c r="G643" s="108" t="s">
        <v>111</v>
      </c>
      <c r="H643" s="69" t="s">
        <v>534</v>
      </c>
      <c r="I643" s="69"/>
      <c r="J643" s="69"/>
      <c r="K643" s="69"/>
      <c r="L643" s="69" t="s">
        <v>394</v>
      </c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  <c r="AD643" s="69"/>
      <c r="AE643" s="69"/>
      <c r="AF643" s="122"/>
    </row>
    <row r="644" spans="1:32" ht="12.75" customHeight="1">
      <c r="A644" s="89"/>
      <c r="B644" s="69"/>
      <c r="C644" s="69" t="s">
        <v>118</v>
      </c>
      <c r="D644" s="69" t="s">
        <v>596</v>
      </c>
      <c r="E644" s="69"/>
      <c r="F644" s="71" t="s">
        <v>10</v>
      </c>
      <c r="G644" s="129">
        <v>4</v>
      </c>
      <c r="H644" s="69" t="s">
        <v>536</v>
      </c>
      <c r="I644" s="69"/>
      <c r="J644" s="69"/>
      <c r="K644" s="69"/>
      <c r="L644" s="69" t="s">
        <v>537</v>
      </c>
      <c r="M644" s="69"/>
      <c r="N644" s="69"/>
      <c r="O644" s="69"/>
      <c r="P644" s="69" t="s">
        <v>538</v>
      </c>
      <c r="Q644" s="69"/>
      <c r="R644" s="69"/>
      <c r="S644" s="69"/>
      <c r="T644" s="69" t="s">
        <v>539</v>
      </c>
      <c r="U644" s="69"/>
      <c r="V644" s="69"/>
      <c r="W644" s="69"/>
      <c r="X644" s="69"/>
      <c r="Y644" s="69" t="s">
        <v>540</v>
      </c>
      <c r="Z644" s="69"/>
      <c r="AA644" s="69"/>
      <c r="AB644" s="69"/>
      <c r="AC644" s="69"/>
      <c r="AD644" s="69"/>
      <c r="AE644" s="69"/>
      <c r="AF644" s="122"/>
    </row>
    <row r="645" spans="1:32" ht="12.75" customHeight="1">
      <c r="A645" s="89"/>
      <c r="B645" s="69"/>
      <c r="C645" s="69" t="s">
        <v>121</v>
      </c>
      <c r="D645" s="69" t="s">
        <v>541</v>
      </c>
      <c r="E645" s="69"/>
      <c r="F645" s="71" t="s">
        <v>10</v>
      </c>
      <c r="G645" s="108" t="s">
        <v>487</v>
      </c>
      <c r="H645" s="108" t="s">
        <v>488</v>
      </c>
      <c r="I645" s="108" t="s">
        <v>475</v>
      </c>
      <c r="J645" s="108" t="s">
        <v>464</v>
      </c>
      <c r="K645" s="108" t="s">
        <v>474</v>
      </c>
      <c r="L645" s="108" t="s">
        <v>464</v>
      </c>
      <c r="M645" s="108" t="s">
        <v>485</v>
      </c>
      <c r="N645" s="108" t="s">
        <v>489</v>
      </c>
      <c r="O645" s="109"/>
      <c r="P645" s="109"/>
      <c r="Q645" s="109"/>
      <c r="R645" s="109"/>
      <c r="S645" s="109"/>
      <c r="T645" s="109"/>
      <c r="U645" s="109"/>
      <c r="V645" s="109"/>
      <c r="W645" s="69"/>
      <c r="X645" s="69"/>
      <c r="Y645" s="69"/>
      <c r="Z645" s="69"/>
      <c r="AA645" s="69"/>
      <c r="AB645" s="69"/>
      <c r="AC645" s="69"/>
      <c r="AD645" s="69"/>
      <c r="AE645" s="69"/>
      <c r="AF645" s="122"/>
    </row>
    <row r="646" spans="1:32" ht="12.75" customHeight="1">
      <c r="A646" s="89"/>
      <c r="B646" s="69"/>
      <c r="C646" s="69" t="s">
        <v>124</v>
      </c>
      <c r="D646" s="69" t="s">
        <v>542</v>
      </c>
      <c r="E646" s="69"/>
      <c r="F646" s="71" t="s">
        <v>10</v>
      </c>
      <c r="G646" s="69" t="s">
        <v>349</v>
      </c>
      <c r="H646" s="69"/>
      <c r="I646" s="129" t="s">
        <v>468</v>
      </c>
      <c r="J646" s="108" t="s">
        <v>464</v>
      </c>
      <c r="K646" s="108" t="s">
        <v>503</v>
      </c>
      <c r="L646" s="108" t="s">
        <v>467</v>
      </c>
      <c r="M646" s="108"/>
      <c r="N646" s="108"/>
      <c r="O646" s="71"/>
      <c r="P646" s="71" t="s">
        <v>397</v>
      </c>
      <c r="Q646" s="71"/>
      <c r="R646" s="108">
        <v>2</v>
      </c>
      <c r="S646" s="108">
        <v>5</v>
      </c>
      <c r="T646" s="71"/>
      <c r="U646" s="71" t="s">
        <v>422</v>
      </c>
      <c r="V646" s="71"/>
      <c r="W646" s="108">
        <v>0</v>
      </c>
      <c r="X646" s="108">
        <v>9</v>
      </c>
      <c r="Y646" s="71"/>
      <c r="Z646" s="71" t="s">
        <v>543</v>
      </c>
      <c r="AA646" s="71"/>
      <c r="AB646" s="108">
        <v>2</v>
      </c>
      <c r="AC646" s="108">
        <v>0</v>
      </c>
      <c r="AD646" s="108">
        <v>1</v>
      </c>
      <c r="AE646" s="108">
        <v>7</v>
      </c>
      <c r="AF646" s="122"/>
    </row>
    <row r="647" spans="1:32" ht="12.75" customHeight="1">
      <c r="A647" s="89"/>
      <c r="B647" s="69"/>
      <c r="C647" s="69" t="s">
        <v>127</v>
      </c>
      <c r="D647" s="69" t="s">
        <v>425</v>
      </c>
      <c r="E647" s="69"/>
      <c r="F647" s="71" t="s">
        <v>10</v>
      </c>
      <c r="G647" s="108">
        <v>2</v>
      </c>
      <c r="H647" s="108">
        <v>0</v>
      </c>
      <c r="I647" s="108">
        <v>3</v>
      </c>
      <c r="J647" s="108">
        <v>0</v>
      </c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  <c r="AD647" s="69"/>
      <c r="AE647" s="69"/>
      <c r="AF647" s="122"/>
    </row>
    <row r="648" spans="1:32" ht="12.75" customHeight="1">
      <c r="A648" s="89"/>
      <c r="B648" s="69"/>
      <c r="C648" s="69" t="s">
        <v>130</v>
      </c>
      <c r="D648" s="69" t="s">
        <v>545</v>
      </c>
      <c r="E648" s="69"/>
      <c r="F648" s="71" t="s">
        <v>10</v>
      </c>
      <c r="G648" s="109" t="s">
        <v>111</v>
      </c>
      <c r="H648" s="69" t="s">
        <v>546</v>
      </c>
      <c r="I648" s="69"/>
      <c r="J648" s="69"/>
      <c r="K648" s="69"/>
      <c r="L648" s="69" t="s">
        <v>547</v>
      </c>
      <c r="M648" s="69"/>
      <c r="N648" s="69"/>
      <c r="O648" s="69"/>
      <c r="P648" s="69" t="s">
        <v>548</v>
      </c>
      <c r="Q648" s="69"/>
      <c r="R648" s="69"/>
      <c r="S648" s="69"/>
      <c r="T648" s="69" t="s">
        <v>549</v>
      </c>
      <c r="U648" s="69"/>
      <c r="V648" s="69"/>
      <c r="W648" s="69"/>
      <c r="X648" s="69"/>
      <c r="Y648" s="69" t="s">
        <v>540</v>
      </c>
      <c r="Z648" s="69"/>
      <c r="AA648" s="69"/>
      <c r="AB648" s="69"/>
      <c r="AC648" s="69"/>
      <c r="AD648" s="69"/>
      <c r="AE648" s="69"/>
      <c r="AF648" s="122"/>
    </row>
    <row r="649" spans="1:32" ht="12.75" customHeight="1">
      <c r="A649" s="89"/>
      <c r="B649" s="69"/>
      <c r="C649" s="69" t="s">
        <v>134</v>
      </c>
      <c r="D649" s="69" t="s">
        <v>550</v>
      </c>
      <c r="E649" s="69"/>
      <c r="F649" s="71" t="s">
        <v>10</v>
      </c>
      <c r="G649" s="109">
        <v>2</v>
      </c>
      <c r="H649" s="69" t="s">
        <v>111</v>
      </c>
      <c r="I649" s="69" t="s">
        <v>115</v>
      </c>
      <c r="J649" s="69" t="s">
        <v>118</v>
      </c>
      <c r="K649" s="69" t="s">
        <v>121</v>
      </c>
      <c r="L649" s="69" t="s">
        <v>551</v>
      </c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  <c r="AD649" s="69"/>
      <c r="AE649" s="69"/>
      <c r="AF649" s="122"/>
    </row>
    <row r="650" spans="1:32" ht="12.75" customHeight="1">
      <c r="A650" s="89"/>
      <c r="B650" s="69"/>
      <c r="C650" s="69" t="s">
        <v>137</v>
      </c>
      <c r="D650" s="69" t="s">
        <v>599</v>
      </c>
      <c r="E650" s="69"/>
      <c r="F650" s="71" t="s">
        <v>10</v>
      </c>
      <c r="G650" s="137">
        <v>2</v>
      </c>
      <c r="H650" s="69" t="s">
        <v>438</v>
      </c>
      <c r="I650" s="69"/>
      <c r="J650" s="69"/>
      <c r="K650" s="69"/>
      <c r="L650" s="69" t="s">
        <v>553</v>
      </c>
      <c r="M650" s="69"/>
      <c r="N650" s="69"/>
      <c r="O650" s="69"/>
      <c r="P650" s="69" t="s">
        <v>554</v>
      </c>
      <c r="Q650" s="69"/>
      <c r="R650" s="69"/>
      <c r="S650" s="69"/>
      <c r="T650" s="69" t="s">
        <v>441</v>
      </c>
      <c r="U650" s="69"/>
      <c r="V650" s="69"/>
      <c r="W650" s="69"/>
      <c r="X650" s="69"/>
      <c r="Y650" s="69"/>
      <c r="Z650" s="69"/>
      <c r="AA650" s="69"/>
      <c r="AB650" s="69"/>
      <c r="AC650" s="69"/>
      <c r="AD650" s="69"/>
      <c r="AE650" s="69"/>
      <c r="AF650" s="122"/>
    </row>
    <row r="651" spans="1:32" ht="12.75" customHeight="1">
      <c r="A651" s="89"/>
      <c r="B651" s="69"/>
      <c r="C651" s="69" t="s">
        <v>145</v>
      </c>
      <c r="D651" s="69" t="s">
        <v>555</v>
      </c>
      <c r="E651" s="69"/>
      <c r="F651" s="71" t="s">
        <v>10</v>
      </c>
      <c r="G651" s="108">
        <v>2</v>
      </c>
      <c r="H651" s="108" t="s">
        <v>600</v>
      </c>
      <c r="I651" s="108">
        <v>6</v>
      </c>
      <c r="J651" s="109"/>
      <c r="K651" s="69" t="s">
        <v>601</v>
      </c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  <c r="AD651" s="69"/>
      <c r="AE651" s="69"/>
      <c r="AF651" s="122"/>
    </row>
    <row r="652" spans="1:32" ht="12.75" customHeight="1">
      <c r="A652" s="89"/>
      <c r="B652" s="69"/>
      <c r="C652" s="69" t="s">
        <v>424</v>
      </c>
      <c r="D652" s="69" t="s">
        <v>557</v>
      </c>
      <c r="E652" s="69"/>
      <c r="F652" s="71" t="s">
        <v>10</v>
      </c>
      <c r="G652" s="108">
        <v>4</v>
      </c>
      <c r="H652" s="108">
        <v>5</v>
      </c>
      <c r="I652" s="71" t="s">
        <v>558</v>
      </c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  <c r="AD652" s="69"/>
      <c r="AE652" s="69"/>
      <c r="AF652" s="122"/>
    </row>
    <row r="653" spans="1:32" ht="12.75" customHeight="1">
      <c r="A653" s="89"/>
      <c r="B653" s="138"/>
      <c r="C653" s="125"/>
      <c r="D653" s="125"/>
      <c r="E653" s="125"/>
      <c r="F653" s="126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5"/>
      <c r="AE653" s="125"/>
      <c r="AF653" s="127"/>
    </row>
    <row r="654" spans="1:32" ht="12.75" customHeight="1">
      <c r="A654" s="89"/>
      <c r="B654" s="69"/>
      <c r="C654" s="128" t="s">
        <v>449</v>
      </c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  <c r="AD654" s="69"/>
      <c r="AE654" s="69"/>
      <c r="AF654" s="122"/>
    </row>
    <row r="655" spans="1:32" ht="12.75" customHeight="1">
      <c r="A655" s="89"/>
      <c r="B655" s="69"/>
      <c r="C655" s="69" t="s">
        <v>111</v>
      </c>
      <c r="D655" s="69" t="s">
        <v>340</v>
      </c>
      <c r="E655" s="69"/>
      <c r="F655" s="71" t="s">
        <v>10</v>
      </c>
      <c r="G655" s="108">
        <v>3</v>
      </c>
      <c r="H655" s="108">
        <v>3</v>
      </c>
      <c r="I655" s="108">
        <v>2</v>
      </c>
      <c r="J655" s="108">
        <v>7</v>
      </c>
      <c r="K655" s="108">
        <v>0</v>
      </c>
      <c r="L655" s="108">
        <v>4</v>
      </c>
      <c r="M655" s="108">
        <v>6</v>
      </c>
      <c r="N655" s="108">
        <v>5</v>
      </c>
      <c r="O655" s="108">
        <v>0</v>
      </c>
      <c r="P655" s="108">
        <v>3</v>
      </c>
      <c r="Q655" s="108">
        <v>9</v>
      </c>
      <c r="R655" s="108">
        <v>1</v>
      </c>
      <c r="S655" s="108">
        <v>0</v>
      </c>
      <c r="T655" s="108">
        <v>0</v>
      </c>
      <c r="U655" s="108">
        <v>0</v>
      </c>
      <c r="V655" s="108">
        <v>7</v>
      </c>
      <c r="W655" s="108"/>
      <c r="X655" s="71"/>
      <c r="Y655" s="71"/>
      <c r="Z655" s="71"/>
      <c r="AA655" s="71"/>
      <c r="AB655" s="71"/>
      <c r="AC655" s="71"/>
      <c r="AD655" s="71"/>
      <c r="AE655" s="71"/>
      <c r="AF655" s="122"/>
    </row>
    <row r="656" spans="1:32" ht="12.75" customHeight="1">
      <c r="A656" s="89"/>
      <c r="B656" s="69"/>
      <c r="C656" s="69" t="s">
        <v>115</v>
      </c>
      <c r="D656" s="69" t="s">
        <v>391</v>
      </c>
      <c r="E656" s="69"/>
      <c r="F656" s="71" t="s">
        <v>10</v>
      </c>
      <c r="G656" s="108" t="s">
        <v>475</v>
      </c>
      <c r="H656" s="108" t="s">
        <v>467</v>
      </c>
      <c r="I656" s="108" t="s">
        <v>468</v>
      </c>
      <c r="J656" s="108" t="s">
        <v>463</v>
      </c>
      <c r="K656" s="108" t="s">
        <v>464</v>
      </c>
      <c r="L656" s="108" t="s">
        <v>476</v>
      </c>
      <c r="M656" s="108" t="s">
        <v>469</v>
      </c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  <c r="AF656" s="122"/>
    </row>
    <row r="657" spans="1:32" ht="12.75" customHeight="1">
      <c r="A657" s="89"/>
      <c r="B657" s="69"/>
      <c r="C657" s="69" t="s">
        <v>118</v>
      </c>
      <c r="D657" s="69" t="s">
        <v>559</v>
      </c>
      <c r="E657" s="69"/>
      <c r="F657" s="71" t="s">
        <v>10</v>
      </c>
      <c r="G657" s="71" t="s">
        <v>397</v>
      </c>
      <c r="H657" s="129">
        <v>2</v>
      </c>
      <c r="I657" s="108">
        <v>5</v>
      </c>
      <c r="J657" s="71"/>
      <c r="K657" s="71" t="s">
        <v>398</v>
      </c>
      <c r="L657" s="108">
        <v>0</v>
      </c>
      <c r="M657" s="108">
        <v>3</v>
      </c>
      <c r="N657" s="71"/>
      <c r="O657" s="71" t="s">
        <v>560</v>
      </c>
      <c r="P657" s="108">
        <v>1</v>
      </c>
      <c r="Q657" s="108">
        <v>9</v>
      </c>
      <c r="R657" s="108">
        <v>9</v>
      </c>
      <c r="S657" s="108">
        <v>1</v>
      </c>
      <c r="T657" s="71"/>
      <c r="U657" s="71" t="s">
        <v>359</v>
      </c>
      <c r="V657" s="71"/>
      <c r="W657" s="108">
        <v>2</v>
      </c>
      <c r="X657" s="108">
        <v>6</v>
      </c>
      <c r="Y657" s="108"/>
      <c r="Z657" s="71"/>
      <c r="AA657" s="71"/>
      <c r="AB657" s="71"/>
      <c r="AC657" s="71"/>
      <c r="AD657" s="71"/>
      <c r="AE657" s="71"/>
      <c r="AF657" s="122"/>
    </row>
    <row r="658" spans="1:32" ht="12.75" customHeight="1">
      <c r="A658" s="89" t="s">
        <v>574</v>
      </c>
      <c r="B658" s="69"/>
      <c r="C658" s="69" t="s">
        <v>121</v>
      </c>
      <c r="D658" s="69" t="s">
        <v>128</v>
      </c>
      <c r="E658" s="69"/>
      <c r="F658" s="71" t="s">
        <v>10</v>
      </c>
      <c r="G658" s="108">
        <v>0</v>
      </c>
      <c r="H658" s="108">
        <v>2</v>
      </c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  <c r="AD658" s="69"/>
      <c r="AE658" s="69"/>
      <c r="AF658" s="122"/>
    </row>
    <row r="659" spans="1:32" ht="12.75" customHeight="1">
      <c r="A659" s="89"/>
      <c r="B659" s="69"/>
      <c r="C659" s="69" t="s">
        <v>124</v>
      </c>
      <c r="D659" s="69" t="s">
        <v>345</v>
      </c>
      <c r="E659" s="69"/>
      <c r="F659" s="71" t="s">
        <v>10</v>
      </c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122"/>
    </row>
    <row r="660" spans="1:32" ht="12.75" customHeight="1">
      <c r="A660" s="89"/>
      <c r="B660" s="69"/>
      <c r="C660" s="69"/>
      <c r="D660" s="69"/>
      <c r="E660" s="69"/>
      <c r="F660" s="71"/>
      <c r="G660" s="69" t="s">
        <v>561</v>
      </c>
      <c r="H660" s="69"/>
      <c r="I660" s="69"/>
      <c r="J660" s="69"/>
      <c r="K660" s="69"/>
      <c r="L660" s="142" t="s">
        <v>102</v>
      </c>
      <c r="M660" s="142"/>
      <c r="N660" s="142"/>
      <c r="O660" s="142"/>
      <c r="P660" s="142"/>
      <c r="Q660" s="131"/>
      <c r="R660" s="131" t="s">
        <v>562</v>
      </c>
      <c r="S660" s="131"/>
      <c r="T660" s="131"/>
      <c r="U660" s="131"/>
      <c r="V660" s="142" t="s">
        <v>106</v>
      </c>
      <c r="W660" s="142"/>
      <c r="X660" s="142"/>
      <c r="Y660" s="142"/>
      <c r="Z660" s="142"/>
      <c r="AA660" s="69"/>
      <c r="AB660" s="69"/>
      <c r="AC660" s="69"/>
      <c r="AD660" s="69"/>
      <c r="AE660" s="69"/>
      <c r="AF660" s="122"/>
    </row>
    <row r="661" spans="1:32" ht="12.75" customHeight="1">
      <c r="A661" s="89"/>
      <c r="B661" s="69"/>
      <c r="C661" s="69"/>
      <c r="D661" s="69"/>
      <c r="E661" s="69"/>
      <c r="F661" s="71"/>
      <c r="G661" s="69" t="s">
        <v>563</v>
      </c>
      <c r="H661" s="69"/>
      <c r="I661" s="69"/>
      <c r="J661" s="69"/>
      <c r="K661" s="69"/>
      <c r="L661" s="142" t="s">
        <v>104</v>
      </c>
      <c r="M661" s="142"/>
      <c r="N661" s="142"/>
      <c r="O661" s="142"/>
      <c r="P661" s="142"/>
      <c r="Q661" s="131"/>
      <c r="R661" s="131" t="s">
        <v>417</v>
      </c>
      <c r="S661" s="131"/>
      <c r="T661" s="131"/>
      <c r="U661" s="131"/>
      <c r="V661" s="142" t="s">
        <v>418</v>
      </c>
      <c r="W661" s="142"/>
      <c r="X661" s="142"/>
      <c r="Y661" s="142"/>
      <c r="Z661" s="142"/>
      <c r="AA661" s="69"/>
      <c r="AB661" s="69"/>
      <c r="AC661" s="69"/>
      <c r="AD661" s="69"/>
      <c r="AE661" s="69"/>
      <c r="AF661" s="122"/>
    </row>
    <row r="662" spans="1:32" ht="12.75" customHeight="1">
      <c r="A662" s="89"/>
      <c r="B662" s="69"/>
      <c r="C662" s="69" t="s">
        <v>127</v>
      </c>
      <c r="D662" s="69" t="s">
        <v>564</v>
      </c>
      <c r="E662" s="69"/>
      <c r="F662" s="71" t="s">
        <v>10</v>
      </c>
      <c r="G662" s="108" t="s">
        <v>111</v>
      </c>
      <c r="H662" s="71"/>
      <c r="I662" s="71" t="s">
        <v>565</v>
      </c>
      <c r="J662" s="71"/>
      <c r="K662" s="71"/>
      <c r="L662" s="71" t="s">
        <v>566</v>
      </c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69"/>
      <c r="X662" s="69"/>
      <c r="Y662" s="69"/>
      <c r="Z662" s="69"/>
      <c r="AA662" s="69"/>
      <c r="AB662" s="69"/>
      <c r="AC662" s="69"/>
      <c r="AD662" s="69"/>
      <c r="AE662" s="69"/>
      <c r="AF662" s="122"/>
    </row>
    <row r="663" spans="1:32" ht="12.75" customHeight="1">
      <c r="A663" s="89"/>
      <c r="B663" s="69"/>
      <c r="C663" s="69" t="s">
        <v>130</v>
      </c>
      <c r="D663" s="69" t="s">
        <v>567</v>
      </c>
      <c r="E663" s="69"/>
      <c r="F663" s="71" t="s">
        <v>10</v>
      </c>
      <c r="G663" s="130" t="s">
        <v>568</v>
      </c>
      <c r="H663" s="141"/>
      <c r="I663" s="141"/>
      <c r="J663" s="141"/>
      <c r="K663" s="143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69"/>
      <c r="X663" s="69"/>
      <c r="Y663" s="69"/>
      <c r="Z663" s="69"/>
      <c r="AA663" s="69"/>
      <c r="AB663" s="69"/>
      <c r="AC663" s="69"/>
      <c r="AD663" s="69"/>
      <c r="AE663" s="69"/>
      <c r="AF663" s="122"/>
    </row>
    <row r="664" spans="1:32" ht="12.75" customHeight="1">
      <c r="A664" s="89"/>
      <c r="B664" s="69"/>
      <c r="C664" s="69" t="s">
        <v>134</v>
      </c>
      <c r="D664" s="69" t="s">
        <v>569</v>
      </c>
      <c r="E664" s="69"/>
      <c r="F664" s="71" t="s">
        <v>10</v>
      </c>
      <c r="G664" s="71" t="s">
        <v>570</v>
      </c>
      <c r="H664" s="71"/>
      <c r="I664" s="108"/>
      <c r="J664" s="108"/>
      <c r="K664" s="71"/>
      <c r="L664" s="71" t="s">
        <v>398</v>
      </c>
      <c r="M664" s="71"/>
      <c r="N664" s="108"/>
      <c r="O664" s="108"/>
      <c r="P664" s="71"/>
      <c r="Q664" s="71" t="s">
        <v>560</v>
      </c>
      <c r="R664" s="71"/>
      <c r="S664" s="108"/>
      <c r="T664" s="108"/>
      <c r="U664" s="108"/>
      <c r="V664" s="108"/>
      <c r="W664" s="69"/>
      <c r="X664" s="69"/>
      <c r="Y664" s="69"/>
      <c r="Z664" s="69"/>
      <c r="AA664" s="69"/>
      <c r="AB664" s="69"/>
      <c r="AC664" s="69"/>
      <c r="AD664" s="69"/>
      <c r="AE664" s="69"/>
      <c r="AF664" s="122"/>
    </row>
    <row r="665" spans="1:32" ht="12.75" customHeight="1">
      <c r="A665" s="89"/>
      <c r="B665" s="138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5"/>
      <c r="AE665" s="125"/>
      <c r="AF665" s="127"/>
    </row>
    <row r="666" spans="1:32" ht="12.75" customHeight="1">
      <c r="A666" s="89"/>
      <c r="B666" s="69"/>
      <c r="C666" s="128" t="s">
        <v>443</v>
      </c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  <c r="AD666" s="69"/>
      <c r="AE666" s="69"/>
      <c r="AF666" s="122"/>
    </row>
    <row r="667" spans="1:32" ht="12.75" customHeight="1">
      <c r="A667" s="89"/>
      <c r="B667" s="69"/>
      <c r="C667" s="69" t="s">
        <v>111</v>
      </c>
      <c r="D667" s="69" t="s">
        <v>340</v>
      </c>
      <c r="E667" s="69"/>
      <c r="F667" s="71" t="s">
        <v>10</v>
      </c>
      <c r="G667" s="108">
        <v>3</v>
      </c>
      <c r="H667" s="108">
        <v>3</v>
      </c>
      <c r="I667" s="108">
        <v>2</v>
      </c>
      <c r="J667" s="108">
        <v>7</v>
      </c>
      <c r="K667" s="108">
        <v>0</v>
      </c>
      <c r="L667" s="108">
        <v>4</v>
      </c>
      <c r="M667" s="108">
        <v>1</v>
      </c>
      <c r="N667" s="108">
        <v>4</v>
      </c>
      <c r="O667" s="108">
        <v>1</v>
      </c>
      <c r="P667" s="108">
        <v>2</v>
      </c>
      <c r="Q667" s="108">
        <v>8</v>
      </c>
      <c r="R667" s="108">
        <v>4</v>
      </c>
      <c r="S667" s="108">
        <v>0</v>
      </c>
      <c r="T667" s="108">
        <v>0</v>
      </c>
      <c r="U667" s="108">
        <v>0</v>
      </c>
      <c r="V667" s="108">
        <v>3</v>
      </c>
      <c r="W667" s="108"/>
      <c r="X667" s="71"/>
      <c r="Y667" s="71"/>
      <c r="Z667" s="71"/>
      <c r="AA667" s="71"/>
      <c r="AB667" s="71"/>
      <c r="AC667" s="71"/>
      <c r="AD667" s="71"/>
      <c r="AE667" s="71"/>
      <c r="AF667" s="122"/>
    </row>
    <row r="668" spans="1:32" ht="12.75" customHeight="1">
      <c r="A668" s="89"/>
      <c r="B668" s="69"/>
      <c r="C668" s="69" t="s">
        <v>115</v>
      </c>
      <c r="D668" s="69" t="s">
        <v>391</v>
      </c>
      <c r="E668" s="69"/>
      <c r="F668" s="71" t="s">
        <v>10</v>
      </c>
      <c r="G668" s="108" t="s">
        <v>475</v>
      </c>
      <c r="H668" s="108" t="s">
        <v>467</v>
      </c>
      <c r="I668" s="108" t="s">
        <v>498</v>
      </c>
      <c r="J668" s="108" t="s">
        <v>464</v>
      </c>
      <c r="K668" s="108" t="s">
        <v>484</v>
      </c>
      <c r="L668" s="108" t="s">
        <v>469</v>
      </c>
      <c r="M668" s="108" t="s">
        <v>468</v>
      </c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  <c r="AF668" s="122"/>
    </row>
    <row r="669" spans="1:32" ht="12.75" customHeight="1">
      <c r="A669" s="89"/>
      <c r="B669" s="69"/>
      <c r="C669" s="69" t="s">
        <v>118</v>
      </c>
      <c r="D669" s="69" t="s">
        <v>559</v>
      </c>
      <c r="E669" s="69"/>
      <c r="F669" s="71" t="s">
        <v>10</v>
      </c>
      <c r="G669" s="71" t="s">
        <v>397</v>
      </c>
      <c r="H669" s="129">
        <v>1</v>
      </c>
      <c r="I669" s="108">
        <v>4</v>
      </c>
      <c r="J669" s="71"/>
      <c r="K669" s="71" t="s">
        <v>398</v>
      </c>
      <c r="L669" s="108">
        <v>1</v>
      </c>
      <c r="M669" s="108">
        <v>2</v>
      </c>
      <c r="N669" s="71"/>
      <c r="O669" s="71" t="s">
        <v>560</v>
      </c>
      <c r="P669" s="108">
        <v>1</v>
      </c>
      <c r="Q669" s="108">
        <v>9</v>
      </c>
      <c r="R669" s="108">
        <v>8</v>
      </c>
      <c r="S669" s="108">
        <v>4</v>
      </c>
      <c r="T669" s="71"/>
      <c r="U669" s="71" t="s">
        <v>359</v>
      </c>
      <c r="V669" s="71"/>
      <c r="W669" s="108">
        <v>3</v>
      </c>
      <c r="X669" s="108">
        <v>3</v>
      </c>
      <c r="Y669" s="108"/>
      <c r="Z669" s="71"/>
      <c r="AA669" s="71"/>
      <c r="AB669" s="71"/>
      <c r="AC669" s="71"/>
      <c r="AD669" s="71"/>
      <c r="AE669" s="71"/>
      <c r="AF669" s="122"/>
    </row>
    <row r="670" spans="1:32" ht="12.75" customHeight="1">
      <c r="A670" s="89"/>
      <c r="B670" s="69"/>
      <c r="C670" s="69" t="s">
        <v>121</v>
      </c>
      <c r="D670" s="69" t="s">
        <v>128</v>
      </c>
      <c r="E670" s="69"/>
      <c r="F670" s="71" t="s">
        <v>10</v>
      </c>
      <c r="G670" s="108">
        <v>2</v>
      </c>
      <c r="H670" s="108">
        <v>0</v>
      </c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  <c r="AD670" s="69"/>
      <c r="AE670" s="69"/>
      <c r="AF670" s="122"/>
    </row>
    <row r="671" spans="1:32" ht="12.75" customHeight="1">
      <c r="A671" s="89"/>
      <c r="B671" s="69"/>
      <c r="C671" s="69" t="s">
        <v>124</v>
      </c>
      <c r="D671" s="69" t="s">
        <v>345</v>
      </c>
      <c r="E671" s="69"/>
      <c r="F671" s="71" t="s">
        <v>10</v>
      </c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122"/>
    </row>
    <row r="672" spans="1:32" ht="12.75" customHeight="1">
      <c r="A672" s="89"/>
      <c r="B672" s="69"/>
      <c r="C672" s="69"/>
      <c r="D672" s="69"/>
      <c r="E672" s="69"/>
      <c r="F672" s="71"/>
      <c r="G672" s="69" t="s">
        <v>561</v>
      </c>
      <c r="H672" s="69"/>
      <c r="I672" s="69"/>
      <c r="J672" s="69"/>
      <c r="K672" s="69"/>
      <c r="L672" s="142" t="s">
        <v>102</v>
      </c>
      <c r="M672" s="142"/>
      <c r="N672" s="142"/>
      <c r="O672" s="142"/>
      <c r="P672" s="142"/>
      <c r="Q672" s="131"/>
      <c r="R672" s="131" t="s">
        <v>562</v>
      </c>
      <c r="S672" s="131"/>
      <c r="T672" s="131"/>
      <c r="U672" s="131"/>
      <c r="V672" s="142" t="s">
        <v>106</v>
      </c>
      <c r="W672" s="142"/>
      <c r="X672" s="142"/>
      <c r="Y672" s="142"/>
      <c r="Z672" s="142"/>
      <c r="AA672" s="69"/>
      <c r="AB672" s="69"/>
      <c r="AC672" s="69"/>
      <c r="AD672" s="69"/>
      <c r="AE672" s="69"/>
      <c r="AF672" s="122"/>
    </row>
    <row r="673" spans="1:32" ht="12.75" customHeight="1">
      <c r="A673" s="89"/>
      <c r="B673" s="69"/>
      <c r="C673" s="69"/>
      <c r="D673" s="69"/>
      <c r="E673" s="69"/>
      <c r="F673" s="71"/>
      <c r="G673" s="69" t="s">
        <v>563</v>
      </c>
      <c r="H673" s="69"/>
      <c r="I673" s="69"/>
      <c r="J673" s="69"/>
      <c r="K673" s="69"/>
      <c r="L673" s="142" t="s">
        <v>104</v>
      </c>
      <c r="M673" s="142"/>
      <c r="N673" s="142"/>
      <c r="O673" s="142"/>
      <c r="P673" s="142"/>
      <c r="Q673" s="131"/>
      <c r="R673" s="131" t="s">
        <v>417</v>
      </c>
      <c r="S673" s="131"/>
      <c r="T673" s="131"/>
      <c r="U673" s="131"/>
      <c r="V673" s="142" t="s">
        <v>418</v>
      </c>
      <c r="W673" s="142"/>
      <c r="X673" s="142"/>
      <c r="Y673" s="142"/>
      <c r="Z673" s="142"/>
      <c r="AA673" s="69"/>
      <c r="AB673" s="69"/>
      <c r="AC673" s="69"/>
      <c r="AD673" s="69"/>
      <c r="AE673" s="69"/>
      <c r="AF673" s="122"/>
    </row>
    <row r="674" spans="1:32" ht="12.75" customHeight="1">
      <c r="A674" s="89"/>
      <c r="B674" s="69"/>
      <c r="C674" s="69" t="s">
        <v>127</v>
      </c>
      <c r="D674" s="69" t="s">
        <v>564</v>
      </c>
      <c r="E674" s="69"/>
      <c r="F674" s="71" t="s">
        <v>10</v>
      </c>
      <c r="G674" s="108" t="s">
        <v>111</v>
      </c>
      <c r="H674" s="71"/>
      <c r="I674" s="71" t="s">
        <v>565</v>
      </c>
      <c r="J674" s="71"/>
      <c r="K674" s="71"/>
      <c r="L674" s="71" t="s">
        <v>566</v>
      </c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69"/>
      <c r="X674" s="69"/>
      <c r="Y674" s="69"/>
      <c r="Z674" s="69"/>
      <c r="AA674" s="69"/>
      <c r="AB674" s="69"/>
      <c r="AC674" s="69"/>
      <c r="AD674" s="69"/>
      <c r="AE674" s="69"/>
      <c r="AF674" s="122"/>
    </row>
    <row r="675" spans="1:32" ht="12.75" customHeight="1">
      <c r="A675" s="89"/>
      <c r="B675" s="69"/>
      <c r="C675" s="69" t="s">
        <v>130</v>
      </c>
      <c r="D675" s="69" t="s">
        <v>567</v>
      </c>
      <c r="E675" s="69"/>
      <c r="F675" s="71" t="s">
        <v>10</v>
      </c>
      <c r="G675" s="130" t="s">
        <v>568</v>
      </c>
      <c r="H675" s="141"/>
      <c r="I675" s="141"/>
      <c r="J675" s="141"/>
      <c r="K675" s="143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69"/>
      <c r="X675" s="69"/>
      <c r="Y675" s="69"/>
      <c r="Z675" s="69"/>
      <c r="AA675" s="69"/>
      <c r="AB675" s="69"/>
      <c r="AC675" s="69"/>
      <c r="AD675" s="69"/>
      <c r="AE675" s="69"/>
      <c r="AF675" s="122"/>
    </row>
    <row r="676" spans="1:32" ht="12.75" customHeight="1">
      <c r="A676" s="89"/>
      <c r="B676" s="138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5"/>
      <c r="AE676" s="125"/>
      <c r="AF676" s="127"/>
    </row>
    <row r="677" spans="1:32" ht="12.75" customHeight="1">
      <c r="A677" s="89"/>
      <c r="B677" s="69"/>
      <c r="C677" s="128" t="s">
        <v>455</v>
      </c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  <c r="AD677" s="69"/>
      <c r="AE677" s="69"/>
      <c r="AF677" s="122"/>
    </row>
    <row r="678" spans="1:32" ht="12.75" customHeight="1">
      <c r="A678" s="89"/>
      <c r="B678" s="69"/>
      <c r="C678" s="69" t="s">
        <v>111</v>
      </c>
      <c r="D678" s="69" t="s">
        <v>340</v>
      </c>
      <c r="E678" s="69"/>
      <c r="F678" s="71" t="s">
        <v>10</v>
      </c>
      <c r="G678" s="108">
        <v>3</v>
      </c>
      <c r="H678" s="108">
        <v>3</v>
      </c>
      <c r="I678" s="108">
        <v>2</v>
      </c>
      <c r="J678" s="108">
        <v>7</v>
      </c>
      <c r="K678" s="108">
        <v>0</v>
      </c>
      <c r="L678" s="108">
        <v>4</v>
      </c>
      <c r="M678" s="108">
        <v>1</v>
      </c>
      <c r="N678" s="108">
        <v>4</v>
      </c>
      <c r="O678" s="108">
        <v>1</v>
      </c>
      <c r="P678" s="108">
        <v>2</v>
      </c>
      <c r="Q678" s="108">
        <v>8</v>
      </c>
      <c r="R678" s="108">
        <v>4</v>
      </c>
      <c r="S678" s="108">
        <v>0</v>
      </c>
      <c r="T678" s="108">
        <v>0</v>
      </c>
      <c r="U678" s="108">
        <v>0</v>
      </c>
      <c r="V678" s="108">
        <v>3</v>
      </c>
      <c r="W678" s="109"/>
      <c r="X678" s="69"/>
      <c r="Y678" s="69"/>
      <c r="Z678" s="69"/>
      <c r="AA678" s="69"/>
      <c r="AB678" s="69"/>
      <c r="AC678" s="69"/>
      <c r="AD678" s="69"/>
      <c r="AE678" s="69"/>
      <c r="AF678" s="122"/>
    </row>
    <row r="679" spans="1:32" ht="12.75" customHeight="1">
      <c r="A679" s="89"/>
      <c r="B679" s="69"/>
      <c r="C679" s="69" t="s">
        <v>115</v>
      </c>
      <c r="D679" s="69" t="s">
        <v>391</v>
      </c>
      <c r="E679" s="69"/>
      <c r="F679" s="71" t="s">
        <v>10</v>
      </c>
      <c r="G679" s="108" t="s">
        <v>475</v>
      </c>
      <c r="H679" s="108" t="s">
        <v>467</v>
      </c>
      <c r="I679" s="108" t="s">
        <v>498</v>
      </c>
      <c r="J679" s="108" t="s">
        <v>464</v>
      </c>
      <c r="K679" s="108" t="s">
        <v>484</v>
      </c>
      <c r="L679" s="108" t="s">
        <v>469</v>
      </c>
      <c r="M679" s="108" t="s">
        <v>468</v>
      </c>
      <c r="N679" s="108"/>
      <c r="O679" s="108"/>
      <c r="P679" s="108"/>
      <c r="Q679" s="108"/>
      <c r="R679" s="108"/>
      <c r="S679" s="108"/>
      <c r="T679" s="108"/>
      <c r="U679" s="108"/>
      <c r="V679" s="108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22"/>
    </row>
    <row r="680" spans="1:32" ht="12.75" customHeight="1">
      <c r="A680" s="89"/>
      <c r="B680" s="69"/>
      <c r="C680" s="69" t="s">
        <v>118</v>
      </c>
      <c r="D680" s="69" t="s">
        <v>359</v>
      </c>
      <c r="E680" s="69"/>
      <c r="F680" s="71" t="s">
        <v>10</v>
      </c>
      <c r="G680" s="108">
        <v>3</v>
      </c>
      <c r="H680" s="108">
        <v>3</v>
      </c>
      <c r="I680" s="69"/>
      <c r="J680" s="69" t="s">
        <v>399</v>
      </c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  <c r="AD680" s="69"/>
      <c r="AE680" s="69"/>
      <c r="AF680" s="122"/>
    </row>
    <row r="681" spans="1:32" ht="12.75" customHeight="1">
      <c r="A681" s="89"/>
      <c r="B681" s="69"/>
      <c r="C681" s="69" t="s">
        <v>121</v>
      </c>
      <c r="D681" s="69" t="s">
        <v>571</v>
      </c>
      <c r="E681" s="69"/>
      <c r="F681" s="71" t="s">
        <v>10</v>
      </c>
      <c r="G681" s="132" t="s">
        <v>111</v>
      </c>
      <c r="H681" s="69" t="s">
        <v>534</v>
      </c>
      <c r="I681" s="69"/>
      <c r="J681" s="69"/>
      <c r="K681" s="69"/>
      <c r="L681" s="69" t="s">
        <v>394</v>
      </c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  <c r="AD681" s="69"/>
      <c r="AE681" s="69"/>
      <c r="AF681" s="122"/>
    </row>
    <row r="682" spans="1:32" ht="12.75" customHeight="1">
      <c r="A682" s="89"/>
      <c r="B682" s="69"/>
      <c r="C682" s="69" t="s">
        <v>124</v>
      </c>
      <c r="D682" s="69" t="s">
        <v>128</v>
      </c>
      <c r="E682" s="69"/>
      <c r="F682" s="71" t="s">
        <v>10</v>
      </c>
      <c r="G682" s="108">
        <v>2</v>
      </c>
      <c r="H682" s="108">
        <v>0</v>
      </c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  <c r="AD682" s="69"/>
      <c r="AE682" s="69"/>
      <c r="AF682" s="122"/>
    </row>
    <row r="683" spans="1:32" ht="12.75" customHeight="1">
      <c r="A683" s="89"/>
      <c r="B683" s="69"/>
      <c r="C683" s="69" t="s">
        <v>127</v>
      </c>
      <c r="D683" s="69" t="s">
        <v>345</v>
      </c>
      <c r="E683" s="69"/>
      <c r="F683" s="71" t="s">
        <v>10</v>
      </c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122"/>
    </row>
    <row r="684" spans="1:32" ht="12.75" customHeight="1">
      <c r="A684" s="89"/>
      <c r="B684" s="69"/>
      <c r="C684" s="69"/>
      <c r="D684" s="69"/>
      <c r="E684" s="69"/>
      <c r="F684" s="69"/>
      <c r="G684" s="69" t="s">
        <v>561</v>
      </c>
      <c r="H684" s="69"/>
      <c r="I684" s="69"/>
      <c r="J684" s="69"/>
      <c r="K684" s="69"/>
      <c r="L684" s="142" t="s">
        <v>102</v>
      </c>
      <c r="M684" s="142"/>
      <c r="N684" s="142"/>
      <c r="O684" s="142"/>
      <c r="P684" s="142"/>
      <c r="Q684" s="131"/>
      <c r="R684" s="131" t="s">
        <v>562</v>
      </c>
      <c r="S684" s="131"/>
      <c r="T684" s="131"/>
      <c r="U684" s="131"/>
      <c r="V684" s="142" t="s">
        <v>106</v>
      </c>
      <c r="W684" s="142"/>
      <c r="X684" s="142"/>
      <c r="Y684" s="142"/>
      <c r="Z684" s="142"/>
      <c r="AA684" s="69"/>
      <c r="AB684" s="69"/>
      <c r="AC684" s="69"/>
      <c r="AD684" s="69"/>
      <c r="AE684" s="69"/>
      <c r="AF684" s="122"/>
    </row>
    <row r="685" spans="1:32" ht="12.75" customHeight="1">
      <c r="A685" s="89"/>
      <c r="B685" s="69"/>
      <c r="C685" s="69"/>
      <c r="D685" s="69"/>
      <c r="E685" s="69"/>
      <c r="F685" s="69"/>
      <c r="G685" s="69" t="s">
        <v>563</v>
      </c>
      <c r="H685" s="69"/>
      <c r="I685" s="69"/>
      <c r="J685" s="69"/>
      <c r="K685" s="69"/>
      <c r="L685" s="142" t="s">
        <v>104</v>
      </c>
      <c r="M685" s="142"/>
      <c r="N685" s="142"/>
      <c r="O685" s="142"/>
      <c r="P685" s="142"/>
      <c r="Q685" s="131"/>
      <c r="R685" s="131" t="s">
        <v>417</v>
      </c>
      <c r="S685" s="131"/>
      <c r="T685" s="131"/>
      <c r="U685" s="131"/>
      <c r="V685" s="142" t="s">
        <v>418</v>
      </c>
      <c r="W685" s="142"/>
      <c r="X685" s="142"/>
      <c r="Y685" s="142"/>
      <c r="Z685" s="142"/>
      <c r="AA685" s="69"/>
      <c r="AB685" s="69"/>
      <c r="AC685" s="69"/>
      <c r="AD685" s="69"/>
      <c r="AE685" s="69"/>
      <c r="AF685" s="122"/>
    </row>
    <row r="686" spans="1:32" ht="12.75" customHeight="1">
      <c r="A686" s="89"/>
      <c r="B686" s="138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125"/>
      <c r="AE686" s="125"/>
      <c r="AF686" s="127"/>
    </row>
    <row r="687" spans="1:32" ht="12.75" customHeight="1">
      <c r="A687" s="89"/>
      <c r="B687" s="69"/>
      <c r="C687" s="128" t="s">
        <v>572</v>
      </c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  <c r="AD687" s="69"/>
      <c r="AE687" s="69"/>
      <c r="AF687" s="122"/>
    </row>
    <row r="688" spans="1:32" ht="12.75" customHeight="1">
      <c r="A688" s="89"/>
      <c r="B688" s="69"/>
      <c r="C688" s="69" t="s">
        <v>111</v>
      </c>
      <c r="D688" s="69" t="s">
        <v>340</v>
      </c>
      <c r="E688" s="69"/>
      <c r="F688" s="71" t="s">
        <v>10</v>
      </c>
      <c r="G688" s="108">
        <v>3</v>
      </c>
      <c r="H688" s="108">
        <v>3</v>
      </c>
      <c r="I688" s="108">
        <v>2</v>
      </c>
      <c r="J688" s="108">
        <v>7</v>
      </c>
      <c r="K688" s="108">
        <v>0</v>
      </c>
      <c r="L688" s="108">
        <v>4</v>
      </c>
      <c r="M688" s="108">
        <v>0</v>
      </c>
      <c r="N688" s="108">
        <v>1</v>
      </c>
      <c r="O688" s="108">
        <v>0</v>
      </c>
      <c r="P688" s="108">
        <v>7</v>
      </c>
      <c r="Q688" s="108">
        <v>6</v>
      </c>
      <c r="R688" s="108">
        <v>3</v>
      </c>
      <c r="S688" s="108">
        <v>0</v>
      </c>
      <c r="T688" s="108">
        <v>4</v>
      </c>
      <c r="U688" s="108">
        <v>7</v>
      </c>
      <c r="V688" s="108">
        <v>0</v>
      </c>
      <c r="W688" s="109"/>
      <c r="X688" s="69"/>
      <c r="Y688" s="69"/>
      <c r="Z688" s="69"/>
      <c r="AA688" s="69"/>
      <c r="AB688" s="69"/>
      <c r="AC688" s="69"/>
      <c r="AD688" s="69"/>
      <c r="AE688" s="69"/>
      <c r="AF688" s="122"/>
    </row>
    <row r="689" spans="1:32" ht="12.75" customHeight="1">
      <c r="A689" s="89"/>
      <c r="B689" s="69"/>
      <c r="C689" s="69" t="s">
        <v>115</v>
      </c>
      <c r="D689" s="69" t="s">
        <v>391</v>
      </c>
      <c r="E689" s="69"/>
      <c r="F689" s="71" t="s">
        <v>10</v>
      </c>
      <c r="G689" s="108" t="s">
        <v>484</v>
      </c>
      <c r="H689" s="108" t="s">
        <v>467</v>
      </c>
      <c r="I689" s="108" t="s">
        <v>485</v>
      </c>
      <c r="J689" s="108" t="s">
        <v>464</v>
      </c>
      <c r="K689" s="108" t="s">
        <v>468</v>
      </c>
      <c r="L689" s="108" t="s">
        <v>484</v>
      </c>
      <c r="M689" s="108" t="s">
        <v>477</v>
      </c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  <c r="AF689" s="122"/>
    </row>
    <row r="690" spans="1:32" ht="12.75" customHeight="1">
      <c r="A690" s="89"/>
      <c r="B690" s="69"/>
      <c r="C690" s="69" t="s">
        <v>118</v>
      </c>
      <c r="D690" s="69" t="s">
        <v>359</v>
      </c>
      <c r="E690" s="69"/>
      <c r="F690" s="71" t="s">
        <v>10</v>
      </c>
      <c r="G690" s="108">
        <v>5</v>
      </c>
      <c r="H690" s="108">
        <v>4</v>
      </c>
      <c r="I690" s="69"/>
      <c r="J690" s="69" t="s">
        <v>399</v>
      </c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  <c r="AD690" s="69"/>
      <c r="AE690" s="69"/>
      <c r="AF690" s="122"/>
    </row>
    <row r="691" spans="1:32" ht="12.75" customHeight="1">
      <c r="A691" s="89"/>
      <c r="B691" s="69"/>
      <c r="C691" s="69" t="s">
        <v>121</v>
      </c>
      <c r="D691" s="69" t="s">
        <v>128</v>
      </c>
      <c r="E691" s="69"/>
      <c r="F691" s="71" t="s">
        <v>10</v>
      </c>
      <c r="G691" s="108">
        <v>2</v>
      </c>
      <c r="H691" s="108">
        <v>0</v>
      </c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  <c r="AD691" s="69"/>
      <c r="AE691" s="69"/>
      <c r="AF691" s="122"/>
    </row>
    <row r="692" spans="1:32" ht="12.75" customHeight="1">
      <c r="A692" s="89"/>
      <c r="B692" s="69"/>
      <c r="C692" s="69" t="s">
        <v>124</v>
      </c>
      <c r="D692" s="69" t="s">
        <v>345</v>
      </c>
      <c r="E692" s="69"/>
      <c r="F692" s="71" t="s">
        <v>10</v>
      </c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122"/>
    </row>
    <row r="693" spans="1:32" ht="12.75" customHeight="1">
      <c r="A693" s="89"/>
      <c r="B693" s="69"/>
      <c r="C693" s="69"/>
      <c r="D693" s="69"/>
      <c r="E693" s="69"/>
      <c r="F693" s="71"/>
      <c r="G693" s="69" t="s">
        <v>561</v>
      </c>
      <c r="H693" s="69"/>
      <c r="I693" s="69"/>
      <c r="J693" s="69"/>
      <c r="K693" s="69"/>
      <c r="L693" s="142" t="s">
        <v>102</v>
      </c>
      <c r="M693" s="142"/>
      <c r="N693" s="142"/>
      <c r="O693" s="142"/>
      <c r="P693" s="142"/>
      <c r="Q693" s="69"/>
      <c r="R693" s="69" t="s">
        <v>562</v>
      </c>
      <c r="S693" s="69"/>
      <c r="T693" s="69"/>
      <c r="U693" s="69"/>
      <c r="V693" s="142" t="s">
        <v>106</v>
      </c>
      <c r="W693" s="142"/>
      <c r="X693" s="142"/>
      <c r="Y693" s="142"/>
      <c r="Z693" s="142"/>
      <c r="AA693" s="69"/>
      <c r="AB693" s="69"/>
      <c r="AC693" s="69"/>
      <c r="AD693" s="69"/>
      <c r="AE693" s="69"/>
      <c r="AF693" s="122"/>
    </row>
    <row r="694" spans="1:32" ht="12.75" customHeight="1">
      <c r="A694" s="89"/>
      <c r="B694" s="69"/>
      <c r="C694" s="69"/>
      <c r="D694" s="69"/>
      <c r="E694" s="69"/>
      <c r="F694" s="69"/>
      <c r="G694" s="69" t="s">
        <v>563</v>
      </c>
      <c r="H694" s="69"/>
      <c r="I694" s="69"/>
      <c r="J694" s="69"/>
      <c r="K694" s="69"/>
      <c r="L694" s="142" t="s">
        <v>104</v>
      </c>
      <c r="M694" s="142"/>
      <c r="N694" s="142"/>
      <c r="O694" s="142"/>
      <c r="P694" s="142"/>
      <c r="Q694" s="69"/>
      <c r="R694" s="69" t="s">
        <v>417</v>
      </c>
      <c r="S694" s="69"/>
      <c r="T694" s="69"/>
      <c r="U694" s="69"/>
      <c r="V694" s="142" t="s">
        <v>418</v>
      </c>
      <c r="W694" s="142"/>
      <c r="X694" s="142"/>
      <c r="Y694" s="142"/>
      <c r="Z694" s="142"/>
      <c r="AA694" s="69"/>
      <c r="AB694" s="69"/>
      <c r="AC694" s="69"/>
      <c r="AD694" s="69"/>
      <c r="AE694" s="69"/>
      <c r="AF694" s="122"/>
    </row>
    <row r="695" spans="1:32" ht="12.75" customHeight="1">
      <c r="A695" s="89"/>
      <c r="B695" s="138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D695" s="125"/>
      <c r="AE695" s="125"/>
      <c r="AF695" s="127"/>
    </row>
    <row r="696" spans="1:32" ht="12.75" customHeight="1">
      <c r="A696" s="89"/>
      <c r="B696" s="69"/>
      <c r="C696" s="128" t="s">
        <v>472</v>
      </c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  <c r="AD696" s="69"/>
      <c r="AE696" s="69"/>
      <c r="AF696" s="122"/>
    </row>
    <row r="697" spans="1:32" ht="12.75" customHeight="1">
      <c r="A697" s="89"/>
      <c r="B697" s="69"/>
      <c r="C697" s="69" t="s">
        <v>111</v>
      </c>
      <c r="D697" s="69" t="s">
        <v>340</v>
      </c>
      <c r="E697" s="69"/>
      <c r="F697" s="71" t="s">
        <v>10</v>
      </c>
      <c r="G697" s="108">
        <v>3</v>
      </c>
      <c r="H697" s="108">
        <v>3</v>
      </c>
      <c r="I697" s="108">
        <v>2</v>
      </c>
      <c r="J697" s="108">
        <v>7</v>
      </c>
      <c r="K697" s="108">
        <v>0</v>
      </c>
      <c r="L697" s="108">
        <v>4</v>
      </c>
      <c r="M697" s="108">
        <v>0</v>
      </c>
      <c r="N697" s="108">
        <v>1</v>
      </c>
      <c r="O697" s="108">
        <v>0</v>
      </c>
      <c r="P697" s="108">
        <v>7</v>
      </c>
      <c r="Q697" s="108">
        <v>7</v>
      </c>
      <c r="R697" s="108">
        <v>9</v>
      </c>
      <c r="S697" s="108">
        <v>0</v>
      </c>
      <c r="T697" s="108">
        <v>2</v>
      </c>
      <c r="U697" s="108">
        <v>8</v>
      </c>
      <c r="V697" s="108">
        <v>9</v>
      </c>
      <c r="W697" s="108"/>
      <c r="X697" s="69"/>
      <c r="Y697" s="69"/>
      <c r="Z697" s="69"/>
      <c r="AA697" s="69"/>
      <c r="AB697" s="69"/>
      <c r="AC697" s="69"/>
      <c r="AD697" s="69"/>
      <c r="AE697" s="69"/>
      <c r="AF697" s="122"/>
    </row>
    <row r="698" spans="1:32" ht="12.75" customHeight="1">
      <c r="A698" s="89"/>
      <c r="B698" s="69"/>
      <c r="C698" s="69" t="s">
        <v>115</v>
      </c>
      <c r="D698" s="69" t="s">
        <v>391</v>
      </c>
      <c r="E698" s="69"/>
      <c r="F698" s="71" t="s">
        <v>10</v>
      </c>
      <c r="G698" s="108" t="s">
        <v>465</v>
      </c>
      <c r="H698" s="108" t="s">
        <v>469</v>
      </c>
      <c r="I698" s="108" t="s">
        <v>468</v>
      </c>
      <c r="J698" s="108" t="s">
        <v>484</v>
      </c>
      <c r="K698" s="108" t="s">
        <v>477</v>
      </c>
      <c r="L698" s="108" t="s">
        <v>485</v>
      </c>
      <c r="M698" s="108" t="s">
        <v>477</v>
      </c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22"/>
    </row>
    <row r="699" spans="1:32" ht="12.75" customHeight="1">
      <c r="A699" s="89"/>
      <c r="B699" s="69"/>
      <c r="C699" s="69" t="s">
        <v>118</v>
      </c>
      <c r="D699" s="69" t="s">
        <v>359</v>
      </c>
      <c r="E699" s="69"/>
      <c r="F699" s="71" t="s">
        <v>10</v>
      </c>
      <c r="G699" s="108">
        <v>3</v>
      </c>
      <c r="H699" s="108">
        <v>8</v>
      </c>
      <c r="I699" s="69"/>
      <c r="J699" s="69" t="s">
        <v>399</v>
      </c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  <c r="AD699" s="69"/>
      <c r="AE699" s="69"/>
      <c r="AF699" s="122"/>
    </row>
    <row r="700" spans="1:32" ht="12.75" customHeight="1">
      <c r="A700" s="89"/>
      <c r="B700" s="69"/>
      <c r="C700" s="69" t="s">
        <v>121</v>
      </c>
      <c r="D700" s="69" t="s">
        <v>128</v>
      </c>
      <c r="E700" s="69"/>
      <c r="F700" s="71" t="s">
        <v>10</v>
      </c>
      <c r="G700" s="108">
        <v>2</v>
      </c>
      <c r="H700" s="108">
        <v>0</v>
      </c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  <c r="AD700" s="69"/>
      <c r="AE700" s="69"/>
      <c r="AF700" s="122"/>
    </row>
    <row r="701" spans="1:32" ht="12.75" customHeight="1">
      <c r="A701" s="89"/>
      <c r="B701" s="69"/>
      <c r="C701" s="69" t="s">
        <v>124</v>
      </c>
      <c r="D701" s="69" t="s">
        <v>345</v>
      </c>
      <c r="E701" s="69"/>
      <c r="F701" s="71" t="s">
        <v>10</v>
      </c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122"/>
    </row>
    <row r="702" spans="1:32" ht="12.75" customHeight="1">
      <c r="A702" s="89"/>
      <c r="B702" s="69"/>
      <c r="C702" s="69"/>
      <c r="D702" s="69"/>
      <c r="E702" s="69"/>
      <c r="F702" s="69"/>
      <c r="G702" s="69" t="s">
        <v>561</v>
      </c>
      <c r="H702" s="69"/>
      <c r="I702" s="69"/>
      <c r="J702" s="69"/>
      <c r="K702" s="69"/>
      <c r="L702" s="142" t="s">
        <v>102</v>
      </c>
      <c r="M702" s="142"/>
      <c r="N702" s="142"/>
      <c r="O702" s="142"/>
      <c r="P702" s="142"/>
      <c r="Q702" s="69"/>
      <c r="R702" s="69" t="s">
        <v>562</v>
      </c>
      <c r="S702" s="69"/>
      <c r="T702" s="69"/>
      <c r="U702" s="69"/>
      <c r="V702" s="142" t="s">
        <v>106</v>
      </c>
      <c r="W702" s="142"/>
      <c r="X702" s="142"/>
      <c r="Y702" s="142"/>
      <c r="Z702" s="142"/>
      <c r="AA702" s="69"/>
      <c r="AB702" s="69"/>
      <c r="AC702" s="69"/>
      <c r="AD702" s="69"/>
      <c r="AE702" s="69"/>
      <c r="AF702" s="122"/>
    </row>
    <row r="703" spans="1:32" ht="12.75" customHeight="1">
      <c r="A703" s="89"/>
      <c r="B703" s="69"/>
      <c r="C703" s="69"/>
      <c r="D703" s="69"/>
      <c r="E703" s="69"/>
      <c r="F703" s="69"/>
      <c r="G703" s="69" t="s">
        <v>563</v>
      </c>
      <c r="H703" s="69"/>
      <c r="I703" s="69"/>
      <c r="J703" s="69"/>
      <c r="K703" s="69"/>
      <c r="L703" s="142" t="s">
        <v>104</v>
      </c>
      <c r="M703" s="142"/>
      <c r="N703" s="142"/>
      <c r="O703" s="142"/>
      <c r="P703" s="142"/>
      <c r="Q703" s="69"/>
      <c r="R703" s="69" t="s">
        <v>417</v>
      </c>
      <c r="S703" s="69"/>
      <c r="T703" s="69"/>
      <c r="U703" s="69"/>
      <c r="V703" s="142" t="s">
        <v>418</v>
      </c>
      <c r="W703" s="142"/>
      <c r="X703" s="142"/>
      <c r="Y703" s="142"/>
      <c r="Z703" s="142"/>
      <c r="AA703" s="69"/>
      <c r="AB703" s="69"/>
      <c r="AC703" s="69"/>
      <c r="AD703" s="69"/>
      <c r="AE703" s="69"/>
      <c r="AF703" s="122"/>
    </row>
    <row r="704" spans="1:32" ht="12.75" customHeight="1">
      <c r="A704" s="89"/>
      <c r="B704" s="138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D704" s="125"/>
      <c r="AE704" s="125"/>
      <c r="AF704" s="127"/>
    </row>
    <row r="705" spans="2:32" ht="12.75" customHeight="1"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  <c r="AD705" s="69"/>
      <c r="AE705" s="69"/>
      <c r="AF705" s="69"/>
    </row>
    <row r="706" spans="2:32" ht="12.75" customHeight="1"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 t="s">
        <v>604</v>
      </c>
      <c r="X706" s="69"/>
      <c r="Y706" s="69"/>
      <c r="Z706" s="69"/>
      <c r="AA706" s="69"/>
      <c r="AB706" s="69"/>
      <c r="AC706" s="69"/>
      <c r="AD706" s="69"/>
      <c r="AE706" s="69"/>
      <c r="AF706" s="69"/>
    </row>
    <row r="707" spans="2:32" ht="12.75" customHeight="1"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  <c r="AD707" s="69"/>
      <c r="AE707" s="69"/>
      <c r="AF707" s="69"/>
    </row>
    <row r="708" spans="2:32" ht="12.75" customHeight="1">
      <c r="B708" s="69"/>
      <c r="C708" s="69"/>
      <c r="D708" s="69"/>
      <c r="E708" s="69"/>
      <c r="F708" s="69"/>
      <c r="G708" s="69" t="s">
        <v>588</v>
      </c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 t="s">
        <v>481</v>
      </c>
      <c r="X708" s="69"/>
      <c r="Y708" s="69"/>
      <c r="Z708" s="69"/>
      <c r="AA708" s="69"/>
      <c r="AB708" s="69"/>
      <c r="AC708" s="69"/>
      <c r="AD708" s="69"/>
      <c r="AE708" s="69"/>
      <c r="AF708" s="69"/>
    </row>
    <row r="709" spans="2:32" ht="12.75" customHeight="1">
      <c r="B709" s="69"/>
      <c r="C709" s="69"/>
      <c r="D709" s="69"/>
      <c r="E709" s="69"/>
      <c r="F709" s="69" t="s">
        <v>597</v>
      </c>
      <c r="G709" s="69" t="s">
        <v>274</v>
      </c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  <c r="AD709" s="69"/>
      <c r="AE709" s="69"/>
      <c r="AF709" s="69"/>
    </row>
    <row r="710" spans="2:32" ht="12.75" customHeight="1">
      <c r="B710" s="69"/>
      <c r="C710" s="69"/>
      <c r="D710" s="69"/>
      <c r="E710" s="69"/>
      <c r="F710" s="69"/>
      <c r="G710" s="69" t="s">
        <v>598</v>
      </c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  <c r="AD710" s="69"/>
      <c r="AE710" s="69"/>
      <c r="AF710" s="69"/>
    </row>
    <row r="711" spans="2:32" ht="12.75" customHeight="1"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  <c r="AD711" s="69"/>
      <c r="AE711" s="69"/>
      <c r="AF711" s="69"/>
    </row>
    <row r="712" spans="2:32" ht="12.75" customHeight="1"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  <c r="AD712" s="69"/>
      <c r="AE712" s="69"/>
      <c r="AF712" s="69"/>
    </row>
    <row r="713" spans="2:32" ht="12.75" customHeight="1"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  <c r="AD713" s="69"/>
      <c r="AE713" s="69"/>
      <c r="AF713" s="69"/>
    </row>
    <row r="714" spans="2:32" ht="12.75" customHeight="1">
      <c r="B714" s="69"/>
      <c r="C714" s="69"/>
      <c r="D714" s="69"/>
      <c r="E714" s="69"/>
      <c r="F714" s="69"/>
      <c r="G714" s="69" t="s">
        <v>366</v>
      </c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 t="s">
        <v>605</v>
      </c>
      <c r="X714" s="69"/>
      <c r="Y714" s="69"/>
      <c r="Z714" s="69"/>
      <c r="AA714" s="69"/>
      <c r="AB714" s="69"/>
      <c r="AC714" s="69"/>
      <c r="AD714" s="69"/>
      <c r="AE714" s="69"/>
      <c r="AF714" s="69"/>
    </row>
    <row r="715" spans="2:32" ht="12.75" customHeight="1"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  <c r="AD715" s="69"/>
      <c r="AE715" s="69"/>
      <c r="AF715" s="69"/>
    </row>
    <row r="716" spans="2:32" ht="12.75" customHeight="1"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  <c r="AD716" s="69"/>
      <c r="AE716" s="69"/>
      <c r="AF716" s="69"/>
    </row>
    <row r="717" spans="2:32" ht="12.75" customHeight="1"/>
    <row r="718" spans="2:32" ht="12.75" customHeight="1"/>
    <row r="719" spans="2:32" ht="12.75" customHeight="1"/>
    <row r="720" spans="2:32" ht="12.75" customHeight="1"/>
    <row r="721" spans="2:32" ht="12.75" customHeight="1"/>
    <row r="722" spans="2:32" ht="12.75" customHeight="1"/>
    <row r="723" spans="2:32" ht="12.75" customHeight="1"/>
    <row r="724" spans="2:32" ht="12.75" customHeight="1">
      <c r="E724" s="69"/>
      <c r="Z724" s="139" t="s">
        <v>529</v>
      </c>
      <c r="AA724" s="139"/>
      <c r="AB724" s="139"/>
      <c r="AC724" s="139"/>
    </row>
    <row r="725" spans="2:32" ht="12.75" customHeight="1">
      <c r="B725" s="69"/>
      <c r="C725" s="69" t="s">
        <v>332</v>
      </c>
      <c r="D725" s="69"/>
      <c r="E725" s="69"/>
      <c r="F725" s="71" t="s">
        <v>10</v>
      </c>
      <c r="G725" s="69" t="s">
        <v>102</v>
      </c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 t="s">
        <v>530</v>
      </c>
      <c r="W725" s="69" t="s">
        <v>372</v>
      </c>
      <c r="X725" s="69"/>
      <c r="Y725" s="69" t="s">
        <v>10</v>
      </c>
      <c r="Z725" s="69" t="s">
        <v>373</v>
      </c>
      <c r="AA725" s="69"/>
      <c r="AB725" s="69"/>
      <c r="AC725" s="69"/>
      <c r="AD725" s="69"/>
      <c r="AE725" s="69"/>
      <c r="AF725" s="69"/>
    </row>
    <row r="726" spans="2:32" ht="12.75" customHeight="1">
      <c r="B726" s="69"/>
      <c r="C726" s="69" t="s">
        <v>331</v>
      </c>
      <c r="D726" s="69"/>
      <c r="E726" s="69"/>
      <c r="F726" s="71" t="s">
        <v>10</v>
      </c>
      <c r="G726" s="69" t="s">
        <v>104</v>
      </c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 t="s">
        <v>375</v>
      </c>
      <c r="X726" s="69"/>
      <c r="Y726" s="69" t="s">
        <v>10</v>
      </c>
      <c r="Z726" s="69" t="s">
        <v>332</v>
      </c>
      <c r="AA726" s="69"/>
      <c r="AB726" s="69"/>
      <c r="AC726" s="69"/>
      <c r="AD726" s="69"/>
      <c r="AE726" s="69"/>
      <c r="AF726" s="69"/>
    </row>
    <row r="727" spans="2:32" ht="12.75" customHeight="1">
      <c r="B727" s="69"/>
      <c r="C727" s="69" t="s">
        <v>330</v>
      </c>
      <c r="D727" s="69"/>
      <c r="E727" s="69"/>
      <c r="F727" s="71" t="s">
        <v>10</v>
      </c>
      <c r="G727" s="69" t="s">
        <v>106</v>
      </c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 t="s">
        <v>379</v>
      </c>
      <c r="X727" s="69"/>
      <c r="Y727" s="69" t="s">
        <v>10</v>
      </c>
      <c r="Z727" s="69" t="s">
        <v>331</v>
      </c>
      <c r="AA727" s="69"/>
      <c r="AB727" s="69"/>
      <c r="AC727" s="69"/>
      <c r="AD727" s="69"/>
      <c r="AE727" s="69"/>
      <c r="AF727" s="69"/>
    </row>
    <row r="728" spans="2:32" ht="12.75" customHeight="1">
      <c r="B728" s="69"/>
      <c r="C728" s="69"/>
      <c r="D728" s="69"/>
      <c r="E728" s="69"/>
      <c r="F728" s="71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  <c r="AD728" s="69"/>
      <c r="AE728" s="69"/>
      <c r="AF728" s="69"/>
    </row>
    <row r="729" spans="2:32" ht="12.75" customHeight="1">
      <c r="B729" s="69"/>
      <c r="C729" s="69" t="s">
        <v>381</v>
      </c>
      <c r="D729" s="69"/>
      <c r="E729" s="69"/>
      <c r="F729" s="71" t="s">
        <v>10</v>
      </c>
      <c r="G729" s="108">
        <v>3</v>
      </c>
      <c r="H729" s="108">
        <v>3</v>
      </c>
      <c r="I729" s="108">
        <v>2</v>
      </c>
      <c r="J729" s="108">
        <v>7</v>
      </c>
      <c r="K729" s="108">
        <v>0</v>
      </c>
      <c r="L729" s="108">
        <v>4</v>
      </c>
      <c r="M729" s="108">
        <v>0</v>
      </c>
      <c r="N729" s="108">
        <v>1</v>
      </c>
      <c r="O729" s="108">
        <v>1</v>
      </c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  <c r="AD729" s="69"/>
      <c r="AE729" s="69"/>
      <c r="AF729" s="69"/>
    </row>
    <row r="730" spans="2:32" ht="12.75" customHeight="1">
      <c r="B730" s="69"/>
      <c r="C730" s="69"/>
      <c r="D730" s="69"/>
      <c r="E730" s="69"/>
      <c r="F730" s="71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  <c r="AD730" s="69"/>
      <c r="AE730" s="69"/>
      <c r="AF730" s="69"/>
    </row>
    <row r="731" spans="2:32" ht="12.75" customHeight="1"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  <c r="AD731" s="69"/>
      <c r="AE731" s="69"/>
      <c r="AF731" s="69"/>
    </row>
    <row r="732" spans="2:32" ht="12.75" customHeight="1">
      <c r="B732" s="69"/>
      <c r="C732" s="1" t="s">
        <v>531</v>
      </c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2:32" ht="12.75" customHeight="1"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  <c r="AD733" s="69"/>
      <c r="AE733" s="69"/>
      <c r="AF733" s="69"/>
    </row>
    <row r="734" spans="2:32" ht="12.75" customHeight="1">
      <c r="B734" s="69"/>
      <c r="C734" s="69" t="s">
        <v>385</v>
      </c>
      <c r="D734" s="69"/>
      <c r="E734" s="69"/>
      <c r="F734" s="71" t="s">
        <v>10</v>
      </c>
      <c r="G734" s="108" t="s">
        <v>484</v>
      </c>
      <c r="H734" s="108" t="s">
        <v>464</v>
      </c>
      <c r="I734" s="108" t="s">
        <v>475</v>
      </c>
      <c r="J734" s="108" t="s">
        <v>469</v>
      </c>
      <c r="K734" s="108" t="s">
        <v>468</v>
      </c>
      <c r="L734" s="108" t="s">
        <v>469</v>
      </c>
      <c r="M734" s="108" t="s">
        <v>485</v>
      </c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69"/>
    </row>
    <row r="735" spans="2:32" ht="12.75" customHeight="1">
      <c r="B735" s="69"/>
      <c r="C735" s="69" t="s">
        <v>387</v>
      </c>
      <c r="D735" s="69"/>
      <c r="E735" s="69"/>
      <c r="F735" s="71" t="s">
        <v>10</v>
      </c>
      <c r="G735" s="108">
        <v>3</v>
      </c>
      <c r="H735" s="108">
        <v>3</v>
      </c>
      <c r="I735" s="108">
        <v>2</v>
      </c>
      <c r="J735" s="108">
        <v>7</v>
      </c>
      <c r="K735" s="108">
        <v>0</v>
      </c>
      <c r="L735" s="108">
        <v>4</v>
      </c>
      <c r="M735" s="108">
        <v>0</v>
      </c>
      <c r="N735" s="108">
        <v>8</v>
      </c>
      <c r="O735" s="108">
        <v>1</v>
      </c>
      <c r="P735" s="108">
        <v>2</v>
      </c>
      <c r="Q735" s="108">
        <v>1</v>
      </c>
      <c r="R735" s="108">
        <v>0</v>
      </c>
      <c r="S735" s="108">
        <v>0</v>
      </c>
      <c r="T735" s="108">
        <v>0</v>
      </c>
      <c r="U735" s="108">
        <v>1</v>
      </c>
      <c r="V735" s="108">
        <v>3</v>
      </c>
      <c r="W735" s="109"/>
      <c r="X735" s="109"/>
      <c r="Y735" s="109"/>
      <c r="Z735" s="69"/>
      <c r="AA735" s="69"/>
      <c r="AB735" s="69"/>
      <c r="AC735" s="69"/>
      <c r="AD735" s="69"/>
      <c r="AE735" s="69"/>
      <c r="AF735" s="69"/>
    </row>
    <row r="736" spans="2:32" ht="12.75" customHeight="1"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D736" s="125"/>
      <c r="AE736" s="125"/>
      <c r="AF736" s="125"/>
    </row>
    <row r="737" spans="1:32" ht="12.75" customHeight="1">
      <c r="A737" s="89"/>
      <c r="B737" s="69"/>
      <c r="C737" s="128" t="s">
        <v>532</v>
      </c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  <c r="AD737" s="69"/>
      <c r="AE737" s="69"/>
      <c r="AF737" s="124"/>
    </row>
    <row r="738" spans="1:32" ht="12.75" customHeight="1">
      <c r="A738" s="8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  <c r="AD738" s="69"/>
      <c r="AE738" s="69"/>
      <c r="AF738" s="122"/>
    </row>
    <row r="739" spans="1:32" ht="12.75" customHeight="1">
      <c r="A739" s="89"/>
      <c r="B739" s="69"/>
      <c r="C739" s="69" t="s">
        <v>111</v>
      </c>
      <c r="D739" s="69" t="s">
        <v>533</v>
      </c>
      <c r="E739" s="69"/>
      <c r="F739" s="71" t="s">
        <v>10</v>
      </c>
      <c r="G739" s="108" t="s">
        <v>463</v>
      </c>
      <c r="H739" s="108" t="s">
        <v>488</v>
      </c>
      <c r="I739" s="108" t="s">
        <v>474</v>
      </c>
      <c r="J739" s="108" t="s">
        <v>469</v>
      </c>
      <c r="K739" s="108" t="s">
        <v>464</v>
      </c>
      <c r="L739" s="108" t="s">
        <v>485</v>
      </c>
      <c r="M739" s="108" t="s">
        <v>476</v>
      </c>
      <c r="N739" s="108" t="s">
        <v>469</v>
      </c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  <c r="AF739" s="122"/>
    </row>
    <row r="740" spans="1:32" ht="12.75" customHeight="1">
      <c r="A740" s="89"/>
      <c r="B740" s="69"/>
      <c r="C740" s="69" t="s">
        <v>115</v>
      </c>
      <c r="D740" s="69" t="s">
        <v>285</v>
      </c>
      <c r="E740" s="69"/>
      <c r="F740" s="71" t="s">
        <v>10</v>
      </c>
      <c r="G740" s="108">
        <v>2</v>
      </c>
      <c r="H740" s="69" t="s">
        <v>534</v>
      </c>
      <c r="I740" s="69"/>
      <c r="J740" s="69"/>
      <c r="K740" s="69"/>
      <c r="L740" s="69" t="s">
        <v>394</v>
      </c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  <c r="AD740" s="69"/>
      <c r="AE740" s="69"/>
      <c r="AF740" s="122"/>
    </row>
    <row r="741" spans="1:32" ht="12.75" customHeight="1">
      <c r="A741" s="89"/>
      <c r="B741" s="69"/>
      <c r="C741" s="69" t="s">
        <v>118</v>
      </c>
      <c r="D741" s="69" t="s">
        <v>596</v>
      </c>
      <c r="E741" s="69"/>
      <c r="F741" s="71" t="s">
        <v>10</v>
      </c>
      <c r="G741" s="129">
        <v>4</v>
      </c>
      <c r="H741" s="69" t="s">
        <v>536</v>
      </c>
      <c r="I741" s="69"/>
      <c r="J741" s="69"/>
      <c r="K741" s="69"/>
      <c r="L741" s="69" t="s">
        <v>537</v>
      </c>
      <c r="M741" s="69"/>
      <c r="N741" s="69"/>
      <c r="O741" s="69"/>
      <c r="P741" s="69" t="s">
        <v>538</v>
      </c>
      <c r="Q741" s="69"/>
      <c r="R741" s="69"/>
      <c r="S741" s="69"/>
      <c r="T741" s="69" t="s">
        <v>539</v>
      </c>
      <c r="U741" s="69"/>
      <c r="V741" s="69"/>
      <c r="W741" s="69"/>
      <c r="X741" s="69"/>
      <c r="Y741" s="69" t="s">
        <v>540</v>
      </c>
      <c r="Z741" s="69"/>
      <c r="AA741" s="69"/>
      <c r="AB741" s="69"/>
      <c r="AC741" s="69"/>
      <c r="AD741" s="69"/>
      <c r="AE741" s="69"/>
      <c r="AF741" s="122"/>
    </row>
    <row r="742" spans="1:32" ht="12.75" customHeight="1">
      <c r="A742" s="89"/>
      <c r="B742" s="69"/>
      <c r="C742" s="69" t="s">
        <v>121</v>
      </c>
      <c r="D742" s="69" t="s">
        <v>541</v>
      </c>
      <c r="E742" s="69"/>
      <c r="F742" s="71" t="s">
        <v>10</v>
      </c>
      <c r="G742" s="108" t="s">
        <v>487</v>
      </c>
      <c r="H742" s="108" t="s">
        <v>488</v>
      </c>
      <c r="I742" s="108" t="s">
        <v>475</v>
      </c>
      <c r="J742" s="108" t="s">
        <v>464</v>
      </c>
      <c r="K742" s="108" t="s">
        <v>474</v>
      </c>
      <c r="L742" s="108" t="s">
        <v>464</v>
      </c>
      <c r="M742" s="108" t="s">
        <v>485</v>
      </c>
      <c r="N742" s="108" t="s">
        <v>489</v>
      </c>
      <c r="O742" s="109"/>
      <c r="P742" s="109"/>
      <c r="Q742" s="109"/>
      <c r="R742" s="109"/>
      <c r="S742" s="109"/>
      <c r="T742" s="109"/>
      <c r="U742" s="109"/>
      <c r="V742" s="109"/>
      <c r="W742" s="69"/>
      <c r="X742" s="69"/>
      <c r="Y742" s="69"/>
      <c r="Z742" s="69"/>
      <c r="AA742" s="69"/>
      <c r="AB742" s="69"/>
      <c r="AC742" s="69"/>
      <c r="AD742" s="69"/>
      <c r="AE742" s="69"/>
      <c r="AF742" s="122"/>
    </row>
    <row r="743" spans="1:32" ht="12.75" customHeight="1">
      <c r="A743" s="89"/>
      <c r="B743" s="69"/>
      <c r="C743" s="69" t="s">
        <v>124</v>
      </c>
      <c r="D743" s="69" t="s">
        <v>542</v>
      </c>
      <c r="E743" s="69"/>
      <c r="F743" s="71" t="s">
        <v>10</v>
      </c>
      <c r="G743" s="69" t="s">
        <v>349</v>
      </c>
      <c r="H743" s="69"/>
      <c r="I743" s="129" t="s">
        <v>484</v>
      </c>
      <c r="J743" s="108" t="s">
        <v>464</v>
      </c>
      <c r="K743" s="108" t="s">
        <v>503</v>
      </c>
      <c r="L743" s="108" t="s">
        <v>476</v>
      </c>
      <c r="M743" s="108" t="s">
        <v>467</v>
      </c>
      <c r="N743" s="108"/>
      <c r="O743" s="71"/>
      <c r="P743" s="71" t="s">
        <v>397</v>
      </c>
      <c r="Q743" s="71"/>
      <c r="R743" s="108">
        <v>1</v>
      </c>
      <c r="S743" s="108">
        <v>8</v>
      </c>
      <c r="T743" s="71"/>
      <c r="U743" s="71" t="s">
        <v>422</v>
      </c>
      <c r="V743" s="71"/>
      <c r="W743" s="108">
        <v>0</v>
      </c>
      <c r="X743" s="108">
        <v>5</v>
      </c>
      <c r="Y743" s="71"/>
      <c r="Z743" s="71" t="s">
        <v>543</v>
      </c>
      <c r="AA743" s="71"/>
      <c r="AB743" s="108">
        <v>2</v>
      </c>
      <c r="AC743" s="108">
        <v>0</v>
      </c>
      <c r="AD743" s="108">
        <v>0</v>
      </c>
      <c r="AE743" s="108">
        <v>1</v>
      </c>
      <c r="AF743" s="122"/>
    </row>
    <row r="744" spans="1:32" ht="12.75" customHeight="1">
      <c r="A744" s="89"/>
      <c r="B744" s="69"/>
      <c r="C744" s="69" t="s">
        <v>127</v>
      </c>
      <c r="D744" s="69" t="s">
        <v>425</v>
      </c>
      <c r="E744" s="69"/>
      <c r="F744" s="71" t="s">
        <v>10</v>
      </c>
      <c r="G744" s="108">
        <v>2</v>
      </c>
      <c r="H744" s="108">
        <v>0</v>
      </c>
      <c r="I744" s="108">
        <v>3</v>
      </c>
      <c r="J744" s="108">
        <v>0</v>
      </c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  <c r="AD744" s="69"/>
      <c r="AE744" s="69"/>
      <c r="AF744" s="122"/>
    </row>
    <row r="745" spans="1:32" ht="12.75" customHeight="1">
      <c r="A745" s="89"/>
      <c r="B745" s="69"/>
      <c r="C745" s="69" t="s">
        <v>130</v>
      </c>
      <c r="D745" s="69" t="s">
        <v>545</v>
      </c>
      <c r="E745" s="69"/>
      <c r="F745" s="71" t="s">
        <v>10</v>
      </c>
      <c r="G745" s="109" t="s">
        <v>111</v>
      </c>
      <c r="H745" s="69" t="s">
        <v>546</v>
      </c>
      <c r="I745" s="69"/>
      <c r="J745" s="69"/>
      <c r="K745" s="69"/>
      <c r="L745" s="69" t="s">
        <v>547</v>
      </c>
      <c r="M745" s="69"/>
      <c r="N745" s="69"/>
      <c r="O745" s="69"/>
      <c r="P745" s="69" t="s">
        <v>548</v>
      </c>
      <c r="Q745" s="69"/>
      <c r="R745" s="69"/>
      <c r="S745" s="69"/>
      <c r="T745" s="69" t="s">
        <v>549</v>
      </c>
      <c r="U745" s="69"/>
      <c r="V745" s="69"/>
      <c r="W745" s="69"/>
      <c r="X745" s="69"/>
      <c r="Y745" s="69" t="s">
        <v>540</v>
      </c>
      <c r="Z745" s="69"/>
      <c r="AA745" s="69"/>
      <c r="AB745" s="69"/>
      <c r="AC745" s="69"/>
      <c r="AD745" s="69"/>
      <c r="AE745" s="69"/>
      <c r="AF745" s="122"/>
    </row>
    <row r="746" spans="1:32" ht="12.75" customHeight="1">
      <c r="A746" s="89"/>
      <c r="B746" s="69"/>
      <c r="C746" s="69" t="s">
        <v>134</v>
      </c>
      <c r="D746" s="69" t="s">
        <v>550</v>
      </c>
      <c r="E746" s="69"/>
      <c r="F746" s="71" t="s">
        <v>10</v>
      </c>
      <c r="G746" s="109">
        <v>1</v>
      </c>
      <c r="H746" s="69" t="s">
        <v>111</v>
      </c>
      <c r="I746" s="69" t="s">
        <v>115</v>
      </c>
      <c r="J746" s="69" t="s">
        <v>118</v>
      </c>
      <c r="K746" s="69" t="s">
        <v>121</v>
      </c>
      <c r="L746" s="69" t="s">
        <v>551</v>
      </c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  <c r="AD746" s="69"/>
      <c r="AE746" s="69"/>
      <c r="AF746" s="122"/>
    </row>
    <row r="747" spans="1:32" ht="12.75" customHeight="1">
      <c r="A747" s="89"/>
      <c r="B747" s="69"/>
      <c r="C747" s="69" t="s">
        <v>137</v>
      </c>
      <c r="D747" s="69" t="s">
        <v>599</v>
      </c>
      <c r="E747" s="69"/>
      <c r="F747" s="71" t="s">
        <v>10</v>
      </c>
      <c r="G747" s="137">
        <v>2</v>
      </c>
      <c r="H747" s="69" t="s">
        <v>438</v>
      </c>
      <c r="I747" s="69"/>
      <c r="J747" s="69"/>
      <c r="K747" s="69"/>
      <c r="L747" s="69" t="s">
        <v>553</v>
      </c>
      <c r="M747" s="69"/>
      <c r="N747" s="69"/>
      <c r="O747" s="69"/>
      <c r="P747" s="69" t="s">
        <v>554</v>
      </c>
      <c r="Q747" s="69"/>
      <c r="R747" s="69"/>
      <c r="S747" s="69"/>
      <c r="T747" s="69" t="s">
        <v>441</v>
      </c>
      <c r="U747" s="69"/>
      <c r="V747" s="69"/>
      <c r="W747" s="69"/>
      <c r="X747" s="69"/>
      <c r="Z747" s="69"/>
      <c r="AA747" s="69"/>
      <c r="AB747" s="69"/>
      <c r="AC747" s="69"/>
      <c r="AD747" s="69"/>
      <c r="AE747" s="69"/>
      <c r="AF747" s="122"/>
    </row>
    <row r="748" spans="1:32" ht="12.75" customHeight="1">
      <c r="A748" s="89"/>
      <c r="B748" s="69"/>
      <c r="C748" s="69" t="s">
        <v>145</v>
      </c>
      <c r="D748" s="69" t="s">
        <v>555</v>
      </c>
      <c r="E748" s="69"/>
      <c r="F748" s="71" t="s">
        <v>10</v>
      </c>
      <c r="G748" s="108">
        <v>4</v>
      </c>
      <c r="H748" s="108" t="s">
        <v>600</v>
      </c>
      <c r="I748" s="108">
        <v>0</v>
      </c>
      <c r="J748" s="109">
        <v>0</v>
      </c>
      <c r="K748" s="69" t="s">
        <v>601</v>
      </c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  <c r="AD748" s="69"/>
      <c r="AE748" s="69"/>
      <c r="AF748" s="122"/>
    </row>
    <row r="749" spans="1:32" ht="12.75" customHeight="1">
      <c r="A749" s="89"/>
      <c r="B749" s="69"/>
      <c r="C749" s="69" t="s">
        <v>424</v>
      </c>
      <c r="D749" s="69" t="s">
        <v>557</v>
      </c>
      <c r="E749" s="69"/>
      <c r="F749" s="71" t="s">
        <v>10</v>
      </c>
      <c r="G749" s="108">
        <v>4</v>
      </c>
      <c r="H749" s="108">
        <v>5</v>
      </c>
      <c r="I749" s="71" t="s">
        <v>558</v>
      </c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  <c r="AD749" s="69"/>
      <c r="AE749" s="69"/>
      <c r="AF749" s="122"/>
    </row>
    <row r="750" spans="1:32" ht="12.75" customHeight="1">
      <c r="A750" s="89"/>
      <c r="B750" s="138"/>
      <c r="C750" s="125"/>
      <c r="D750" s="125"/>
      <c r="E750" s="125"/>
      <c r="F750" s="126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  <c r="AB750" s="125"/>
      <c r="AC750" s="125"/>
      <c r="AD750" s="125"/>
      <c r="AE750" s="125"/>
      <c r="AF750" s="127"/>
    </row>
    <row r="751" spans="1:32" ht="12.75" customHeight="1">
      <c r="A751" s="89"/>
      <c r="B751" s="69"/>
      <c r="C751" s="128" t="s">
        <v>449</v>
      </c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  <c r="AD751" s="69"/>
      <c r="AE751" s="69"/>
      <c r="AF751" s="122"/>
    </row>
    <row r="752" spans="1:32" ht="12.75" customHeight="1">
      <c r="A752" s="89"/>
      <c r="B752" s="69"/>
      <c r="C752" s="69" t="s">
        <v>111</v>
      </c>
      <c r="D752" s="69" t="s">
        <v>340</v>
      </c>
      <c r="E752" s="69"/>
      <c r="F752" s="71" t="s">
        <v>10</v>
      </c>
      <c r="G752" s="108">
        <v>3</v>
      </c>
      <c r="H752" s="108">
        <v>3</v>
      </c>
      <c r="I752" s="108">
        <v>2</v>
      </c>
      <c r="J752" s="108">
        <v>7</v>
      </c>
      <c r="K752" s="108">
        <v>0</v>
      </c>
      <c r="L752" s="108">
        <v>4</v>
      </c>
      <c r="M752" s="108">
        <v>4</v>
      </c>
      <c r="N752" s="108">
        <v>7</v>
      </c>
      <c r="O752" s="108">
        <v>0</v>
      </c>
      <c r="P752" s="108">
        <v>1</v>
      </c>
      <c r="Q752" s="108">
        <v>8</v>
      </c>
      <c r="R752" s="108">
        <v>2</v>
      </c>
      <c r="S752" s="108">
        <v>0</v>
      </c>
      <c r="T752" s="108">
        <v>0</v>
      </c>
      <c r="U752" s="108">
        <v>0</v>
      </c>
      <c r="V752" s="108">
        <v>5</v>
      </c>
      <c r="W752" s="108"/>
      <c r="X752" s="71"/>
      <c r="Y752" s="71"/>
      <c r="Z752" s="71"/>
      <c r="AA752" s="71"/>
      <c r="AB752" s="71"/>
      <c r="AC752" s="71"/>
      <c r="AD752" s="71"/>
      <c r="AE752" s="71"/>
      <c r="AF752" s="122"/>
    </row>
    <row r="753" spans="1:32" ht="12.75" customHeight="1">
      <c r="A753" s="89"/>
      <c r="B753" s="69"/>
      <c r="C753" s="69" t="s">
        <v>115</v>
      </c>
      <c r="D753" s="69" t="s">
        <v>391</v>
      </c>
      <c r="E753" s="69"/>
      <c r="F753" s="71" t="s">
        <v>10</v>
      </c>
      <c r="G753" s="108" t="s">
        <v>465</v>
      </c>
      <c r="H753" s="108" t="s">
        <v>464</v>
      </c>
      <c r="I753" s="108" t="s">
        <v>468</v>
      </c>
      <c r="J753" s="108" t="s">
        <v>484</v>
      </c>
      <c r="K753" s="108" t="s">
        <v>469</v>
      </c>
      <c r="L753" s="108" t="s">
        <v>485</v>
      </c>
      <c r="M753" s="108" t="s">
        <v>469</v>
      </c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  <c r="AF753" s="122"/>
    </row>
    <row r="754" spans="1:32" ht="12.75" customHeight="1">
      <c r="A754" s="89"/>
      <c r="B754" s="69"/>
      <c r="C754" s="69" t="s">
        <v>118</v>
      </c>
      <c r="D754" s="69" t="s">
        <v>559</v>
      </c>
      <c r="E754" s="69"/>
      <c r="F754" s="71" t="s">
        <v>10</v>
      </c>
      <c r="G754" s="71" t="s">
        <v>397</v>
      </c>
      <c r="H754" s="129">
        <v>0</v>
      </c>
      <c r="I754" s="108">
        <v>7</v>
      </c>
      <c r="J754" s="71"/>
      <c r="K754" s="71" t="s">
        <v>398</v>
      </c>
      <c r="L754" s="108">
        <v>0</v>
      </c>
      <c r="M754" s="108">
        <v>1</v>
      </c>
      <c r="N754" s="71"/>
      <c r="O754" s="71" t="s">
        <v>560</v>
      </c>
      <c r="P754" s="108">
        <v>1</v>
      </c>
      <c r="Q754" s="108">
        <v>9</v>
      </c>
      <c r="R754" s="108">
        <v>8</v>
      </c>
      <c r="S754" s="108">
        <v>2</v>
      </c>
      <c r="T754" s="71"/>
      <c r="U754" s="71" t="s">
        <v>359</v>
      </c>
      <c r="V754" s="71"/>
      <c r="W754" s="108">
        <v>3</v>
      </c>
      <c r="X754" s="108">
        <v>6</v>
      </c>
      <c r="Y754" s="108"/>
      <c r="Z754" s="71"/>
      <c r="AA754" s="71"/>
      <c r="AB754" s="71"/>
      <c r="AC754" s="71"/>
      <c r="AD754" s="71"/>
      <c r="AE754" s="71"/>
      <c r="AF754" s="122"/>
    </row>
    <row r="755" spans="1:32" ht="12.75" customHeight="1">
      <c r="A755" s="89" t="s">
        <v>574</v>
      </c>
      <c r="B755" s="69"/>
      <c r="C755" s="69" t="s">
        <v>121</v>
      </c>
      <c r="D755" s="69" t="s">
        <v>128</v>
      </c>
      <c r="E755" s="69"/>
      <c r="F755" s="71" t="s">
        <v>10</v>
      </c>
      <c r="G755" s="108">
        <v>0</v>
      </c>
      <c r="H755" s="108">
        <v>2</v>
      </c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  <c r="AD755" s="69"/>
      <c r="AE755" s="69"/>
      <c r="AF755" s="122"/>
    </row>
    <row r="756" spans="1:32" ht="12.75" customHeight="1">
      <c r="A756" s="89"/>
      <c r="B756" s="69"/>
      <c r="C756" s="69" t="s">
        <v>124</v>
      </c>
      <c r="D756" s="69" t="s">
        <v>345</v>
      </c>
      <c r="E756" s="69"/>
      <c r="F756" s="71" t="s">
        <v>10</v>
      </c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122"/>
    </row>
    <row r="757" spans="1:32" ht="12.75" customHeight="1">
      <c r="A757" s="89"/>
      <c r="B757" s="69"/>
      <c r="C757" s="69"/>
      <c r="D757" s="69"/>
      <c r="E757" s="69"/>
      <c r="F757" s="71"/>
      <c r="G757" s="69" t="s">
        <v>561</v>
      </c>
      <c r="H757" s="69"/>
      <c r="I757" s="69"/>
      <c r="J757" s="69"/>
      <c r="K757" s="69"/>
      <c r="L757" s="142" t="s">
        <v>102</v>
      </c>
      <c r="M757" s="142"/>
      <c r="N757" s="142"/>
      <c r="O757" s="142"/>
      <c r="P757" s="142"/>
      <c r="Q757" s="131"/>
      <c r="R757" s="131" t="s">
        <v>562</v>
      </c>
      <c r="S757" s="131"/>
      <c r="T757" s="131"/>
      <c r="U757" s="131"/>
      <c r="V757" s="142" t="s">
        <v>106</v>
      </c>
      <c r="W757" s="142"/>
      <c r="X757" s="142"/>
      <c r="Y757" s="142"/>
      <c r="Z757" s="142"/>
      <c r="AA757" s="69"/>
      <c r="AB757" s="69"/>
      <c r="AC757" s="69"/>
      <c r="AD757" s="69"/>
      <c r="AE757" s="69"/>
      <c r="AF757" s="122"/>
    </row>
    <row r="758" spans="1:32" ht="12.75" customHeight="1">
      <c r="A758" s="89"/>
      <c r="B758" s="69"/>
      <c r="C758" s="69"/>
      <c r="D758" s="69"/>
      <c r="E758" s="69"/>
      <c r="F758" s="71"/>
      <c r="G758" s="69" t="s">
        <v>563</v>
      </c>
      <c r="H758" s="69"/>
      <c r="I758" s="69"/>
      <c r="J758" s="69"/>
      <c r="K758" s="69"/>
      <c r="L758" s="142" t="s">
        <v>104</v>
      </c>
      <c r="M758" s="142"/>
      <c r="N758" s="142"/>
      <c r="O758" s="142"/>
      <c r="P758" s="142"/>
      <c r="Q758" s="131"/>
      <c r="R758" s="131" t="s">
        <v>417</v>
      </c>
      <c r="S758" s="131"/>
      <c r="T758" s="131"/>
      <c r="U758" s="131"/>
      <c r="V758" s="142" t="s">
        <v>418</v>
      </c>
      <c r="W758" s="142"/>
      <c r="X758" s="142"/>
      <c r="Y758" s="142"/>
      <c r="Z758" s="142"/>
      <c r="AA758" s="69"/>
      <c r="AB758" s="69"/>
      <c r="AC758" s="69"/>
      <c r="AD758" s="69"/>
      <c r="AE758" s="69"/>
      <c r="AF758" s="122"/>
    </row>
    <row r="759" spans="1:32" ht="12.75" customHeight="1">
      <c r="A759" s="89"/>
      <c r="B759" s="69"/>
      <c r="C759" s="69" t="s">
        <v>127</v>
      </c>
      <c r="D759" s="69" t="s">
        <v>564</v>
      </c>
      <c r="E759" s="69"/>
      <c r="F759" s="71" t="s">
        <v>10</v>
      </c>
      <c r="G759" s="108" t="s">
        <v>111</v>
      </c>
      <c r="H759" s="71"/>
      <c r="I759" s="71" t="s">
        <v>565</v>
      </c>
      <c r="J759" s="71"/>
      <c r="K759" s="71"/>
      <c r="L759" s="71" t="s">
        <v>566</v>
      </c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69"/>
      <c r="X759" s="69"/>
      <c r="Y759" s="69"/>
      <c r="Z759" s="69"/>
      <c r="AA759" s="69"/>
      <c r="AB759" s="69"/>
      <c r="AC759" s="69"/>
      <c r="AD759" s="69"/>
      <c r="AE759" s="69"/>
      <c r="AF759" s="122"/>
    </row>
    <row r="760" spans="1:32" ht="12.75" customHeight="1">
      <c r="A760" s="89"/>
      <c r="B760" s="69"/>
      <c r="C760" s="69" t="s">
        <v>130</v>
      </c>
      <c r="D760" s="69" t="s">
        <v>567</v>
      </c>
      <c r="E760" s="69"/>
      <c r="F760" s="71" t="s">
        <v>10</v>
      </c>
      <c r="G760" s="130" t="s">
        <v>568</v>
      </c>
      <c r="H760" s="141"/>
      <c r="I760" s="141"/>
      <c r="J760" s="141"/>
      <c r="K760" s="143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69"/>
      <c r="X760" s="69"/>
      <c r="Y760" s="69"/>
      <c r="Z760" s="69"/>
      <c r="AA760" s="69"/>
      <c r="AB760" s="69"/>
      <c r="AC760" s="69"/>
      <c r="AD760" s="69"/>
      <c r="AE760" s="69"/>
      <c r="AF760" s="122"/>
    </row>
    <row r="761" spans="1:32" ht="12.75" customHeight="1">
      <c r="A761" s="89"/>
      <c r="B761" s="69"/>
      <c r="C761" s="69" t="s">
        <v>134</v>
      </c>
      <c r="D761" s="69" t="s">
        <v>569</v>
      </c>
      <c r="E761" s="69"/>
      <c r="F761" s="71" t="s">
        <v>10</v>
      </c>
      <c r="G761" s="71" t="s">
        <v>570</v>
      </c>
      <c r="H761" s="71"/>
      <c r="I761" s="108"/>
      <c r="J761" s="108"/>
      <c r="K761" s="71"/>
      <c r="L761" s="71" t="s">
        <v>398</v>
      </c>
      <c r="M761" s="71"/>
      <c r="N761" s="108"/>
      <c r="O761" s="108"/>
      <c r="P761" s="71"/>
      <c r="Q761" s="71" t="s">
        <v>560</v>
      </c>
      <c r="R761" s="71"/>
      <c r="S761" s="108"/>
      <c r="T761" s="108"/>
      <c r="U761" s="108"/>
      <c r="V761" s="108"/>
      <c r="W761" s="69"/>
      <c r="X761" s="69"/>
      <c r="Y761" s="69"/>
      <c r="Z761" s="69"/>
      <c r="AA761" s="69"/>
      <c r="AB761" s="69"/>
      <c r="AC761" s="69"/>
      <c r="AD761" s="69"/>
      <c r="AE761" s="69"/>
      <c r="AF761" s="122"/>
    </row>
    <row r="762" spans="1:32" ht="12.75" customHeight="1">
      <c r="A762" s="89"/>
      <c r="B762" s="138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  <c r="AB762" s="125"/>
      <c r="AC762" s="125"/>
      <c r="AD762" s="125"/>
      <c r="AE762" s="125"/>
      <c r="AF762" s="127"/>
    </row>
    <row r="763" spans="1:32" ht="12.75" customHeight="1">
      <c r="A763" s="89"/>
      <c r="B763" s="69"/>
      <c r="C763" s="128" t="s">
        <v>443</v>
      </c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  <c r="AD763" s="69"/>
      <c r="AE763" s="69"/>
      <c r="AF763" s="122"/>
    </row>
    <row r="764" spans="1:32" ht="12.75" customHeight="1">
      <c r="A764" s="89"/>
      <c r="B764" s="69"/>
      <c r="C764" s="69" t="s">
        <v>111</v>
      </c>
      <c r="D764" s="69" t="s">
        <v>340</v>
      </c>
      <c r="E764" s="69"/>
      <c r="F764" s="71" t="s">
        <v>10</v>
      </c>
      <c r="G764" s="108">
        <v>3</v>
      </c>
      <c r="H764" s="108">
        <v>3</v>
      </c>
      <c r="I764" s="108">
        <v>2</v>
      </c>
      <c r="J764" s="108">
        <v>7</v>
      </c>
      <c r="K764" s="108">
        <v>0</v>
      </c>
      <c r="L764" s="108">
        <v>4</v>
      </c>
      <c r="M764" s="108">
        <v>1</v>
      </c>
      <c r="N764" s="108">
        <v>0</v>
      </c>
      <c r="O764" s="108">
        <v>1</v>
      </c>
      <c r="P764" s="108">
        <v>1</v>
      </c>
      <c r="Q764" s="108">
        <v>8</v>
      </c>
      <c r="R764" s="108">
        <v>0</v>
      </c>
      <c r="S764" s="108">
        <v>0</v>
      </c>
      <c r="T764" s="108">
        <v>0</v>
      </c>
      <c r="U764" s="108">
        <v>0</v>
      </c>
      <c r="V764" s="108">
        <v>5</v>
      </c>
      <c r="W764" s="108"/>
      <c r="X764" s="71"/>
      <c r="Y764" s="71"/>
      <c r="Z764" s="71"/>
      <c r="AA764" s="71"/>
      <c r="AB764" s="71"/>
      <c r="AC764" s="71"/>
      <c r="AD764" s="71"/>
      <c r="AE764" s="71"/>
      <c r="AF764" s="122"/>
    </row>
    <row r="765" spans="1:32" ht="12.75" customHeight="1">
      <c r="A765" s="89"/>
      <c r="B765" s="69"/>
      <c r="C765" s="69" t="s">
        <v>115</v>
      </c>
      <c r="D765" s="69" t="s">
        <v>391</v>
      </c>
      <c r="E765" s="69"/>
      <c r="F765" s="71" t="s">
        <v>10</v>
      </c>
      <c r="G765" s="108" t="s">
        <v>484</v>
      </c>
      <c r="H765" s="108" t="s">
        <v>464</v>
      </c>
      <c r="I765" s="108" t="s">
        <v>475</v>
      </c>
      <c r="J765" s="108" t="s">
        <v>469</v>
      </c>
      <c r="K765" s="108" t="s">
        <v>468</v>
      </c>
      <c r="L765" s="108" t="s">
        <v>469</v>
      </c>
      <c r="M765" s="108" t="s">
        <v>485</v>
      </c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  <c r="AF765" s="122"/>
    </row>
    <row r="766" spans="1:32" ht="12.75" customHeight="1">
      <c r="A766" s="89"/>
      <c r="B766" s="69"/>
      <c r="C766" s="69" t="s">
        <v>118</v>
      </c>
      <c r="D766" s="69" t="s">
        <v>559</v>
      </c>
      <c r="E766" s="69"/>
      <c r="F766" s="71" t="s">
        <v>10</v>
      </c>
      <c r="G766" s="71" t="s">
        <v>397</v>
      </c>
      <c r="H766" s="129">
        <v>1</v>
      </c>
      <c r="I766" s="108">
        <v>0</v>
      </c>
      <c r="J766" s="71"/>
      <c r="K766" s="71" t="s">
        <v>398</v>
      </c>
      <c r="L766" s="108">
        <v>1</v>
      </c>
      <c r="M766" s="108">
        <v>1</v>
      </c>
      <c r="N766" s="71"/>
      <c r="O766" s="71" t="s">
        <v>560</v>
      </c>
      <c r="P766" s="108">
        <v>1</v>
      </c>
      <c r="Q766" s="108">
        <v>9</v>
      </c>
      <c r="R766" s="108">
        <v>8</v>
      </c>
      <c r="S766" s="108">
        <v>0</v>
      </c>
      <c r="T766" s="71"/>
      <c r="U766" s="71" t="s">
        <v>359</v>
      </c>
      <c r="V766" s="71"/>
      <c r="W766" s="108">
        <v>3</v>
      </c>
      <c r="X766" s="108">
        <v>8</v>
      </c>
      <c r="Y766" s="108"/>
      <c r="Z766" s="71"/>
      <c r="AA766" s="71"/>
      <c r="AB766" s="71"/>
      <c r="AC766" s="71"/>
      <c r="AD766" s="71"/>
      <c r="AE766" s="71"/>
      <c r="AF766" s="122"/>
    </row>
    <row r="767" spans="1:32" ht="12.75" customHeight="1">
      <c r="A767" s="89"/>
      <c r="B767" s="69"/>
      <c r="C767" s="69" t="s">
        <v>121</v>
      </c>
      <c r="D767" s="69" t="s">
        <v>128</v>
      </c>
      <c r="E767" s="69"/>
      <c r="F767" s="71" t="s">
        <v>10</v>
      </c>
      <c r="G767" s="108">
        <v>2</v>
      </c>
      <c r="H767" s="108">
        <v>0</v>
      </c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  <c r="AD767" s="69"/>
      <c r="AE767" s="69"/>
      <c r="AF767" s="122"/>
    </row>
    <row r="768" spans="1:32" ht="12.75" customHeight="1">
      <c r="A768" s="89"/>
      <c r="B768" s="69"/>
      <c r="C768" s="69" t="s">
        <v>124</v>
      </c>
      <c r="D768" s="69" t="s">
        <v>345</v>
      </c>
      <c r="E768" s="69"/>
      <c r="F768" s="71" t="s">
        <v>10</v>
      </c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122"/>
    </row>
    <row r="769" spans="1:32" ht="12.75" customHeight="1">
      <c r="A769" s="89"/>
      <c r="B769" s="69"/>
      <c r="C769" s="69"/>
      <c r="D769" s="69"/>
      <c r="E769" s="69"/>
      <c r="F769" s="71"/>
      <c r="G769" s="69" t="s">
        <v>561</v>
      </c>
      <c r="H769" s="69"/>
      <c r="I769" s="69"/>
      <c r="J769" s="69"/>
      <c r="K769" s="69"/>
      <c r="L769" s="142" t="s">
        <v>102</v>
      </c>
      <c r="M769" s="142"/>
      <c r="N769" s="142"/>
      <c r="O769" s="142"/>
      <c r="P769" s="142"/>
      <c r="Q769" s="131"/>
      <c r="R769" s="131" t="s">
        <v>562</v>
      </c>
      <c r="S769" s="131"/>
      <c r="T769" s="131"/>
      <c r="U769" s="131"/>
      <c r="V769" s="142" t="s">
        <v>106</v>
      </c>
      <c r="W769" s="142"/>
      <c r="X769" s="142"/>
      <c r="Y769" s="142"/>
      <c r="Z769" s="142"/>
      <c r="AA769" s="69"/>
      <c r="AB769" s="69"/>
      <c r="AC769" s="69"/>
      <c r="AD769" s="69"/>
      <c r="AE769" s="69"/>
      <c r="AF769" s="122"/>
    </row>
    <row r="770" spans="1:32" ht="12.75" customHeight="1">
      <c r="A770" s="89"/>
      <c r="B770" s="69"/>
      <c r="C770" s="69"/>
      <c r="D770" s="69"/>
      <c r="E770" s="69"/>
      <c r="F770" s="71"/>
      <c r="G770" s="69" t="s">
        <v>563</v>
      </c>
      <c r="H770" s="69"/>
      <c r="I770" s="69"/>
      <c r="J770" s="69"/>
      <c r="K770" s="69"/>
      <c r="L770" s="142" t="s">
        <v>104</v>
      </c>
      <c r="M770" s="142"/>
      <c r="N770" s="142"/>
      <c r="O770" s="142"/>
      <c r="P770" s="142"/>
      <c r="Q770" s="131"/>
      <c r="R770" s="131" t="s">
        <v>417</v>
      </c>
      <c r="S770" s="131"/>
      <c r="T770" s="131"/>
      <c r="U770" s="131"/>
      <c r="V770" s="142" t="s">
        <v>418</v>
      </c>
      <c r="W770" s="142"/>
      <c r="X770" s="142"/>
      <c r="Y770" s="142"/>
      <c r="Z770" s="142"/>
      <c r="AA770" s="69"/>
      <c r="AB770" s="69"/>
      <c r="AC770" s="69"/>
      <c r="AD770" s="69"/>
      <c r="AE770" s="69"/>
      <c r="AF770" s="122"/>
    </row>
    <row r="771" spans="1:32" ht="12.75" customHeight="1">
      <c r="A771" s="89"/>
      <c r="B771" s="69"/>
      <c r="C771" s="69" t="s">
        <v>127</v>
      </c>
      <c r="D771" s="69" t="s">
        <v>564</v>
      </c>
      <c r="E771" s="69"/>
      <c r="F771" s="71" t="s">
        <v>10</v>
      </c>
      <c r="G771" s="108" t="s">
        <v>111</v>
      </c>
      <c r="H771" s="71"/>
      <c r="I771" s="71" t="s">
        <v>565</v>
      </c>
      <c r="J771" s="71"/>
      <c r="K771" s="71"/>
      <c r="L771" s="71" t="s">
        <v>566</v>
      </c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69"/>
      <c r="X771" s="69"/>
      <c r="Y771" s="69"/>
      <c r="Z771" s="69"/>
      <c r="AA771" s="69"/>
      <c r="AB771" s="69"/>
      <c r="AC771" s="69"/>
      <c r="AD771" s="69"/>
      <c r="AE771" s="69"/>
      <c r="AF771" s="122"/>
    </row>
    <row r="772" spans="1:32" ht="12.75" customHeight="1">
      <c r="A772" s="89"/>
      <c r="B772" s="69"/>
      <c r="C772" s="69" t="s">
        <v>130</v>
      </c>
      <c r="D772" s="69" t="s">
        <v>567</v>
      </c>
      <c r="E772" s="69"/>
      <c r="F772" s="71" t="s">
        <v>10</v>
      </c>
      <c r="G772" s="130" t="s">
        <v>568</v>
      </c>
      <c r="H772" s="141"/>
      <c r="I772" s="141"/>
      <c r="J772" s="141"/>
      <c r="K772" s="143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69"/>
      <c r="X772" s="69"/>
      <c r="Y772" s="69"/>
      <c r="Z772" s="69"/>
      <c r="AA772" s="69"/>
      <c r="AB772" s="69"/>
      <c r="AC772" s="69"/>
      <c r="AD772" s="69"/>
      <c r="AE772" s="69"/>
      <c r="AF772" s="122"/>
    </row>
    <row r="773" spans="1:32" ht="12.75" customHeight="1">
      <c r="A773" s="89"/>
      <c r="B773" s="138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  <c r="AB773" s="125"/>
      <c r="AC773" s="125"/>
      <c r="AD773" s="125"/>
      <c r="AE773" s="125"/>
      <c r="AF773" s="127"/>
    </row>
    <row r="774" spans="1:32" ht="12.75" customHeight="1">
      <c r="A774" s="89"/>
      <c r="B774" s="69"/>
      <c r="C774" s="128" t="s">
        <v>455</v>
      </c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  <c r="AD774" s="69"/>
      <c r="AE774" s="69"/>
      <c r="AF774" s="122"/>
    </row>
    <row r="775" spans="1:32" ht="12.75" customHeight="1">
      <c r="A775" s="89"/>
      <c r="B775" s="69"/>
      <c r="C775" s="69" t="s">
        <v>111</v>
      </c>
      <c r="D775" s="69" t="s">
        <v>340</v>
      </c>
      <c r="E775" s="69"/>
      <c r="F775" s="71" t="s">
        <v>10</v>
      </c>
      <c r="G775" s="108">
        <v>3</v>
      </c>
      <c r="H775" s="108">
        <v>3</v>
      </c>
      <c r="I775" s="108">
        <v>2</v>
      </c>
      <c r="J775" s="108">
        <v>7</v>
      </c>
      <c r="K775" s="108">
        <v>0</v>
      </c>
      <c r="L775" s="108">
        <v>4</v>
      </c>
      <c r="M775" s="108">
        <v>1</v>
      </c>
      <c r="N775" s="108">
        <v>0</v>
      </c>
      <c r="O775" s="108">
        <v>1</v>
      </c>
      <c r="P775" s="108">
        <v>1</v>
      </c>
      <c r="Q775" s="108">
        <v>8</v>
      </c>
      <c r="R775" s="108">
        <v>0</v>
      </c>
      <c r="S775" s="108">
        <v>0</v>
      </c>
      <c r="T775" s="108">
        <v>0</v>
      </c>
      <c r="U775" s="108">
        <v>0</v>
      </c>
      <c r="V775" s="108">
        <v>5</v>
      </c>
      <c r="W775" s="108"/>
      <c r="X775" s="69"/>
      <c r="Y775" s="69"/>
      <c r="Z775" s="69"/>
      <c r="AA775" s="69"/>
      <c r="AB775" s="69"/>
      <c r="AC775" s="69"/>
      <c r="AD775" s="69"/>
      <c r="AE775" s="69"/>
      <c r="AF775" s="122"/>
    </row>
    <row r="776" spans="1:32" ht="12.75" customHeight="1">
      <c r="A776" s="89"/>
      <c r="B776" s="69"/>
      <c r="C776" s="69" t="s">
        <v>115</v>
      </c>
      <c r="D776" s="69" t="s">
        <v>391</v>
      </c>
      <c r="E776" s="69"/>
      <c r="F776" s="71" t="s">
        <v>10</v>
      </c>
      <c r="G776" s="108" t="s">
        <v>484</v>
      </c>
      <c r="H776" s="108" t="s">
        <v>464</v>
      </c>
      <c r="I776" s="108" t="s">
        <v>475</v>
      </c>
      <c r="J776" s="108" t="s">
        <v>469</v>
      </c>
      <c r="K776" s="108" t="s">
        <v>468</v>
      </c>
      <c r="L776" s="108" t="s">
        <v>469</v>
      </c>
      <c r="M776" s="108" t="s">
        <v>485</v>
      </c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9"/>
      <c r="Y776" s="109"/>
      <c r="Z776" s="109"/>
      <c r="AA776" s="109"/>
      <c r="AB776" s="109"/>
      <c r="AC776" s="109"/>
      <c r="AD776" s="109"/>
      <c r="AE776" s="109"/>
      <c r="AF776" s="122"/>
    </row>
    <row r="777" spans="1:32" ht="12.75" customHeight="1">
      <c r="A777" s="89"/>
      <c r="B777" s="69"/>
      <c r="C777" s="69" t="s">
        <v>118</v>
      </c>
      <c r="D777" s="69" t="s">
        <v>359</v>
      </c>
      <c r="E777" s="69"/>
      <c r="F777" s="71" t="s">
        <v>10</v>
      </c>
      <c r="G777" s="108">
        <v>3</v>
      </c>
      <c r="H777" s="108">
        <v>8</v>
      </c>
      <c r="I777" s="69"/>
      <c r="J777" s="69" t="s">
        <v>399</v>
      </c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  <c r="AD777" s="69"/>
      <c r="AE777" s="69"/>
      <c r="AF777" s="122"/>
    </row>
    <row r="778" spans="1:32" ht="12.75" customHeight="1">
      <c r="A778" s="89"/>
      <c r="B778" s="69"/>
      <c r="C778" s="69" t="s">
        <v>121</v>
      </c>
      <c r="D778" s="69" t="s">
        <v>571</v>
      </c>
      <c r="E778" s="69"/>
      <c r="F778" s="71" t="s">
        <v>10</v>
      </c>
      <c r="G778" s="132" t="s">
        <v>111</v>
      </c>
      <c r="H778" s="69" t="s">
        <v>534</v>
      </c>
      <c r="I778" s="69"/>
      <c r="J778" s="69"/>
      <c r="K778" s="69"/>
      <c r="L778" s="69" t="s">
        <v>394</v>
      </c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  <c r="AD778" s="69"/>
      <c r="AE778" s="69"/>
      <c r="AF778" s="122"/>
    </row>
    <row r="779" spans="1:32" ht="12.75" customHeight="1">
      <c r="A779" s="89"/>
      <c r="B779" s="69"/>
      <c r="C779" s="69" t="s">
        <v>124</v>
      </c>
      <c r="D779" s="69" t="s">
        <v>128</v>
      </c>
      <c r="E779" s="69"/>
      <c r="F779" s="71" t="s">
        <v>10</v>
      </c>
      <c r="G779" s="108">
        <v>2</v>
      </c>
      <c r="H779" s="108">
        <v>0</v>
      </c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  <c r="AD779" s="69"/>
      <c r="AE779" s="69"/>
      <c r="AF779" s="122"/>
    </row>
    <row r="780" spans="1:32" ht="12.75" customHeight="1">
      <c r="A780" s="89"/>
      <c r="B780" s="69"/>
      <c r="C780" s="69" t="s">
        <v>127</v>
      </c>
      <c r="D780" s="69" t="s">
        <v>345</v>
      </c>
      <c r="E780" s="69"/>
      <c r="F780" s="71" t="s">
        <v>10</v>
      </c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122"/>
    </row>
    <row r="781" spans="1:32" ht="12.75" customHeight="1">
      <c r="A781" s="89"/>
      <c r="B781" s="69"/>
      <c r="C781" s="69"/>
      <c r="D781" s="69"/>
      <c r="E781" s="69"/>
      <c r="F781" s="69"/>
      <c r="G781" s="69" t="s">
        <v>561</v>
      </c>
      <c r="H781" s="69"/>
      <c r="I781" s="69"/>
      <c r="J781" s="69"/>
      <c r="K781" s="69"/>
      <c r="L781" s="142" t="s">
        <v>102</v>
      </c>
      <c r="M781" s="142"/>
      <c r="N781" s="142"/>
      <c r="O781" s="142"/>
      <c r="P781" s="142"/>
      <c r="Q781" s="131"/>
      <c r="R781" s="131" t="s">
        <v>562</v>
      </c>
      <c r="S781" s="131"/>
      <c r="T781" s="131"/>
      <c r="U781" s="131"/>
      <c r="V781" s="142" t="s">
        <v>106</v>
      </c>
      <c r="W781" s="142"/>
      <c r="X781" s="142"/>
      <c r="Y781" s="142"/>
      <c r="Z781" s="142"/>
      <c r="AA781" s="69"/>
      <c r="AB781" s="69"/>
      <c r="AC781" s="69"/>
      <c r="AD781" s="69"/>
      <c r="AE781" s="69"/>
      <c r="AF781" s="122"/>
    </row>
    <row r="782" spans="1:32" ht="12.75" customHeight="1">
      <c r="A782" s="89"/>
      <c r="B782" s="69"/>
      <c r="C782" s="69"/>
      <c r="D782" s="69"/>
      <c r="E782" s="69"/>
      <c r="F782" s="69"/>
      <c r="G782" s="69" t="s">
        <v>563</v>
      </c>
      <c r="H782" s="69"/>
      <c r="I782" s="69"/>
      <c r="J782" s="69"/>
      <c r="K782" s="69"/>
      <c r="L782" s="142" t="s">
        <v>104</v>
      </c>
      <c r="M782" s="142"/>
      <c r="N782" s="142"/>
      <c r="O782" s="142"/>
      <c r="P782" s="142"/>
      <c r="Q782" s="131"/>
      <c r="R782" s="131" t="s">
        <v>417</v>
      </c>
      <c r="S782" s="131"/>
      <c r="T782" s="131"/>
      <c r="U782" s="131"/>
      <c r="V782" s="142" t="s">
        <v>418</v>
      </c>
      <c r="W782" s="142"/>
      <c r="X782" s="142"/>
      <c r="Y782" s="142"/>
      <c r="Z782" s="142"/>
      <c r="AA782" s="69"/>
      <c r="AB782" s="69"/>
      <c r="AC782" s="69"/>
      <c r="AD782" s="69"/>
      <c r="AE782" s="69"/>
      <c r="AF782" s="122"/>
    </row>
    <row r="783" spans="1:32" ht="12.75" customHeight="1">
      <c r="A783" s="89"/>
      <c r="B783" s="138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  <c r="AB783" s="125"/>
      <c r="AC783" s="125"/>
      <c r="AD783" s="125"/>
      <c r="AE783" s="125"/>
      <c r="AF783" s="127"/>
    </row>
    <row r="784" spans="1:32" ht="12.75" customHeight="1">
      <c r="A784" s="89"/>
      <c r="B784" s="69"/>
      <c r="C784" s="128" t="s">
        <v>572</v>
      </c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  <c r="AD784" s="69"/>
      <c r="AE784" s="69"/>
      <c r="AF784" s="122"/>
    </row>
    <row r="785" spans="1:32" ht="12.75" customHeight="1">
      <c r="A785" s="89"/>
      <c r="B785" s="69"/>
      <c r="C785" s="69" t="s">
        <v>111</v>
      </c>
      <c r="D785" s="69" t="s">
        <v>340</v>
      </c>
      <c r="E785" s="69"/>
      <c r="F785" s="71" t="s">
        <v>10</v>
      </c>
      <c r="G785" s="108">
        <v>3</v>
      </c>
      <c r="H785" s="108">
        <v>3</v>
      </c>
      <c r="I785" s="108">
        <v>2</v>
      </c>
      <c r="J785" s="108">
        <v>7</v>
      </c>
      <c r="K785" s="108">
        <v>0</v>
      </c>
      <c r="L785" s="108">
        <v>4</v>
      </c>
      <c r="M785" s="108">
        <v>0</v>
      </c>
      <c r="N785" s="108">
        <v>4</v>
      </c>
      <c r="O785" s="108">
        <v>0</v>
      </c>
      <c r="P785" s="108">
        <v>6</v>
      </c>
      <c r="Q785" s="108">
        <v>6</v>
      </c>
      <c r="R785" s="108">
        <v>7</v>
      </c>
      <c r="S785" s="108">
        <v>0</v>
      </c>
      <c r="T785" s="108">
        <v>0</v>
      </c>
      <c r="U785" s="108">
        <v>1</v>
      </c>
      <c r="V785" s="108">
        <v>0</v>
      </c>
      <c r="W785" s="109"/>
      <c r="X785" s="69"/>
      <c r="Y785" s="69"/>
      <c r="Z785" s="69"/>
      <c r="AA785" s="69"/>
      <c r="AB785" s="69"/>
      <c r="AC785" s="69"/>
      <c r="AD785" s="69"/>
      <c r="AE785" s="69"/>
      <c r="AF785" s="122"/>
    </row>
    <row r="786" spans="1:32" ht="12.75" customHeight="1">
      <c r="A786" s="89"/>
      <c r="B786" s="69"/>
      <c r="C786" s="69" t="s">
        <v>115</v>
      </c>
      <c r="D786" s="69" t="s">
        <v>391</v>
      </c>
      <c r="E786" s="69"/>
      <c r="F786" s="71" t="s">
        <v>10</v>
      </c>
      <c r="G786" s="108" t="s">
        <v>468</v>
      </c>
      <c r="H786" s="108" t="s">
        <v>464</v>
      </c>
      <c r="I786" s="108" t="s">
        <v>484</v>
      </c>
      <c r="J786" s="108" t="s">
        <v>469</v>
      </c>
      <c r="K786" s="108" t="s">
        <v>498</v>
      </c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  <c r="AF786" s="122"/>
    </row>
    <row r="787" spans="1:32" ht="12.75" customHeight="1">
      <c r="A787" s="89"/>
      <c r="B787" s="69"/>
      <c r="C787" s="69" t="s">
        <v>118</v>
      </c>
      <c r="D787" s="69" t="s">
        <v>359</v>
      </c>
      <c r="E787" s="69"/>
      <c r="F787" s="71" t="s">
        <v>10</v>
      </c>
      <c r="G787" s="108">
        <v>5</v>
      </c>
      <c r="H787" s="108">
        <v>1</v>
      </c>
      <c r="I787" s="69"/>
      <c r="J787" s="69" t="s">
        <v>399</v>
      </c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  <c r="AD787" s="69"/>
      <c r="AE787" s="69"/>
      <c r="AF787" s="122"/>
    </row>
    <row r="788" spans="1:32" ht="12.75" customHeight="1">
      <c r="A788" s="89"/>
      <c r="B788" s="69"/>
      <c r="C788" s="69" t="s">
        <v>121</v>
      </c>
      <c r="D788" s="69" t="s">
        <v>128</v>
      </c>
      <c r="E788" s="69"/>
      <c r="F788" s="71" t="s">
        <v>10</v>
      </c>
      <c r="G788" s="108">
        <v>2</v>
      </c>
      <c r="H788" s="108">
        <v>0</v>
      </c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  <c r="AD788" s="69"/>
      <c r="AE788" s="69"/>
      <c r="AF788" s="122"/>
    </row>
    <row r="789" spans="1:32" ht="12.75" customHeight="1">
      <c r="A789" s="89"/>
      <c r="B789" s="69"/>
      <c r="C789" s="69" t="s">
        <v>124</v>
      </c>
      <c r="D789" s="69" t="s">
        <v>345</v>
      </c>
      <c r="E789" s="69"/>
      <c r="F789" s="71" t="s">
        <v>10</v>
      </c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122"/>
    </row>
    <row r="790" spans="1:32" ht="12.75" customHeight="1">
      <c r="A790" s="89"/>
      <c r="B790" s="69"/>
      <c r="C790" s="69"/>
      <c r="D790" s="69"/>
      <c r="E790" s="69"/>
      <c r="F790" s="71"/>
      <c r="G790" s="69" t="s">
        <v>561</v>
      </c>
      <c r="H790" s="69"/>
      <c r="I790" s="69"/>
      <c r="J790" s="69"/>
      <c r="K790" s="69"/>
      <c r="L790" s="142" t="s">
        <v>102</v>
      </c>
      <c r="M790" s="142"/>
      <c r="N790" s="142"/>
      <c r="O790" s="142"/>
      <c r="P790" s="142"/>
      <c r="Q790" s="69"/>
      <c r="R790" s="69" t="s">
        <v>562</v>
      </c>
      <c r="S790" s="69"/>
      <c r="T790" s="69"/>
      <c r="U790" s="69"/>
      <c r="V790" s="142" t="s">
        <v>106</v>
      </c>
      <c r="W790" s="142"/>
      <c r="X790" s="142"/>
      <c r="Y790" s="142"/>
      <c r="Z790" s="142"/>
      <c r="AA790" s="69"/>
      <c r="AB790" s="69"/>
      <c r="AC790" s="69"/>
      <c r="AD790" s="69"/>
      <c r="AE790" s="69"/>
      <c r="AF790" s="122"/>
    </row>
    <row r="791" spans="1:32" ht="12.75" customHeight="1">
      <c r="A791" s="89"/>
      <c r="B791" s="69"/>
      <c r="C791" s="69"/>
      <c r="D791" s="69"/>
      <c r="E791" s="69"/>
      <c r="F791" s="69"/>
      <c r="G791" s="69" t="s">
        <v>563</v>
      </c>
      <c r="H791" s="69"/>
      <c r="I791" s="69"/>
      <c r="J791" s="69"/>
      <c r="K791" s="69"/>
      <c r="L791" s="142" t="s">
        <v>104</v>
      </c>
      <c r="M791" s="142"/>
      <c r="N791" s="142"/>
      <c r="O791" s="142"/>
      <c r="P791" s="142"/>
      <c r="Q791" s="69"/>
      <c r="R791" s="69" t="s">
        <v>417</v>
      </c>
      <c r="S791" s="69"/>
      <c r="T791" s="69"/>
      <c r="U791" s="69"/>
      <c r="V791" s="142" t="s">
        <v>418</v>
      </c>
      <c r="W791" s="142"/>
      <c r="X791" s="142"/>
      <c r="Y791" s="142"/>
      <c r="Z791" s="142"/>
      <c r="AA791" s="69"/>
      <c r="AB791" s="69"/>
      <c r="AC791" s="69"/>
      <c r="AD791" s="69"/>
      <c r="AE791" s="69"/>
      <c r="AF791" s="122"/>
    </row>
    <row r="792" spans="1:32" ht="12.75" customHeight="1">
      <c r="A792" s="89"/>
      <c r="B792" s="138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  <c r="AB792" s="125"/>
      <c r="AC792" s="125"/>
      <c r="AD792" s="125"/>
      <c r="AE792" s="125"/>
      <c r="AF792" s="127"/>
    </row>
    <row r="793" spans="1:32" ht="12.75" customHeight="1">
      <c r="A793" s="89"/>
      <c r="B793" s="69"/>
      <c r="C793" s="128" t="s">
        <v>472</v>
      </c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  <c r="AD793" s="69"/>
      <c r="AE793" s="69"/>
      <c r="AF793" s="122"/>
    </row>
    <row r="794" spans="1:32" ht="12.75" customHeight="1">
      <c r="A794" s="89"/>
      <c r="B794" s="69"/>
      <c r="C794" s="69" t="s">
        <v>111</v>
      </c>
      <c r="D794" s="69" t="s">
        <v>340</v>
      </c>
      <c r="E794" s="69"/>
      <c r="F794" s="71" t="s">
        <v>10</v>
      </c>
      <c r="G794" s="108">
        <v>3</v>
      </c>
      <c r="H794" s="108">
        <v>3</v>
      </c>
      <c r="I794" s="108">
        <v>2</v>
      </c>
      <c r="J794" s="108">
        <v>7</v>
      </c>
      <c r="K794" s="108">
        <v>0</v>
      </c>
      <c r="L794" s="108">
        <v>4</v>
      </c>
      <c r="M794" s="108">
        <v>0</v>
      </c>
      <c r="N794" s="108">
        <v>1</v>
      </c>
      <c r="O794" s="108">
        <v>0</v>
      </c>
      <c r="P794" s="108">
        <v>7</v>
      </c>
      <c r="Q794" s="108">
        <v>6</v>
      </c>
      <c r="R794" s="108">
        <v>6</v>
      </c>
      <c r="S794" s="108">
        <v>0</v>
      </c>
      <c r="T794" s="108">
        <v>1</v>
      </c>
      <c r="U794" s="108">
        <v>8</v>
      </c>
      <c r="V794" s="108">
        <v>3</v>
      </c>
      <c r="W794" s="108"/>
      <c r="X794" s="69"/>
      <c r="Y794" s="69"/>
      <c r="Z794" s="69"/>
      <c r="AA794" s="69"/>
      <c r="AB794" s="69"/>
      <c r="AC794" s="69"/>
      <c r="AD794" s="69"/>
      <c r="AE794" s="69"/>
      <c r="AF794" s="122"/>
    </row>
    <row r="795" spans="1:32" ht="12.75" customHeight="1">
      <c r="A795" s="89"/>
      <c r="B795" s="69"/>
      <c r="C795" s="69" t="s">
        <v>115</v>
      </c>
      <c r="D795" s="69" t="s">
        <v>391</v>
      </c>
      <c r="E795" s="69"/>
      <c r="F795" s="71" t="s">
        <v>10</v>
      </c>
      <c r="G795" s="108" t="s">
        <v>476</v>
      </c>
      <c r="H795" s="108" t="s">
        <v>467</v>
      </c>
      <c r="I795" s="108" t="s">
        <v>468</v>
      </c>
      <c r="J795" s="108" t="s">
        <v>469</v>
      </c>
      <c r="K795" s="108"/>
      <c r="L795" s="108"/>
      <c r="M795" s="108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22"/>
    </row>
    <row r="796" spans="1:32" ht="12.75" customHeight="1">
      <c r="A796" s="89"/>
      <c r="B796" s="69"/>
      <c r="C796" s="69" t="s">
        <v>118</v>
      </c>
      <c r="D796" s="69" t="s">
        <v>359</v>
      </c>
      <c r="E796" s="69"/>
      <c r="F796" s="71" t="s">
        <v>10</v>
      </c>
      <c r="G796" s="108">
        <v>5</v>
      </c>
      <c r="H796" s="108">
        <v>2</v>
      </c>
      <c r="I796" s="69"/>
      <c r="J796" s="69" t="s">
        <v>399</v>
      </c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  <c r="AD796" s="69"/>
      <c r="AE796" s="69"/>
      <c r="AF796" s="122"/>
    </row>
    <row r="797" spans="1:32" ht="12.75" customHeight="1">
      <c r="A797" s="89"/>
      <c r="B797" s="69"/>
      <c r="C797" s="69" t="s">
        <v>121</v>
      </c>
      <c r="D797" s="69" t="s">
        <v>128</v>
      </c>
      <c r="E797" s="69"/>
      <c r="F797" s="71" t="s">
        <v>10</v>
      </c>
      <c r="G797" s="108">
        <v>2</v>
      </c>
      <c r="H797" s="108">
        <v>0</v>
      </c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  <c r="AD797" s="69"/>
      <c r="AE797" s="69"/>
      <c r="AF797" s="122"/>
    </row>
    <row r="798" spans="1:32" ht="12.75" customHeight="1">
      <c r="A798" s="89"/>
      <c r="B798" s="69"/>
      <c r="C798" s="69" t="s">
        <v>124</v>
      </c>
      <c r="D798" s="69" t="s">
        <v>345</v>
      </c>
      <c r="E798" s="69"/>
      <c r="F798" s="71" t="s">
        <v>10</v>
      </c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122"/>
    </row>
    <row r="799" spans="1:32" ht="12.75" customHeight="1">
      <c r="A799" s="89"/>
      <c r="B799" s="69"/>
      <c r="C799" s="69"/>
      <c r="D799" s="69"/>
      <c r="E799" s="69"/>
      <c r="F799" s="69"/>
      <c r="G799" s="69" t="s">
        <v>561</v>
      </c>
      <c r="H799" s="69"/>
      <c r="I799" s="69"/>
      <c r="J799" s="69"/>
      <c r="K799" s="69"/>
      <c r="L799" s="142" t="s">
        <v>102</v>
      </c>
      <c r="M799" s="142"/>
      <c r="N799" s="142"/>
      <c r="O799" s="142"/>
      <c r="P799" s="142"/>
      <c r="Q799" s="69"/>
      <c r="R799" s="69" t="s">
        <v>562</v>
      </c>
      <c r="S799" s="69"/>
      <c r="T799" s="69"/>
      <c r="U799" s="69"/>
      <c r="V799" s="142" t="s">
        <v>106</v>
      </c>
      <c r="W799" s="142"/>
      <c r="X799" s="142"/>
      <c r="Y799" s="142"/>
      <c r="Z799" s="142"/>
      <c r="AA799" s="69"/>
      <c r="AB799" s="69"/>
      <c r="AC799" s="69"/>
      <c r="AD799" s="69"/>
      <c r="AE799" s="69"/>
      <c r="AF799" s="122"/>
    </row>
    <row r="800" spans="1:32" ht="12.75" customHeight="1">
      <c r="A800" s="89"/>
      <c r="B800" s="69"/>
      <c r="C800" s="69"/>
      <c r="D800" s="69"/>
      <c r="E800" s="69"/>
      <c r="F800" s="69"/>
      <c r="G800" s="69" t="s">
        <v>563</v>
      </c>
      <c r="H800" s="69"/>
      <c r="I800" s="69"/>
      <c r="J800" s="69"/>
      <c r="K800" s="69"/>
      <c r="L800" s="142" t="s">
        <v>104</v>
      </c>
      <c r="M800" s="142"/>
      <c r="N800" s="142"/>
      <c r="O800" s="142"/>
      <c r="P800" s="142"/>
      <c r="Q800" s="69"/>
      <c r="R800" s="69" t="s">
        <v>417</v>
      </c>
      <c r="S800" s="69"/>
      <c r="T800" s="69"/>
      <c r="U800" s="69"/>
      <c r="V800" s="142" t="s">
        <v>418</v>
      </c>
      <c r="W800" s="142"/>
      <c r="X800" s="142"/>
      <c r="Y800" s="142"/>
      <c r="Z800" s="142"/>
      <c r="AA800" s="69"/>
      <c r="AB800" s="69"/>
      <c r="AC800" s="69"/>
      <c r="AD800" s="69"/>
      <c r="AE800" s="69"/>
      <c r="AF800" s="122"/>
    </row>
    <row r="801" spans="1:32" ht="12.75" customHeight="1">
      <c r="A801" s="89"/>
      <c r="B801" s="138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  <c r="AB801" s="125"/>
      <c r="AC801" s="125"/>
      <c r="AD801" s="125"/>
      <c r="AE801" s="125"/>
      <c r="AF801" s="127"/>
    </row>
    <row r="802" spans="1:32" ht="12.75" customHeight="1"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  <c r="AD802" s="69"/>
      <c r="AE802" s="69"/>
      <c r="AF802" s="69"/>
    </row>
    <row r="803" spans="1:32" ht="12.75" customHeight="1"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 t="s">
        <v>602</v>
      </c>
      <c r="X803" s="69"/>
      <c r="Y803" s="69"/>
      <c r="Z803" s="69"/>
      <c r="AA803" s="69"/>
      <c r="AB803" s="69"/>
      <c r="AC803" s="69"/>
      <c r="AD803" s="69"/>
      <c r="AE803" s="69"/>
      <c r="AF803" s="69"/>
    </row>
    <row r="804" spans="1:32" ht="12.75" customHeight="1"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  <c r="AD804" s="69"/>
      <c r="AE804" s="69"/>
      <c r="AF804" s="69"/>
    </row>
    <row r="805" spans="1:32" ht="12.75" customHeight="1">
      <c r="B805" s="69"/>
      <c r="C805" s="69"/>
      <c r="D805" s="69"/>
      <c r="E805" s="69"/>
      <c r="F805" s="69"/>
      <c r="G805" s="69" t="s">
        <v>588</v>
      </c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 t="s">
        <v>481</v>
      </c>
      <c r="X805" s="69"/>
      <c r="Y805" s="69"/>
      <c r="Z805" s="69"/>
      <c r="AA805" s="69"/>
      <c r="AB805" s="69"/>
      <c r="AC805" s="69"/>
      <c r="AD805" s="69"/>
      <c r="AE805" s="69"/>
      <c r="AF805" s="69"/>
    </row>
    <row r="806" spans="1:32" ht="12.75" customHeight="1">
      <c r="B806" s="69"/>
      <c r="C806" s="69"/>
      <c r="D806" s="69"/>
      <c r="E806" s="69"/>
      <c r="F806" s="69" t="s">
        <v>597</v>
      </c>
      <c r="G806" s="69" t="s">
        <v>274</v>
      </c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  <c r="AD806" s="69"/>
      <c r="AE806" s="69"/>
      <c r="AF806" s="69"/>
    </row>
    <row r="807" spans="1:32" ht="12.75" customHeight="1">
      <c r="B807" s="69"/>
      <c r="C807" s="69"/>
      <c r="D807" s="69"/>
      <c r="E807" s="69"/>
      <c r="F807" s="69"/>
      <c r="G807" s="69" t="s">
        <v>598</v>
      </c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  <c r="AD807" s="69"/>
      <c r="AE807" s="69"/>
      <c r="AF807" s="69"/>
    </row>
    <row r="808" spans="1:32" ht="12.75" customHeight="1"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  <c r="AD808" s="69"/>
      <c r="AE808" s="69"/>
      <c r="AF808" s="69"/>
    </row>
    <row r="809" spans="1:32" ht="12.75" customHeight="1"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  <c r="AD809" s="69"/>
      <c r="AE809" s="69"/>
      <c r="AF809" s="69"/>
    </row>
    <row r="810" spans="1:32" ht="12.75" customHeight="1"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  <c r="AD810" s="69"/>
      <c r="AE810" s="69"/>
      <c r="AF810" s="69"/>
    </row>
    <row r="811" spans="1:32" ht="12.75" customHeight="1">
      <c r="B811" s="69"/>
      <c r="C811" s="69"/>
      <c r="D811" s="69"/>
      <c r="E811" s="69"/>
      <c r="F811" s="69"/>
      <c r="G811" s="69" t="s">
        <v>366</v>
      </c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 t="s">
        <v>603</v>
      </c>
      <c r="X811" s="69"/>
      <c r="Y811" s="69"/>
      <c r="Z811" s="69"/>
      <c r="AA811" s="69"/>
      <c r="AB811" s="69"/>
      <c r="AC811" s="69"/>
      <c r="AD811" s="69"/>
      <c r="AE811" s="69"/>
      <c r="AF811" s="69"/>
    </row>
    <row r="812" spans="1:32" ht="12.75" customHeight="1"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  <c r="AD812" s="69"/>
      <c r="AE812" s="69"/>
      <c r="AF812" s="69"/>
    </row>
    <row r="813" spans="1:32" ht="12.75" customHeight="1"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  <c r="AD813" s="69"/>
      <c r="AE813" s="69"/>
      <c r="AF813" s="69"/>
    </row>
  </sheetData>
  <mergeCells count="58">
    <mergeCell ref="G171:AE171"/>
    <mergeCell ref="G154:K154"/>
    <mergeCell ref="G162:AE162"/>
    <mergeCell ref="L163:P163"/>
    <mergeCell ref="V163:Z163"/>
    <mergeCell ref="L164:P164"/>
    <mergeCell ref="V164:Z164"/>
    <mergeCell ref="G150:AE150"/>
    <mergeCell ref="L151:P151"/>
    <mergeCell ref="V151:Z151"/>
    <mergeCell ref="L152:P152"/>
    <mergeCell ref="V152:Z152"/>
    <mergeCell ref="L139:P139"/>
    <mergeCell ref="V139:Z139"/>
    <mergeCell ref="V140:Z140"/>
    <mergeCell ref="L140:P140"/>
    <mergeCell ref="G142:K142"/>
    <mergeCell ref="L78:P78"/>
    <mergeCell ref="V78:Z78"/>
    <mergeCell ref="Z106:AC106"/>
    <mergeCell ref="C114:AF114"/>
    <mergeCell ref="G138:AE138"/>
    <mergeCell ref="L69:P69"/>
    <mergeCell ref="V69:Z69"/>
    <mergeCell ref="G76:AE76"/>
    <mergeCell ref="L77:P77"/>
    <mergeCell ref="V77:Z77"/>
    <mergeCell ref="L60:P60"/>
    <mergeCell ref="V60:Z60"/>
    <mergeCell ref="G67:AE67"/>
    <mergeCell ref="V68:Z68"/>
    <mergeCell ref="L68:P68"/>
    <mergeCell ref="L48:P48"/>
    <mergeCell ref="V48:Z48"/>
    <mergeCell ref="G50:K50"/>
    <mergeCell ref="G58:AE58"/>
    <mergeCell ref="L59:P59"/>
    <mergeCell ref="V59:Z59"/>
    <mergeCell ref="L36:P36"/>
    <mergeCell ref="V36:Z36"/>
    <mergeCell ref="G38:K38"/>
    <mergeCell ref="G46:AE46"/>
    <mergeCell ref="L47:P47"/>
    <mergeCell ref="V47:Z47"/>
    <mergeCell ref="Z2:AC2"/>
    <mergeCell ref="C10:AF10"/>
    <mergeCell ref="G34:AE34"/>
    <mergeCell ref="L35:P35"/>
    <mergeCell ref="V35:Z35"/>
    <mergeCell ref="V181:Z181"/>
    <mergeCell ref="V182:Z182"/>
    <mergeCell ref="L172:P172"/>
    <mergeCell ref="V172:Z172"/>
    <mergeCell ref="L173:P173"/>
    <mergeCell ref="V173:Z173"/>
    <mergeCell ref="G180:AE180"/>
    <mergeCell ref="L181:P181"/>
    <mergeCell ref="L182:P182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32"/>
  <sheetViews>
    <sheetView workbookViewId="0"/>
  </sheetViews>
  <sheetFormatPr defaultColWidth="12.5703125" defaultRowHeight="15" customHeight="1"/>
  <cols>
    <col min="1" max="1" width="3.42578125" customWidth="1"/>
    <col min="2" max="2" width="4.85546875" customWidth="1"/>
    <col min="3" max="3" width="5.28515625" customWidth="1"/>
    <col min="4" max="4" width="6.140625" customWidth="1"/>
    <col min="5" max="5" width="5.42578125" customWidth="1"/>
    <col min="6" max="6" width="5.85546875" customWidth="1"/>
    <col min="7" max="7" width="4.140625" customWidth="1"/>
    <col min="8" max="8" width="4.7109375" customWidth="1"/>
    <col min="9" max="9" width="4.85546875" customWidth="1"/>
    <col min="10" max="10" width="4.42578125" customWidth="1"/>
    <col min="11" max="11" width="6.42578125" customWidth="1"/>
    <col min="12" max="12" width="3.5703125" customWidth="1"/>
    <col min="13" max="13" width="4.5703125" customWidth="1"/>
    <col min="14" max="16" width="5.140625" customWidth="1"/>
    <col min="17" max="17" width="5.28515625" customWidth="1"/>
    <col min="18" max="18" width="5.140625" customWidth="1"/>
    <col min="19" max="19" width="5.42578125" customWidth="1"/>
    <col min="20" max="20" width="5.5703125" customWidth="1"/>
    <col min="21" max="21" width="5" customWidth="1"/>
    <col min="22" max="22" width="5.140625" customWidth="1"/>
    <col min="23" max="23" width="6" customWidth="1"/>
    <col min="24" max="24" width="8.5703125" customWidth="1"/>
    <col min="25" max="25" width="12.28515625" customWidth="1"/>
  </cols>
  <sheetData>
    <row r="1" spans="2:23" ht="12.75" customHeight="1">
      <c r="E1" s="64" t="s">
        <v>768</v>
      </c>
    </row>
    <row r="2" spans="2:23" ht="12.75" customHeight="1"/>
    <row r="3" spans="2:23" ht="12.75" customHeight="1">
      <c r="T3" s="252" t="s">
        <v>769</v>
      </c>
      <c r="U3" s="223"/>
      <c r="V3" s="224"/>
    </row>
    <row r="4" spans="2:23" ht="12.75" customHeight="1"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</row>
    <row r="5" spans="2:23" ht="12.75" customHeight="1"/>
    <row r="6" spans="2:23" ht="12.75" customHeight="1">
      <c r="B6" s="64" t="s">
        <v>770</v>
      </c>
      <c r="G6" s="11" t="s">
        <v>10</v>
      </c>
      <c r="H6" s="78">
        <v>3</v>
      </c>
      <c r="I6" s="78">
        <v>3</v>
      </c>
      <c r="J6" s="11"/>
      <c r="M6" s="246" t="s">
        <v>418</v>
      </c>
      <c r="N6" s="223"/>
      <c r="O6" s="223"/>
      <c r="P6" s="223"/>
      <c r="Q6" s="223"/>
      <c r="R6" s="223"/>
      <c r="S6" s="223"/>
      <c r="T6" s="223"/>
      <c r="U6" s="223"/>
      <c r="V6" s="223"/>
      <c r="W6" s="224"/>
    </row>
    <row r="7" spans="2:23" ht="12.75" customHeight="1">
      <c r="G7" s="11"/>
      <c r="H7" s="11"/>
      <c r="I7" s="11"/>
      <c r="J7" s="11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</row>
    <row r="8" spans="2:23" ht="12.75" customHeight="1">
      <c r="B8" s="64" t="s">
        <v>105</v>
      </c>
      <c r="G8" s="11" t="s">
        <v>10</v>
      </c>
      <c r="H8" s="78">
        <v>2</v>
      </c>
      <c r="I8" s="78">
        <v>7</v>
      </c>
      <c r="J8" s="11"/>
      <c r="M8" s="246" t="s">
        <v>106</v>
      </c>
      <c r="N8" s="223"/>
      <c r="O8" s="223"/>
      <c r="P8" s="223"/>
      <c r="Q8" s="223"/>
      <c r="R8" s="223"/>
      <c r="S8" s="223"/>
      <c r="T8" s="223"/>
      <c r="U8" s="223"/>
      <c r="V8" s="223"/>
      <c r="W8" s="224"/>
    </row>
    <row r="9" spans="2:23" ht="12.75" customHeight="1">
      <c r="G9" s="11"/>
      <c r="H9" s="11"/>
      <c r="I9" s="11"/>
      <c r="J9" s="11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</row>
    <row r="10" spans="2:23" ht="12.75" customHeight="1">
      <c r="B10" s="64" t="s">
        <v>103</v>
      </c>
      <c r="G10" s="11" t="s">
        <v>10</v>
      </c>
      <c r="H10" s="78">
        <v>4</v>
      </c>
      <c r="I10" s="78">
        <v>0</v>
      </c>
      <c r="J10" s="11"/>
      <c r="M10" s="246" t="s">
        <v>104</v>
      </c>
      <c r="N10" s="223"/>
      <c r="O10" s="223"/>
      <c r="P10" s="223"/>
      <c r="Q10" s="223"/>
      <c r="R10" s="223"/>
      <c r="S10" s="223"/>
      <c r="T10" s="223"/>
      <c r="U10" s="223"/>
      <c r="V10" s="223"/>
      <c r="W10" s="224"/>
    </row>
    <row r="11" spans="2:23" ht="12.75" customHeight="1">
      <c r="G11" s="11"/>
      <c r="H11" s="11"/>
      <c r="I11" s="11"/>
      <c r="J11" s="11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</row>
    <row r="12" spans="2:23" ht="12.75" customHeight="1">
      <c r="B12" s="64" t="s">
        <v>771</v>
      </c>
      <c r="G12" s="11" t="s">
        <v>10</v>
      </c>
      <c r="H12" s="78">
        <v>0</v>
      </c>
      <c r="I12" s="78">
        <v>1</v>
      </c>
      <c r="J12" s="78">
        <v>1</v>
      </c>
      <c r="K12" s="91"/>
      <c r="M12" s="246" t="s">
        <v>102</v>
      </c>
      <c r="N12" s="223"/>
      <c r="O12" s="223"/>
      <c r="P12" s="223"/>
      <c r="Q12" s="223"/>
      <c r="R12" s="223"/>
      <c r="S12" s="223"/>
      <c r="T12" s="223"/>
      <c r="U12" s="223"/>
      <c r="V12" s="223"/>
      <c r="W12" s="224"/>
    </row>
    <row r="13" spans="2:23" ht="12.75" customHeight="1">
      <c r="G13" s="11"/>
    </row>
    <row r="14" spans="2:23" ht="12.75" customHeight="1">
      <c r="B14" s="64" t="s">
        <v>772</v>
      </c>
      <c r="G14" s="11" t="s">
        <v>10</v>
      </c>
      <c r="H14" s="246" t="s">
        <v>773</v>
      </c>
      <c r="I14" s="223"/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4"/>
    </row>
    <row r="15" spans="2:23" ht="12.75" customHeight="1"/>
    <row r="16" spans="2:23" ht="12.75" customHeight="1">
      <c r="B16" s="196" t="s">
        <v>774</v>
      </c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</row>
    <row r="17" spans="1:23" ht="12.75" customHeight="1">
      <c r="B17" s="225" t="s">
        <v>775</v>
      </c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</row>
    <row r="18" spans="1:23" ht="12.75" customHeight="1">
      <c r="B18" s="225" t="s">
        <v>776</v>
      </c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</row>
    <row r="19" spans="1:23" ht="12.75" customHeight="1">
      <c r="A19" s="11"/>
      <c r="B19" s="38" t="s">
        <v>777</v>
      </c>
    </row>
    <row r="20" spans="1:23" ht="12.75" customHeight="1"/>
    <row r="21" spans="1:23" ht="12.75" customHeight="1">
      <c r="B21" s="152" t="s">
        <v>111</v>
      </c>
      <c r="C21" s="64" t="s">
        <v>387</v>
      </c>
      <c r="H21" s="78">
        <v>3</v>
      </c>
      <c r="I21" s="78">
        <v>3</v>
      </c>
      <c r="J21" s="78">
        <v>2</v>
      </c>
      <c r="K21" s="78">
        <v>7</v>
      </c>
      <c r="L21" s="78">
        <v>0</v>
      </c>
      <c r="M21" s="78">
        <v>4</v>
      </c>
      <c r="N21" s="78">
        <v>0</v>
      </c>
      <c r="O21" s="78">
        <v>1</v>
      </c>
      <c r="P21" s="78">
        <v>0</v>
      </c>
      <c r="Q21" s="78">
        <v>8</v>
      </c>
      <c r="R21" s="78">
        <v>0</v>
      </c>
      <c r="S21" s="78">
        <v>7</v>
      </c>
      <c r="T21" s="78">
        <v>0</v>
      </c>
      <c r="U21" s="78">
        <v>0</v>
      </c>
      <c r="V21" s="78">
        <v>1</v>
      </c>
      <c r="W21" s="78">
        <v>7</v>
      </c>
    </row>
    <row r="22" spans="1:23" ht="12.75" customHeight="1">
      <c r="B22" s="11"/>
    </row>
    <row r="23" spans="1:23" ht="12.75" customHeight="1">
      <c r="B23" s="152" t="s">
        <v>115</v>
      </c>
      <c r="C23" s="64" t="s">
        <v>385</v>
      </c>
      <c r="H23" s="246" t="s">
        <v>778</v>
      </c>
      <c r="I23" s="223"/>
      <c r="J23" s="223"/>
      <c r="K23" s="223"/>
      <c r="L23" s="223"/>
      <c r="M23" s="223"/>
      <c r="N23" s="223"/>
      <c r="O23" s="223"/>
      <c r="P23" s="223"/>
      <c r="Q23" s="223"/>
      <c r="R23" s="223"/>
      <c r="S23" s="223"/>
      <c r="T23" s="223"/>
      <c r="U23" s="223"/>
      <c r="V23" s="223"/>
      <c r="W23" s="224"/>
    </row>
    <row r="24" spans="1:23" ht="12.75" customHeight="1">
      <c r="B24" s="11"/>
    </row>
    <row r="25" spans="1:23" ht="12.75" customHeight="1">
      <c r="B25" s="152" t="s">
        <v>118</v>
      </c>
      <c r="C25" s="64" t="s">
        <v>345</v>
      </c>
      <c r="H25" s="246" t="s">
        <v>102</v>
      </c>
      <c r="I25" s="223"/>
      <c r="J25" s="223"/>
      <c r="K25" s="223"/>
      <c r="L25" s="223"/>
      <c r="M25" s="223"/>
      <c r="N25" s="223"/>
      <c r="O25" s="224"/>
      <c r="P25" s="64" t="s">
        <v>675</v>
      </c>
      <c r="Q25" s="78">
        <v>0</v>
      </c>
      <c r="R25" s="78">
        <v>0</v>
      </c>
      <c r="S25" s="78">
        <v>7</v>
      </c>
      <c r="T25" s="11" t="s">
        <v>676</v>
      </c>
      <c r="U25" s="78">
        <v>0</v>
      </c>
      <c r="V25" s="78">
        <v>0</v>
      </c>
      <c r="W25" s="78">
        <v>2</v>
      </c>
    </row>
    <row r="26" spans="1:23" ht="12.75" customHeight="1">
      <c r="B26" s="11"/>
    </row>
    <row r="27" spans="1:23" ht="12.75" customHeight="1">
      <c r="B27" s="11"/>
      <c r="H27" s="64" t="s">
        <v>779</v>
      </c>
      <c r="L27" s="246" t="s">
        <v>102</v>
      </c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4"/>
    </row>
    <row r="28" spans="1:23" ht="12.75" customHeight="1">
      <c r="B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12.75" customHeight="1">
      <c r="B29" s="11"/>
      <c r="C29" s="64" t="s">
        <v>414</v>
      </c>
      <c r="H29" s="246" t="s">
        <v>102</v>
      </c>
      <c r="I29" s="223"/>
      <c r="J29" s="223"/>
      <c r="K29" s="223"/>
      <c r="L29" s="223"/>
      <c r="M29" s="224"/>
      <c r="O29" s="64" t="s">
        <v>562</v>
      </c>
      <c r="R29" s="246" t="s">
        <v>106</v>
      </c>
      <c r="S29" s="223"/>
      <c r="T29" s="223"/>
      <c r="U29" s="223"/>
      <c r="V29" s="223"/>
      <c r="W29" s="224"/>
    </row>
    <row r="30" spans="1:23" ht="12.75" customHeight="1">
      <c r="B30" s="11"/>
      <c r="H30" s="77"/>
      <c r="I30" s="77"/>
      <c r="J30" s="77"/>
      <c r="K30" s="77"/>
      <c r="L30" s="77"/>
      <c r="M30" s="77"/>
      <c r="R30" s="77"/>
      <c r="S30" s="77"/>
      <c r="T30" s="77"/>
      <c r="U30" s="77"/>
      <c r="V30" s="77"/>
      <c r="W30" s="77"/>
    </row>
    <row r="31" spans="1:23" ht="12.75" customHeight="1">
      <c r="B31" s="11"/>
      <c r="C31" s="64" t="s">
        <v>416</v>
      </c>
      <c r="H31" s="246" t="s">
        <v>104</v>
      </c>
      <c r="I31" s="223"/>
      <c r="J31" s="223"/>
      <c r="K31" s="223"/>
      <c r="L31" s="223"/>
      <c r="M31" s="224"/>
      <c r="O31" s="64" t="s">
        <v>417</v>
      </c>
      <c r="R31" s="246" t="s">
        <v>418</v>
      </c>
      <c r="S31" s="223"/>
      <c r="T31" s="223"/>
      <c r="U31" s="223"/>
      <c r="V31" s="223"/>
      <c r="W31" s="224"/>
    </row>
    <row r="32" spans="1:23" ht="12.75" customHeight="1">
      <c r="B32" s="11"/>
      <c r="H32" s="77"/>
      <c r="I32" s="77"/>
      <c r="J32" s="77"/>
      <c r="K32" s="77"/>
      <c r="L32" s="77"/>
      <c r="M32" s="77"/>
      <c r="R32" s="11"/>
      <c r="S32" s="11"/>
      <c r="T32" s="11"/>
      <c r="U32" s="11"/>
      <c r="V32" s="11"/>
      <c r="W32" s="11"/>
    </row>
    <row r="33" spans="1:23" ht="12.75" customHeight="1">
      <c r="B33" s="11"/>
      <c r="H33" s="11" t="s">
        <v>674</v>
      </c>
      <c r="I33" s="11"/>
      <c r="J33" s="78">
        <v>5</v>
      </c>
      <c r="K33" s="78">
        <v>2</v>
      </c>
      <c r="L33" s="78">
        <v>3</v>
      </c>
      <c r="M33" s="78">
        <v>5</v>
      </c>
      <c r="N33" s="78">
        <v>7</v>
      </c>
      <c r="P33" s="64" t="s">
        <v>680</v>
      </c>
      <c r="R33" s="78"/>
      <c r="S33" s="78"/>
      <c r="T33" s="78"/>
      <c r="U33" s="78"/>
      <c r="V33" s="78"/>
      <c r="W33" s="78"/>
    </row>
    <row r="34" spans="1:23" ht="12.75" customHeight="1">
      <c r="B34" s="11"/>
    </row>
    <row r="35" spans="1:23" ht="12.75" customHeight="1">
      <c r="B35" s="152" t="s">
        <v>121</v>
      </c>
      <c r="C35" s="64" t="s">
        <v>780</v>
      </c>
      <c r="H35" s="78">
        <v>3</v>
      </c>
      <c r="I35" s="78">
        <v>3</v>
      </c>
      <c r="J35" s="78">
        <v>2</v>
      </c>
      <c r="K35" s="78">
        <v>7</v>
      </c>
      <c r="L35" s="78">
        <v>0</v>
      </c>
      <c r="M35" s="78">
        <v>4</v>
      </c>
      <c r="N35" s="78">
        <v>1</v>
      </c>
      <c r="O35" s="78">
        <v>4</v>
      </c>
      <c r="P35" s="78">
        <v>0</v>
      </c>
      <c r="Q35" s="78">
        <v>5</v>
      </c>
      <c r="R35" s="78">
        <v>9</v>
      </c>
      <c r="S35" s="78">
        <v>9</v>
      </c>
      <c r="T35" s="78">
        <v>0</v>
      </c>
      <c r="U35" s="78">
        <v>0</v>
      </c>
      <c r="V35" s="78">
        <v>0</v>
      </c>
      <c r="W35" s="78">
        <v>2</v>
      </c>
    </row>
    <row r="36" spans="1:23" ht="12.75" customHeight="1">
      <c r="B36" s="11"/>
    </row>
    <row r="37" spans="1:23" ht="12.75" customHeight="1">
      <c r="B37" s="152" t="s">
        <v>124</v>
      </c>
      <c r="C37" s="64" t="s">
        <v>391</v>
      </c>
      <c r="H37" s="246" t="s">
        <v>781</v>
      </c>
      <c r="I37" s="223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4"/>
    </row>
    <row r="38" spans="1:23" ht="12.75" customHeight="1"/>
    <row r="39" spans="1:23" ht="12.75" customHeight="1"/>
    <row r="40" spans="1:23" ht="12.75" customHeight="1">
      <c r="B40" s="38" t="s">
        <v>782</v>
      </c>
    </row>
    <row r="41" spans="1:23" ht="12.75" customHeight="1"/>
    <row r="42" spans="1:23" ht="12.75" customHeight="1">
      <c r="A42" s="11"/>
      <c r="B42" s="152" t="s">
        <v>111</v>
      </c>
      <c r="C42" s="64" t="s">
        <v>783</v>
      </c>
      <c r="H42" s="78">
        <v>2</v>
      </c>
      <c r="I42" s="64" t="s">
        <v>784</v>
      </c>
    </row>
    <row r="43" spans="1:23" ht="12.75" customHeight="1">
      <c r="A43" s="11"/>
      <c r="B43" s="11"/>
    </row>
    <row r="44" spans="1:23" ht="12.75" customHeight="1">
      <c r="A44" s="11"/>
      <c r="B44" s="152" t="s">
        <v>115</v>
      </c>
      <c r="C44" s="64" t="s">
        <v>387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</row>
    <row r="45" spans="1:23" ht="12.75" customHeight="1">
      <c r="A45" s="11"/>
      <c r="B45" s="11"/>
    </row>
    <row r="46" spans="1:23" ht="12.75" customHeight="1">
      <c r="A46" s="11"/>
      <c r="B46" s="152" t="s">
        <v>118</v>
      </c>
      <c r="C46" s="64" t="s">
        <v>785</v>
      </c>
      <c r="H46" s="78">
        <v>3</v>
      </c>
      <c r="I46" s="78">
        <v>3</v>
      </c>
      <c r="J46" s="78">
        <v>2</v>
      </c>
      <c r="K46" s="78">
        <v>7</v>
      </c>
      <c r="L46" s="78">
        <v>0</v>
      </c>
      <c r="M46" s="78">
        <v>4</v>
      </c>
      <c r="N46" s="78">
        <v>1</v>
      </c>
      <c r="O46" s="78">
        <v>4</v>
      </c>
      <c r="P46" s="78">
        <v>0</v>
      </c>
      <c r="Q46" s="78">
        <v>5</v>
      </c>
      <c r="R46" s="78">
        <v>9</v>
      </c>
      <c r="S46" s="78">
        <v>9</v>
      </c>
      <c r="T46" s="78">
        <v>0</v>
      </c>
      <c r="U46" s="78">
        <v>0</v>
      </c>
      <c r="V46" s="78">
        <v>0</v>
      </c>
      <c r="W46" s="78">
        <v>2</v>
      </c>
    </row>
    <row r="47" spans="1:23" ht="12.75" customHeight="1">
      <c r="A47" s="11"/>
      <c r="B47" s="11"/>
    </row>
    <row r="48" spans="1:23" ht="12.75" customHeight="1">
      <c r="A48" s="11"/>
      <c r="B48" s="152" t="s">
        <v>121</v>
      </c>
      <c r="C48" s="64" t="s">
        <v>385</v>
      </c>
      <c r="H48" s="246" t="str">
        <f>H37</f>
        <v>IAN MASRURI</v>
      </c>
      <c r="I48" s="223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3"/>
      <c r="W48" s="224"/>
    </row>
    <row r="49" spans="1:23" ht="12.75" customHeight="1">
      <c r="A49" s="11"/>
      <c r="B49" s="11"/>
    </row>
    <row r="50" spans="1:23" ht="12.75" customHeight="1">
      <c r="A50" s="11"/>
      <c r="B50" s="152" t="s">
        <v>124</v>
      </c>
      <c r="C50" s="64" t="s">
        <v>786</v>
      </c>
      <c r="H50" s="78"/>
      <c r="I50" s="78"/>
      <c r="J50" s="11"/>
      <c r="K50" s="78"/>
      <c r="L50" s="78"/>
      <c r="M50" s="11"/>
      <c r="N50" s="78"/>
      <c r="O50" s="78"/>
      <c r="P50" s="78"/>
      <c r="Q50" s="78"/>
      <c r="R50" s="11"/>
    </row>
    <row r="51" spans="1:23" ht="12.75" customHeight="1">
      <c r="A51" s="11"/>
      <c r="B51" s="11"/>
    </row>
    <row r="52" spans="1:23" ht="12.75" customHeight="1">
      <c r="A52" s="11"/>
      <c r="B52" s="152" t="s">
        <v>127</v>
      </c>
      <c r="C52" s="64" t="s">
        <v>345</v>
      </c>
      <c r="F52" s="91"/>
      <c r="H52" s="246" t="s">
        <v>787</v>
      </c>
      <c r="I52" s="223"/>
      <c r="J52" s="223"/>
      <c r="K52" s="223"/>
      <c r="L52" s="223"/>
      <c r="M52" s="223"/>
      <c r="N52" s="224"/>
      <c r="P52" s="64" t="s">
        <v>675</v>
      </c>
      <c r="Q52" s="78">
        <v>0</v>
      </c>
      <c r="R52" s="78">
        <v>0</v>
      </c>
      <c r="S52" s="78">
        <v>1</v>
      </c>
      <c r="T52" s="11" t="s">
        <v>676</v>
      </c>
      <c r="U52" s="78">
        <v>0</v>
      </c>
      <c r="V52" s="78">
        <v>0</v>
      </c>
      <c r="W52" s="78">
        <v>9</v>
      </c>
    </row>
    <row r="53" spans="1:23" ht="12.75" customHeight="1">
      <c r="A53" s="11"/>
      <c r="B53" s="11"/>
    </row>
    <row r="54" spans="1:23" ht="12.75" customHeight="1">
      <c r="A54" s="11"/>
      <c r="B54" s="11"/>
      <c r="F54" s="91"/>
      <c r="H54" s="64" t="s">
        <v>779</v>
      </c>
      <c r="L54" s="246" t="s">
        <v>788</v>
      </c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4"/>
    </row>
    <row r="55" spans="1:23" ht="12.75" customHeight="1">
      <c r="A55" s="11"/>
      <c r="B55" s="11"/>
    </row>
    <row r="56" spans="1:23" ht="12.75" customHeight="1">
      <c r="A56" s="11"/>
      <c r="B56" s="11"/>
      <c r="C56" s="64" t="s">
        <v>414</v>
      </c>
      <c r="H56" s="246" t="s">
        <v>787</v>
      </c>
      <c r="I56" s="223"/>
      <c r="J56" s="223"/>
      <c r="K56" s="223"/>
      <c r="L56" s="223"/>
      <c r="M56" s="224"/>
      <c r="O56" s="64" t="s">
        <v>562</v>
      </c>
      <c r="R56" s="246" t="s">
        <v>106</v>
      </c>
      <c r="S56" s="223"/>
      <c r="T56" s="223"/>
      <c r="U56" s="223"/>
      <c r="V56" s="223"/>
      <c r="W56" s="224"/>
    </row>
    <row r="57" spans="1:23" ht="12.75" customHeight="1">
      <c r="A57" s="11"/>
      <c r="B57" s="11"/>
      <c r="H57" s="77"/>
      <c r="I57" s="77"/>
      <c r="J57" s="77"/>
      <c r="K57" s="77"/>
      <c r="L57" s="77"/>
      <c r="M57" s="77"/>
      <c r="R57" s="77"/>
      <c r="S57" s="77"/>
      <c r="T57" s="77"/>
      <c r="U57" s="77"/>
      <c r="V57" s="77"/>
      <c r="W57" s="77"/>
    </row>
    <row r="58" spans="1:23" ht="12.75" customHeight="1">
      <c r="A58" s="11"/>
      <c r="B58" s="11"/>
      <c r="C58" s="64" t="s">
        <v>563</v>
      </c>
      <c r="H58" s="246" t="s">
        <v>789</v>
      </c>
      <c r="I58" s="223"/>
      <c r="J58" s="223"/>
      <c r="K58" s="223"/>
      <c r="L58" s="223"/>
      <c r="M58" s="224"/>
      <c r="O58" s="64" t="s">
        <v>417</v>
      </c>
      <c r="R58" s="246" t="s">
        <v>418</v>
      </c>
      <c r="S58" s="223"/>
      <c r="T58" s="223"/>
      <c r="U58" s="223"/>
      <c r="V58" s="223"/>
      <c r="W58" s="224"/>
    </row>
    <row r="59" spans="1:23" ht="12.75" customHeight="1">
      <c r="A59" s="11"/>
      <c r="B59" s="11"/>
      <c r="H59" s="77"/>
      <c r="I59" s="77"/>
      <c r="J59" s="77"/>
      <c r="K59" s="77"/>
      <c r="L59" s="77"/>
      <c r="M59" s="77"/>
      <c r="R59" s="77"/>
      <c r="S59" s="77"/>
      <c r="T59" s="77"/>
      <c r="U59" s="77"/>
      <c r="V59" s="77"/>
      <c r="W59" s="77"/>
    </row>
    <row r="60" spans="1:23" ht="12.75" customHeight="1">
      <c r="A60" s="11"/>
      <c r="B60" s="152" t="s">
        <v>130</v>
      </c>
      <c r="C60" s="64" t="s">
        <v>790</v>
      </c>
    </row>
    <row r="61" spans="1:23" ht="12" customHeight="1"/>
    <row r="62" spans="1:23" ht="12.75" customHeight="1">
      <c r="B62" s="104" t="s">
        <v>684</v>
      </c>
      <c r="C62" s="275" t="s">
        <v>340</v>
      </c>
      <c r="D62" s="223"/>
      <c r="E62" s="223"/>
      <c r="F62" s="223"/>
      <c r="G62" s="223"/>
      <c r="H62" s="223"/>
      <c r="I62" s="223"/>
      <c r="J62" s="223"/>
      <c r="K62" s="224"/>
      <c r="L62" s="275" t="s">
        <v>791</v>
      </c>
      <c r="M62" s="223"/>
      <c r="N62" s="223"/>
      <c r="O62" s="223"/>
      <c r="P62" s="223"/>
      <c r="Q62" s="224"/>
      <c r="R62" s="286" t="s">
        <v>792</v>
      </c>
      <c r="S62" s="223"/>
      <c r="T62" s="224"/>
      <c r="U62" s="275" t="s">
        <v>793</v>
      </c>
      <c r="V62" s="223"/>
      <c r="W62" s="224"/>
    </row>
    <row r="63" spans="1:23" ht="12.75" customHeight="1">
      <c r="B63" s="78">
        <v>1</v>
      </c>
      <c r="C63" s="288" t="s">
        <v>794</v>
      </c>
      <c r="D63" s="223"/>
      <c r="E63" s="223"/>
      <c r="F63" s="223"/>
      <c r="G63" s="223"/>
      <c r="H63" s="223"/>
      <c r="I63" s="223"/>
      <c r="J63" s="223"/>
      <c r="K63" s="224"/>
      <c r="L63" s="246" t="s">
        <v>781</v>
      </c>
      <c r="M63" s="223"/>
      <c r="N63" s="223"/>
      <c r="O63" s="223"/>
      <c r="P63" s="223"/>
      <c r="Q63" s="224"/>
      <c r="R63" s="287">
        <v>36294</v>
      </c>
      <c r="S63" s="223"/>
      <c r="T63" s="224"/>
      <c r="U63" s="252" t="s">
        <v>795</v>
      </c>
      <c r="V63" s="223"/>
      <c r="W63" s="224"/>
    </row>
    <row r="64" spans="1:23" ht="12.75" customHeight="1">
      <c r="B64" s="78">
        <v>2</v>
      </c>
      <c r="C64" s="246"/>
      <c r="D64" s="223"/>
      <c r="E64" s="223"/>
      <c r="F64" s="223"/>
      <c r="G64" s="223"/>
      <c r="H64" s="223"/>
      <c r="I64" s="223"/>
      <c r="J64" s="223"/>
      <c r="K64" s="224"/>
      <c r="L64" s="246"/>
      <c r="M64" s="223"/>
      <c r="N64" s="223"/>
      <c r="O64" s="223"/>
      <c r="P64" s="223"/>
      <c r="Q64" s="224"/>
      <c r="R64" s="287"/>
      <c r="S64" s="223"/>
      <c r="T64" s="224"/>
      <c r="U64" s="252"/>
      <c r="V64" s="223"/>
      <c r="W64" s="224"/>
    </row>
    <row r="65" spans="2:23" ht="12.75" customHeight="1">
      <c r="B65" s="78">
        <v>3</v>
      </c>
      <c r="C65" s="246"/>
      <c r="D65" s="223"/>
      <c r="E65" s="223"/>
      <c r="F65" s="223"/>
      <c r="G65" s="223"/>
      <c r="H65" s="223"/>
      <c r="I65" s="223"/>
      <c r="J65" s="223"/>
      <c r="K65" s="224"/>
      <c r="L65" s="246"/>
      <c r="M65" s="223"/>
      <c r="N65" s="223"/>
      <c r="O65" s="223"/>
      <c r="P65" s="223"/>
      <c r="Q65" s="224"/>
      <c r="R65" s="287"/>
      <c r="S65" s="223"/>
      <c r="T65" s="224"/>
      <c r="U65" s="252"/>
      <c r="V65" s="223"/>
      <c r="W65" s="224"/>
    </row>
    <row r="66" spans="2:23" ht="12.75" customHeight="1">
      <c r="B66" s="78">
        <v>4</v>
      </c>
      <c r="C66" s="246"/>
      <c r="D66" s="223"/>
      <c r="E66" s="223"/>
      <c r="F66" s="223"/>
      <c r="G66" s="223"/>
      <c r="H66" s="223"/>
      <c r="I66" s="223"/>
      <c r="J66" s="223"/>
      <c r="K66" s="224"/>
      <c r="L66" s="246"/>
      <c r="M66" s="223"/>
      <c r="N66" s="223"/>
      <c r="O66" s="223"/>
      <c r="P66" s="223"/>
      <c r="Q66" s="224"/>
      <c r="R66" s="287"/>
      <c r="S66" s="223"/>
      <c r="T66" s="224"/>
      <c r="U66" s="252"/>
      <c r="V66" s="223"/>
      <c r="W66" s="224"/>
    </row>
    <row r="67" spans="2:23" ht="12.75" customHeight="1">
      <c r="B67" s="78">
        <v>5</v>
      </c>
      <c r="C67" s="246"/>
      <c r="D67" s="223"/>
      <c r="E67" s="223"/>
      <c r="F67" s="223"/>
      <c r="G67" s="223"/>
      <c r="H67" s="223"/>
      <c r="I67" s="223"/>
      <c r="J67" s="223"/>
      <c r="K67" s="224"/>
      <c r="L67" s="246"/>
      <c r="M67" s="223"/>
      <c r="N67" s="223"/>
      <c r="O67" s="223"/>
      <c r="P67" s="223"/>
      <c r="Q67" s="224"/>
      <c r="R67" s="287"/>
      <c r="S67" s="223"/>
      <c r="T67" s="224"/>
      <c r="U67" s="252"/>
      <c r="V67" s="223"/>
      <c r="W67" s="224"/>
    </row>
    <row r="68" spans="2:23" ht="12.75" customHeight="1">
      <c r="B68" s="78">
        <v>6</v>
      </c>
      <c r="C68" s="246"/>
      <c r="D68" s="223"/>
      <c r="E68" s="223"/>
      <c r="F68" s="223"/>
      <c r="G68" s="223"/>
      <c r="H68" s="223"/>
      <c r="I68" s="223"/>
      <c r="J68" s="223"/>
      <c r="K68" s="224"/>
      <c r="L68" s="252"/>
      <c r="M68" s="223"/>
      <c r="N68" s="223"/>
      <c r="O68" s="223"/>
      <c r="P68" s="223"/>
      <c r="Q68" s="224"/>
      <c r="R68" s="252"/>
      <c r="S68" s="223"/>
      <c r="T68" s="224"/>
      <c r="U68" s="252"/>
      <c r="V68" s="223"/>
      <c r="W68" s="224"/>
    </row>
    <row r="69" spans="2:23" ht="12.75" customHeight="1">
      <c r="B69" s="78">
        <v>7</v>
      </c>
      <c r="C69" s="252"/>
      <c r="D69" s="223"/>
      <c r="E69" s="223"/>
      <c r="F69" s="223"/>
      <c r="G69" s="223"/>
      <c r="H69" s="223"/>
      <c r="I69" s="223"/>
      <c r="J69" s="223"/>
      <c r="K69" s="224"/>
      <c r="L69" s="252"/>
      <c r="M69" s="223"/>
      <c r="N69" s="223"/>
      <c r="O69" s="223"/>
      <c r="P69" s="223"/>
      <c r="Q69" s="224"/>
      <c r="R69" s="252"/>
      <c r="S69" s="223"/>
      <c r="T69" s="224"/>
      <c r="U69" s="252"/>
      <c r="V69" s="223"/>
      <c r="W69" s="224"/>
    </row>
    <row r="70" spans="2:23" ht="12.75" customHeight="1"/>
    <row r="71" spans="2:23" ht="12.75" customHeight="1"/>
    <row r="72" spans="2:23" ht="12.75" customHeight="1">
      <c r="J72" s="225" t="s">
        <v>480</v>
      </c>
      <c r="K72" s="194"/>
      <c r="L72" s="194"/>
      <c r="M72" s="194"/>
      <c r="N72" s="194"/>
      <c r="O72" s="194"/>
      <c r="R72" s="3" t="s">
        <v>796</v>
      </c>
    </row>
    <row r="73" spans="2:23" ht="12.75" customHeight="1">
      <c r="D73" s="64" t="s">
        <v>797</v>
      </c>
      <c r="J73" s="225" t="s">
        <v>798</v>
      </c>
      <c r="K73" s="194"/>
      <c r="L73" s="194"/>
      <c r="M73" s="194"/>
      <c r="N73" s="194"/>
      <c r="O73" s="194"/>
      <c r="S73" s="64" t="s">
        <v>799</v>
      </c>
    </row>
    <row r="74" spans="2:23" ht="12.75" customHeight="1">
      <c r="J74" s="225"/>
      <c r="K74" s="194"/>
      <c r="L74" s="194"/>
      <c r="M74" s="194"/>
      <c r="N74" s="194"/>
      <c r="O74" s="194"/>
    </row>
    <row r="75" spans="2:23" ht="12.75" customHeight="1"/>
    <row r="76" spans="2:23" ht="12.75" customHeight="1"/>
    <row r="77" spans="2:23" ht="12.75" customHeight="1"/>
    <row r="78" spans="2:23" ht="12.75" customHeight="1">
      <c r="D78" s="3" t="s">
        <v>506</v>
      </c>
      <c r="K78" s="225" t="s">
        <v>482</v>
      </c>
      <c r="L78" s="194"/>
      <c r="M78" s="194"/>
      <c r="N78" s="194"/>
      <c r="Q78" s="225" t="str">
        <f>L63</f>
        <v>IAN MASRURI</v>
      </c>
      <c r="R78" s="194"/>
      <c r="S78" s="194"/>
      <c r="T78" s="194"/>
      <c r="U78" s="194"/>
      <c r="V78" s="194"/>
    </row>
    <row r="79" spans="2:23" ht="12.75" customHeight="1"/>
    <row r="80" spans="2:23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spans="2:23" ht="12.75" customHeight="1">
      <c r="T97" s="252" t="s">
        <v>800</v>
      </c>
      <c r="U97" s="223"/>
      <c r="V97" s="224"/>
    </row>
    <row r="98" spans="2:23" ht="12.75" customHeight="1"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</row>
    <row r="99" spans="2:23" ht="12.75" customHeight="1"/>
    <row r="100" spans="2:23" ht="12.75" customHeight="1">
      <c r="B100" s="64" t="s">
        <v>770</v>
      </c>
      <c r="G100" s="11" t="s">
        <v>10</v>
      </c>
      <c r="H100" s="78">
        <v>3</v>
      </c>
      <c r="I100" s="78">
        <v>3</v>
      </c>
      <c r="J100" s="11"/>
      <c r="M100" s="246" t="s">
        <v>418</v>
      </c>
      <c r="N100" s="223"/>
      <c r="O100" s="223"/>
      <c r="P100" s="223"/>
      <c r="Q100" s="223"/>
      <c r="R100" s="223"/>
      <c r="S100" s="223"/>
      <c r="T100" s="223"/>
      <c r="U100" s="223"/>
      <c r="V100" s="223"/>
      <c r="W100" s="224"/>
    </row>
    <row r="101" spans="2:23" ht="12.75" customHeight="1">
      <c r="G101" s="11"/>
      <c r="H101" s="11"/>
      <c r="I101" s="11"/>
      <c r="J101" s="11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</row>
    <row r="102" spans="2:23" ht="12.75" customHeight="1">
      <c r="B102" s="64" t="s">
        <v>105</v>
      </c>
      <c r="G102" s="11" t="s">
        <v>10</v>
      </c>
      <c r="H102" s="78">
        <v>2</v>
      </c>
      <c r="I102" s="78">
        <v>7</v>
      </c>
      <c r="J102" s="11"/>
      <c r="M102" s="246" t="s">
        <v>106</v>
      </c>
      <c r="N102" s="223"/>
      <c r="O102" s="223"/>
      <c r="P102" s="223"/>
      <c r="Q102" s="223"/>
      <c r="R102" s="223"/>
      <c r="S102" s="223"/>
      <c r="T102" s="223"/>
      <c r="U102" s="223"/>
      <c r="V102" s="223"/>
      <c r="W102" s="224"/>
    </row>
    <row r="103" spans="2:23" ht="12.75" customHeight="1">
      <c r="G103" s="11"/>
      <c r="H103" s="11"/>
      <c r="I103" s="11"/>
      <c r="J103" s="11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</row>
    <row r="104" spans="2:23" ht="12.75" customHeight="1">
      <c r="B104" s="64" t="s">
        <v>103</v>
      </c>
      <c r="G104" s="11" t="s">
        <v>10</v>
      </c>
      <c r="H104" s="78">
        <v>4</v>
      </c>
      <c r="I104" s="78">
        <v>0</v>
      </c>
      <c r="J104" s="11"/>
      <c r="M104" s="246" t="s">
        <v>104</v>
      </c>
      <c r="N104" s="223"/>
      <c r="O104" s="223"/>
      <c r="P104" s="223"/>
      <c r="Q104" s="223"/>
      <c r="R104" s="223"/>
      <c r="S104" s="223"/>
      <c r="T104" s="223"/>
      <c r="U104" s="223"/>
      <c r="V104" s="223"/>
      <c r="W104" s="224"/>
    </row>
    <row r="105" spans="2:23" ht="12.75" customHeight="1">
      <c r="G105" s="11"/>
      <c r="H105" s="11"/>
      <c r="I105" s="11"/>
      <c r="J105" s="11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</row>
    <row r="106" spans="2:23" ht="12.75" customHeight="1">
      <c r="B106" s="64" t="s">
        <v>771</v>
      </c>
      <c r="G106" s="11" t="s">
        <v>10</v>
      </c>
      <c r="H106" s="78">
        <v>0</v>
      </c>
      <c r="I106" s="78">
        <v>1</v>
      </c>
      <c r="J106" s="78">
        <v>1</v>
      </c>
      <c r="K106" s="91"/>
      <c r="M106" s="246" t="s">
        <v>102</v>
      </c>
      <c r="N106" s="223"/>
      <c r="O106" s="223"/>
      <c r="P106" s="223"/>
      <c r="Q106" s="223"/>
      <c r="R106" s="223"/>
      <c r="S106" s="223"/>
      <c r="T106" s="223"/>
      <c r="U106" s="223"/>
      <c r="V106" s="223"/>
      <c r="W106" s="224"/>
    </row>
    <row r="107" spans="2:23" ht="12.75" customHeight="1">
      <c r="G107" s="11"/>
    </row>
    <row r="108" spans="2:23" ht="12.75" customHeight="1">
      <c r="B108" s="64" t="s">
        <v>772</v>
      </c>
      <c r="G108" s="11" t="s">
        <v>10</v>
      </c>
      <c r="H108" s="246" t="s">
        <v>773</v>
      </c>
      <c r="I108" s="223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3"/>
      <c r="U108" s="223"/>
      <c r="V108" s="223"/>
      <c r="W108" s="224"/>
    </row>
    <row r="109" spans="2:23" ht="12.75" customHeight="1"/>
    <row r="110" spans="2:23" ht="12.75" customHeight="1">
      <c r="B110" s="196" t="s">
        <v>774</v>
      </c>
      <c r="C110" s="194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</row>
    <row r="111" spans="2:23" ht="12.75" customHeight="1">
      <c r="B111" s="225" t="s">
        <v>775</v>
      </c>
      <c r="C111" s="194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</row>
    <row r="112" spans="2:23" ht="12.75" customHeight="1">
      <c r="B112" s="225" t="s">
        <v>801</v>
      </c>
      <c r="C112" s="194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</row>
    <row r="113" spans="1:23" ht="12.75" customHeight="1">
      <c r="A113" s="11"/>
      <c r="B113" s="38" t="s">
        <v>777</v>
      </c>
    </row>
    <row r="114" spans="1:23" ht="12.75" customHeight="1"/>
    <row r="115" spans="1:23" ht="12.75" customHeight="1">
      <c r="B115" s="152" t="s">
        <v>111</v>
      </c>
      <c r="C115" s="64" t="s">
        <v>387</v>
      </c>
      <c r="H115" s="78">
        <v>3</v>
      </c>
      <c r="I115" s="78">
        <v>3</v>
      </c>
      <c r="J115" s="78">
        <v>2</v>
      </c>
      <c r="K115" s="78">
        <v>7</v>
      </c>
      <c r="L115" s="78">
        <v>0</v>
      </c>
      <c r="M115" s="78">
        <v>4</v>
      </c>
      <c r="N115" s="78">
        <v>2</v>
      </c>
      <c r="O115" s="78">
        <v>7</v>
      </c>
      <c r="P115" s="78">
        <v>0</v>
      </c>
      <c r="Q115" s="78">
        <v>9</v>
      </c>
      <c r="R115" s="78">
        <v>0</v>
      </c>
      <c r="S115" s="78">
        <v>5</v>
      </c>
      <c r="T115" s="78">
        <v>2</v>
      </c>
      <c r="U115" s="78">
        <v>7</v>
      </c>
      <c r="V115" s="78">
        <v>5</v>
      </c>
      <c r="W115" s="78">
        <v>0</v>
      </c>
    </row>
    <row r="116" spans="1:23" ht="12.75" customHeight="1">
      <c r="B116" s="11"/>
    </row>
    <row r="117" spans="1:23" ht="12.75" customHeight="1">
      <c r="B117" s="152" t="s">
        <v>115</v>
      </c>
      <c r="C117" s="64" t="s">
        <v>385</v>
      </c>
      <c r="H117" s="246" t="s">
        <v>802</v>
      </c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  <c r="V117" s="223"/>
      <c r="W117" s="224"/>
    </row>
    <row r="118" spans="1:23" ht="12.75" customHeight="1">
      <c r="B118" s="11"/>
    </row>
    <row r="119" spans="1:23" ht="12.75" customHeight="1">
      <c r="B119" s="152" t="s">
        <v>118</v>
      </c>
      <c r="C119" s="64" t="s">
        <v>345</v>
      </c>
      <c r="H119" s="246"/>
      <c r="I119" s="223"/>
      <c r="J119" s="223"/>
      <c r="K119" s="223"/>
      <c r="L119" s="223"/>
      <c r="M119" s="223"/>
      <c r="N119" s="223"/>
      <c r="O119" s="224"/>
      <c r="P119" s="64" t="s">
        <v>675</v>
      </c>
      <c r="Q119" s="78">
        <v>0</v>
      </c>
      <c r="R119" s="78">
        <v>0</v>
      </c>
      <c r="S119" s="78">
        <v>6</v>
      </c>
      <c r="T119" s="11" t="s">
        <v>676</v>
      </c>
      <c r="U119" s="78">
        <v>0</v>
      </c>
      <c r="V119" s="78">
        <v>0</v>
      </c>
      <c r="W119" s="78">
        <v>1</v>
      </c>
    </row>
    <row r="120" spans="1:23" ht="12.75" customHeight="1">
      <c r="B120" s="11"/>
    </row>
    <row r="121" spans="1:23" ht="12.75" customHeight="1">
      <c r="B121" s="11"/>
      <c r="H121" s="64" t="s">
        <v>779</v>
      </c>
      <c r="L121" s="246" t="s">
        <v>102</v>
      </c>
      <c r="M121" s="223"/>
      <c r="N121" s="223"/>
      <c r="O121" s="223"/>
      <c r="P121" s="223"/>
      <c r="Q121" s="223"/>
      <c r="R121" s="223"/>
      <c r="S121" s="223"/>
      <c r="T121" s="223"/>
      <c r="U121" s="223"/>
      <c r="V121" s="223"/>
      <c r="W121" s="224"/>
    </row>
    <row r="122" spans="1:23" ht="12.75" customHeight="1">
      <c r="B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ht="12.75" customHeight="1">
      <c r="B123" s="11"/>
      <c r="C123" s="64" t="s">
        <v>414</v>
      </c>
      <c r="H123" s="246" t="s">
        <v>102</v>
      </c>
      <c r="I123" s="223"/>
      <c r="J123" s="223"/>
      <c r="K123" s="223"/>
      <c r="L123" s="223"/>
      <c r="M123" s="224"/>
      <c r="O123" s="64" t="s">
        <v>562</v>
      </c>
      <c r="R123" s="246" t="s">
        <v>106</v>
      </c>
      <c r="S123" s="223"/>
      <c r="T123" s="223"/>
      <c r="U123" s="223"/>
      <c r="V123" s="223"/>
      <c r="W123" s="224"/>
    </row>
    <row r="124" spans="1:23" ht="12.75" customHeight="1">
      <c r="B124" s="11"/>
      <c r="H124" s="77"/>
      <c r="I124" s="77"/>
      <c r="J124" s="77"/>
      <c r="K124" s="77"/>
      <c r="L124" s="77"/>
      <c r="M124" s="77"/>
      <c r="R124" s="77"/>
      <c r="S124" s="77"/>
      <c r="T124" s="77"/>
      <c r="U124" s="77"/>
      <c r="V124" s="77"/>
      <c r="W124" s="77"/>
    </row>
    <row r="125" spans="1:23" ht="12.75" customHeight="1">
      <c r="B125" s="11"/>
      <c r="C125" s="64" t="s">
        <v>416</v>
      </c>
      <c r="H125" s="246" t="s">
        <v>104</v>
      </c>
      <c r="I125" s="223"/>
      <c r="J125" s="223"/>
      <c r="K125" s="223"/>
      <c r="L125" s="223"/>
      <c r="M125" s="224"/>
      <c r="O125" s="64" t="s">
        <v>417</v>
      </c>
      <c r="R125" s="246" t="s">
        <v>418</v>
      </c>
      <c r="S125" s="223"/>
      <c r="T125" s="223"/>
      <c r="U125" s="223"/>
      <c r="V125" s="223"/>
      <c r="W125" s="224"/>
    </row>
    <row r="126" spans="1:23" ht="12.75" customHeight="1">
      <c r="B126" s="11"/>
      <c r="H126" s="77"/>
      <c r="I126" s="77"/>
      <c r="J126" s="77"/>
      <c r="K126" s="77"/>
      <c r="L126" s="77"/>
      <c r="M126" s="77"/>
      <c r="R126" s="11"/>
      <c r="S126" s="11"/>
      <c r="T126" s="11"/>
      <c r="U126" s="11"/>
      <c r="V126" s="11"/>
      <c r="W126" s="11"/>
    </row>
    <row r="127" spans="1:23" ht="12.75" customHeight="1">
      <c r="B127" s="11"/>
      <c r="H127" s="11" t="s">
        <v>674</v>
      </c>
      <c r="I127" s="11"/>
      <c r="J127" s="78">
        <v>5</v>
      </c>
      <c r="K127" s="78">
        <v>2</v>
      </c>
      <c r="L127" s="78">
        <v>3</v>
      </c>
      <c r="M127" s="78">
        <v>5</v>
      </c>
      <c r="N127" s="78">
        <v>7</v>
      </c>
      <c r="P127" s="64" t="s">
        <v>680</v>
      </c>
      <c r="R127" s="78"/>
      <c r="S127" s="78"/>
      <c r="T127" s="78"/>
      <c r="U127" s="78"/>
      <c r="V127" s="78"/>
      <c r="W127" s="78"/>
    </row>
    <row r="128" spans="1:23" ht="12.75" customHeight="1">
      <c r="B128" s="11"/>
    </row>
    <row r="129" spans="1:23" ht="12.75" customHeight="1">
      <c r="B129" s="152" t="s">
        <v>121</v>
      </c>
      <c r="C129" s="64" t="s">
        <v>780</v>
      </c>
      <c r="H129" s="78">
        <v>3</v>
      </c>
      <c r="I129" s="78">
        <v>3</v>
      </c>
      <c r="J129" s="78">
        <v>2</v>
      </c>
      <c r="K129" s="78">
        <v>7</v>
      </c>
      <c r="L129" s="78">
        <v>0</v>
      </c>
      <c r="M129" s="78">
        <v>3</v>
      </c>
      <c r="N129" s="78">
        <v>0</v>
      </c>
      <c r="O129" s="78">
        <v>2</v>
      </c>
      <c r="P129" s="78">
        <v>0</v>
      </c>
      <c r="Q129" s="78">
        <v>3</v>
      </c>
      <c r="R129" s="78">
        <v>9</v>
      </c>
      <c r="S129" s="78">
        <v>7</v>
      </c>
      <c r="T129" s="78">
        <v>0</v>
      </c>
      <c r="U129" s="78">
        <v>0</v>
      </c>
      <c r="V129" s="78">
        <v>0</v>
      </c>
      <c r="W129" s="78">
        <v>8</v>
      </c>
    </row>
    <row r="130" spans="1:23" ht="12.75" customHeight="1">
      <c r="B130" s="11"/>
    </row>
    <row r="131" spans="1:23" ht="12.75" customHeight="1">
      <c r="B131" s="152" t="s">
        <v>124</v>
      </c>
      <c r="C131" s="64" t="s">
        <v>391</v>
      </c>
      <c r="H131" s="246" t="s">
        <v>803</v>
      </c>
      <c r="I131" s="223"/>
      <c r="J131" s="223"/>
      <c r="K131" s="223"/>
      <c r="L131" s="223"/>
      <c r="M131" s="223"/>
      <c r="N131" s="223"/>
      <c r="O131" s="223"/>
      <c r="P131" s="223"/>
      <c r="Q131" s="223"/>
      <c r="R131" s="223"/>
      <c r="S131" s="223"/>
      <c r="T131" s="223"/>
      <c r="U131" s="223"/>
      <c r="V131" s="223"/>
      <c r="W131" s="224"/>
    </row>
    <row r="132" spans="1:23" ht="12.75" customHeight="1"/>
    <row r="133" spans="1:23" ht="12.75" customHeight="1"/>
    <row r="134" spans="1:23" ht="12.75" customHeight="1">
      <c r="B134" s="38" t="s">
        <v>782</v>
      </c>
    </row>
    <row r="135" spans="1:23" ht="12.75" customHeight="1"/>
    <row r="136" spans="1:23" ht="12.75" customHeight="1">
      <c r="A136" s="11"/>
      <c r="B136" s="152" t="s">
        <v>111</v>
      </c>
      <c r="C136" s="64" t="s">
        <v>783</v>
      </c>
      <c r="H136" s="78">
        <v>1</v>
      </c>
      <c r="I136" s="64" t="s">
        <v>784</v>
      </c>
    </row>
    <row r="137" spans="1:23" ht="12.75" customHeight="1">
      <c r="A137" s="11"/>
      <c r="B137" s="11"/>
    </row>
    <row r="138" spans="1:23" ht="12.75" customHeight="1">
      <c r="A138" s="11"/>
      <c r="B138" s="152" t="s">
        <v>115</v>
      </c>
      <c r="C138" s="64" t="s">
        <v>387</v>
      </c>
      <c r="H138" s="78">
        <v>3</v>
      </c>
      <c r="I138" s="78">
        <v>3</v>
      </c>
      <c r="J138" s="78">
        <v>2</v>
      </c>
      <c r="K138" s="78">
        <v>7</v>
      </c>
      <c r="L138" s="78">
        <v>0</v>
      </c>
      <c r="M138" s="78">
        <v>3</v>
      </c>
      <c r="N138" s="78">
        <v>0</v>
      </c>
      <c r="O138" s="78">
        <v>3</v>
      </c>
      <c r="P138" s="78">
        <v>0</v>
      </c>
      <c r="Q138" s="78">
        <v>8</v>
      </c>
      <c r="R138" s="78">
        <v>0</v>
      </c>
      <c r="S138" s="78">
        <v>9</v>
      </c>
      <c r="T138" s="78">
        <v>0</v>
      </c>
      <c r="U138" s="78">
        <v>0</v>
      </c>
      <c r="V138" s="78">
        <v>4</v>
      </c>
      <c r="W138" s="78">
        <v>7</v>
      </c>
    </row>
    <row r="139" spans="1:23" ht="12.75" customHeight="1">
      <c r="A139" s="11"/>
      <c r="B139" s="11"/>
    </row>
    <row r="140" spans="1:23" ht="12.75" customHeight="1">
      <c r="A140" s="11"/>
      <c r="B140" s="152" t="s">
        <v>118</v>
      </c>
      <c r="C140" s="64" t="s">
        <v>785</v>
      </c>
      <c r="H140" s="78">
        <v>3</v>
      </c>
      <c r="I140" s="78">
        <v>3</v>
      </c>
      <c r="J140" s="78">
        <v>2</v>
      </c>
      <c r="K140" s="78">
        <v>7</v>
      </c>
      <c r="L140" s="78">
        <v>0</v>
      </c>
      <c r="M140" s="78">
        <v>3</v>
      </c>
      <c r="N140" s="78">
        <v>1</v>
      </c>
      <c r="O140" s="78">
        <v>0</v>
      </c>
      <c r="P140" s="78">
        <v>0</v>
      </c>
      <c r="Q140" s="78">
        <v>1</v>
      </c>
      <c r="R140" s="78">
        <v>7</v>
      </c>
      <c r="S140" s="78">
        <v>5</v>
      </c>
      <c r="T140" s="78">
        <v>0</v>
      </c>
      <c r="U140" s="78">
        <v>0</v>
      </c>
      <c r="V140" s="78">
        <v>1</v>
      </c>
      <c r="W140" s="78">
        <v>0</v>
      </c>
    </row>
    <row r="141" spans="1:23" ht="12.75" customHeight="1">
      <c r="A141" s="11"/>
      <c r="B141" s="11"/>
    </row>
    <row r="142" spans="1:23" ht="12.75" customHeight="1">
      <c r="A142" s="11"/>
      <c r="B142" s="152" t="s">
        <v>121</v>
      </c>
      <c r="C142" s="64" t="s">
        <v>385</v>
      </c>
      <c r="H142" s="246" t="str">
        <f>H131</f>
        <v>SIGIT RIYANTO</v>
      </c>
      <c r="I142" s="223"/>
      <c r="J142" s="223"/>
      <c r="K142" s="223"/>
      <c r="L142" s="223"/>
      <c r="M142" s="223"/>
      <c r="N142" s="223"/>
      <c r="O142" s="223"/>
      <c r="P142" s="223"/>
      <c r="Q142" s="223"/>
      <c r="R142" s="223"/>
      <c r="S142" s="223"/>
      <c r="T142" s="223"/>
      <c r="U142" s="223"/>
      <c r="V142" s="223"/>
      <c r="W142" s="224"/>
    </row>
    <row r="143" spans="1:23" ht="12.75" customHeight="1">
      <c r="A143" s="11"/>
      <c r="B143" s="11"/>
    </row>
    <row r="144" spans="1:23" ht="12.75" customHeight="1">
      <c r="A144" s="11"/>
      <c r="B144" s="152" t="s">
        <v>124</v>
      </c>
      <c r="C144" s="64" t="s">
        <v>786</v>
      </c>
      <c r="H144" s="78"/>
      <c r="I144" s="78"/>
      <c r="J144" s="11"/>
      <c r="K144" s="78"/>
      <c r="L144" s="78"/>
      <c r="M144" s="11"/>
      <c r="N144" s="78"/>
      <c r="O144" s="78"/>
      <c r="P144" s="78"/>
      <c r="Q144" s="78"/>
      <c r="R144" s="11"/>
    </row>
    <row r="145" spans="1:23" ht="12.75" customHeight="1">
      <c r="A145" s="11"/>
      <c r="B145" s="11"/>
    </row>
    <row r="146" spans="1:23" ht="12.75" customHeight="1">
      <c r="A146" s="11"/>
      <c r="B146" s="152" t="s">
        <v>127</v>
      </c>
      <c r="C146" s="64" t="s">
        <v>345</v>
      </c>
      <c r="F146" s="91"/>
      <c r="H146" s="246" t="s">
        <v>804</v>
      </c>
      <c r="I146" s="223"/>
      <c r="J146" s="223"/>
      <c r="K146" s="223"/>
      <c r="L146" s="223"/>
      <c r="M146" s="223"/>
      <c r="N146" s="224"/>
      <c r="P146" s="64" t="s">
        <v>675</v>
      </c>
      <c r="Q146" s="78">
        <v>0</v>
      </c>
      <c r="R146" s="78">
        <v>0</v>
      </c>
      <c r="S146" s="78">
        <v>2</v>
      </c>
      <c r="T146" s="11" t="s">
        <v>676</v>
      </c>
      <c r="U146" s="78">
        <v>0</v>
      </c>
      <c r="V146" s="78">
        <v>0</v>
      </c>
      <c r="W146" s="78">
        <v>9</v>
      </c>
    </row>
    <row r="147" spans="1:23" ht="12.75" customHeight="1">
      <c r="A147" s="11"/>
      <c r="B147" s="11"/>
    </row>
    <row r="148" spans="1:23" ht="12.75" customHeight="1">
      <c r="A148" s="11"/>
      <c r="B148" s="11"/>
      <c r="F148" s="91"/>
      <c r="H148" s="64" t="s">
        <v>779</v>
      </c>
      <c r="L148" s="246" t="s">
        <v>804</v>
      </c>
      <c r="M148" s="223"/>
      <c r="N148" s="223"/>
      <c r="O148" s="223"/>
      <c r="P148" s="223"/>
      <c r="Q148" s="223"/>
      <c r="R148" s="223"/>
      <c r="S148" s="223"/>
      <c r="T148" s="223"/>
      <c r="U148" s="223"/>
      <c r="V148" s="223"/>
      <c r="W148" s="224"/>
    </row>
    <row r="149" spans="1:23" ht="12.75" customHeight="1">
      <c r="A149" s="11"/>
      <c r="B149" s="11"/>
    </row>
    <row r="150" spans="1:23" ht="12.75" customHeight="1">
      <c r="A150" s="11"/>
      <c r="B150" s="11"/>
      <c r="C150" s="64" t="s">
        <v>414</v>
      </c>
      <c r="H150" s="246" t="s">
        <v>805</v>
      </c>
      <c r="I150" s="223"/>
      <c r="J150" s="223"/>
      <c r="K150" s="223"/>
      <c r="L150" s="223"/>
      <c r="M150" s="224"/>
      <c r="O150" s="64" t="s">
        <v>562</v>
      </c>
      <c r="R150" s="246" t="s">
        <v>106</v>
      </c>
      <c r="S150" s="223"/>
      <c r="T150" s="223"/>
      <c r="U150" s="223"/>
      <c r="V150" s="223"/>
      <c r="W150" s="224"/>
    </row>
    <row r="151" spans="1:23" ht="12.75" customHeight="1">
      <c r="A151" s="11"/>
      <c r="B151" s="11"/>
      <c r="H151" s="77"/>
      <c r="I151" s="77"/>
      <c r="J151" s="77"/>
      <c r="K151" s="77"/>
      <c r="L151" s="77"/>
      <c r="M151" s="77"/>
      <c r="R151" s="77"/>
      <c r="S151" s="77"/>
      <c r="T151" s="77"/>
      <c r="U151" s="77"/>
      <c r="V151" s="77"/>
      <c r="W151" s="77"/>
    </row>
    <row r="152" spans="1:23" ht="12.75" customHeight="1">
      <c r="A152" s="11"/>
      <c r="B152" s="11"/>
      <c r="C152" s="64" t="s">
        <v>563</v>
      </c>
      <c r="H152" s="246" t="s">
        <v>789</v>
      </c>
      <c r="I152" s="223"/>
      <c r="J152" s="223"/>
      <c r="K152" s="223"/>
      <c r="L152" s="223"/>
      <c r="M152" s="224"/>
      <c r="O152" s="64" t="s">
        <v>417</v>
      </c>
      <c r="R152" s="246" t="s">
        <v>418</v>
      </c>
      <c r="S152" s="223"/>
      <c r="T152" s="223"/>
      <c r="U152" s="223"/>
      <c r="V152" s="223"/>
      <c r="W152" s="224"/>
    </row>
    <row r="153" spans="1:23" ht="12.75" customHeight="1">
      <c r="A153" s="11"/>
      <c r="B153" s="11"/>
      <c r="H153" s="77"/>
      <c r="I153" s="77"/>
      <c r="J153" s="77"/>
      <c r="K153" s="77"/>
      <c r="L153" s="77"/>
      <c r="M153" s="77"/>
      <c r="R153" s="77"/>
      <c r="S153" s="77"/>
      <c r="T153" s="77"/>
      <c r="U153" s="77"/>
      <c r="V153" s="77"/>
      <c r="W153" s="77"/>
    </row>
    <row r="154" spans="1:23" ht="12.75" customHeight="1">
      <c r="A154" s="11"/>
      <c r="B154" s="152" t="s">
        <v>130</v>
      </c>
      <c r="C154" s="64" t="s">
        <v>790</v>
      </c>
    </row>
    <row r="155" spans="1:23" ht="12.75" customHeight="1"/>
    <row r="156" spans="1:23" ht="12.75" customHeight="1">
      <c r="B156" s="104" t="s">
        <v>684</v>
      </c>
      <c r="C156" s="275" t="s">
        <v>340</v>
      </c>
      <c r="D156" s="223"/>
      <c r="E156" s="223"/>
      <c r="F156" s="223"/>
      <c r="G156" s="223"/>
      <c r="H156" s="223"/>
      <c r="I156" s="223"/>
      <c r="J156" s="223"/>
      <c r="K156" s="224"/>
      <c r="L156" s="275" t="s">
        <v>791</v>
      </c>
      <c r="M156" s="223"/>
      <c r="N156" s="223"/>
      <c r="O156" s="223"/>
      <c r="P156" s="223"/>
      <c r="Q156" s="224"/>
      <c r="R156" s="286" t="s">
        <v>792</v>
      </c>
      <c r="S156" s="223"/>
      <c r="T156" s="224"/>
      <c r="U156" s="275" t="s">
        <v>793</v>
      </c>
      <c r="V156" s="223"/>
      <c r="W156" s="224"/>
    </row>
    <row r="157" spans="1:23" ht="12.75" customHeight="1">
      <c r="B157" s="78">
        <v>1</v>
      </c>
      <c r="C157" s="288" t="s">
        <v>806</v>
      </c>
      <c r="D157" s="223"/>
      <c r="E157" s="223"/>
      <c r="F157" s="223"/>
      <c r="G157" s="223"/>
      <c r="H157" s="223"/>
      <c r="I157" s="223"/>
      <c r="J157" s="223"/>
      <c r="K157" s="224"/>
      <c r="L157" s="246" t="s">
        <v>803</v>
      </c>
      <c r="M157" s="223"/>
      <c r="N157" s="223"/>
      <c r="O157" s="223"/>
      <c r="P157" s="223"/>
      <c r="Q157" s="224"/>
      <c r="R157" s="287">
        <v>35491</v>
      </c>
      <c r="S157" s="223"/>
      <c r="T157" s="224"/>
      <c r="U157" s="252" t="s">
        <v>664</v>
      </c>
      <c r="V157" s="223"/>
      <c r="W157" s="224"/>
    </row>
    <row r="158" spans="1:23" ht="12.75" customHeight="1">
      <c r="B158" s="78">
        <v>2</v>
      </c>
      <c r="C158" s="246"/>
      <c r="D158" s="223"/>
      <c r="E158" s="223"/>
      <c r="F158" s="223"/>
      <c r="G158" s="223"/>
      <c r="H158" s="223"/>
      <c r="I158" s="223"/>
      <c r="J158" s="223"/>
      <c r="K158" s="224"/>
      <c r="L158" s="246"/>
      <c r="M158" s="223"/>
      <c r="N158" s="223"/>
      <c r="O158" s="223"/>
      <c r="P158" s="223"/>
      <c r="Q158" s="224"/>
      <c r="R158" s="287"/>
      <c r="S158" s="223"/>
      <c r="T158" s="224"/>
      <c r="U158" s="252"/>
      <c r="V158" s="223"/>
      <c r="W158" s="224"/>
    </row>
    <row r="159" spans="1:23" ht="12.75" customHeight="1">
      <c r="B159" s="78">
        <v>3</v>
      </c>
      <c r="C159" s="246"/>
      <c r="D159" s="223"/>
      <c r="E159" s="223"/>
      <c r="F159" s="223"/>
      <c r="G159" s="223"/>
      <c r="H159" s="223"/>
      <c r="I159" s="223"/>
      <c r="J159" s="223"/>
      <c r="K159" s="224"/>
      <c r="L159" s="246"/>
      <c r="M159" s="223"/>
      <c r="N159" s="223"/>
      <c r="O159" s="223"/>
      <c r="P159" s="223"/>
      <c r="Q159" s="224"/>
      <c r="R159" s="287"/>
      <c r="S159" s="223"/>
      <c r="T159" s="224"/>
      <c r="U159" s="252"/>
      <c r="V159" s="223"/>
      <c r="W159" s="224"/>
    </row>
    <row r="160" spans="1:23" ht="12.75" customHeight="1">
      <c r="B160" s="78">
        <v>4</v>
      </c>
      <c r="C160" s="246"/>
      <c r="D160" s="223"/>
      <c r="E160" s="223"/>
      <c r="F160" s="223"/>
      <c r="G160" s="223"/>
      <c r="H160" s="223"/>
      <c r="I160" s="223"/>
      <c r="J160" s="223"/>
      <c r="K160" s="224"/>
      <c r="L160" s="246"/>
      <c r="M160" s="223"/>
      <c r="N160" s="223"/>
      <c r="O160" s="223"/>
      <c r="P160" s="223"/>
      <c r="Q160" s="224"/>
      <c r="R160" s="287"/>
      <c r="S160" s="223"/>
      <c r="T160" s="224"/>
      <c r="U160" s="252"/>
      <c r="V160" s="223"/>
      <c r="W160" s="224"/>
    </row>
    <row r="161" spans="2:23" ht="12.75" customHeight="1">
      <c r="B161" s="78">
        <v>5</v>
      </c>
      <c r="C161" s="246"/>
      <c r="D161" s="223"/>
      <c r="E161" s="223"/>
      <c r="F161" s="223"/>
      <c r="G161" s="223"/>
      <c r="H161" s="223"/>
      <c r="I161" s="223"/>
      <c r="J161" s="223"/>
      <c r="K161" s="224"/>
      <c r="L161" s="246"/>
      <c r="M161" s="223"/>
      <c r="N161" s="223"/>
      <c r="O161" s="223"/>
      <c r="P161" s="223"/>
      <c r="Q161" s="224"/>
      <c r="R161" s="287"/>
      <c r="S161" s="223"/>
      <c r="T161" s="224"/>
      <c r="U161" s="252"/>
      <c r="V161" s="223"/>
      <c r="W161" s="224"/>
    </row>
    <row r="162" spans="2:23" ht="12.75" customHeight="1">
      <c r="B162" s="78">
        <v>6</v>
      </c>
      <c r="C162" s="246"/>
      <c r="D162" s="223"/>
      <c r="E162" s="223"/>
      <c r="F162" s="223"/>
      <c r="G162" s="223"/>
      <c r="H162" s="223"/>
      <c r="I162" s="223"/>
      <c r="J162" s="223"/>
      <c r="K162" s="224"/>
      <c r="L162" s="252"/>
      <c r="M162" s="223"/>
      <c r="N162" s="223"/>
      <c r="O162" s="223"/>
      <c r="P162" s="223"/>
      <c r="Q162" s="224"/>
      <c r="R162" s="252"/>
      <c r="S162" s="223"/>
      <c r="T162" s="224"/>
      <c r="U162" s="252"/>
      <c r="V162" s="223"/>
      <c r="W162" s="224"/>
    </row>
    <row r="163" spans="2:23" ht="12.75" customHeight="1">
      <c r="B163" s="78">
        <v>7</v>
      </c>
      <c r="C163" s="252"/>
      <c r="D163" s="223"/>
      <c r="E163" s="223"/>
      <c r="F163" s="223"/>
      <c r="G163" s="223"/>
      <c r="H163" s="223"/>
      <c r="I163" s="223"/>
      <c r="J163" s="223"/>
      <c r="K163" s="224"/>
      <c r="L163" s="252"/>
      <c r="M163" s="223"/>
      <c r="N163" s="223"/>
      <c r="O163" s="223"/>
      <c r="P163" s="223"/>
      <c r="Q163" s="224"/>
      <c r="R163" s="252"/>
      <c r="S163" s="223"/>
      <c r="T163" s="224"/>
      <c r="U163" s="252"/>
      <c r="V163" s="223"/>
      <c r="W163" s="224"/>
    </row>
    <row r="164" spans="2:23" ht="12.75" customHeight="1"/>
    <row r="165" spans="2:23" ht="12.75" customHeight="1"/>
    <row r="166" spans="2:23" ht="12.75" customHeight="1">
      <c r="J166" s="225" t="s">
        <v>480</v>
      </c>
      <c r="K166" s="194"/>
      <c r="L166" s="194"/>
      <c r="M166" s="194"/>
      <c r="N166" s="194"/>
      <c r="O166" s="194"/>
      <c r="R166" s="3" t="s">
        <v>807</v>
      </c>
    </row>
    <row r="167" spans="2:23" ht="12.75" customHeight="1">
      <c r="D167" s="64" t="s">
        <v>797</v>
      </c>
      <c r="J167" s="225" t="s">
        <v>808</v>
      </c>
      <c r="K167" s="194"/>
      <c r="L167" s="194"/>
      <c r="M167" s="194"/>
      <c r="N167" s="194"/>
      <c r="O167" s="194"/>
      <c r="S167" s="64" t="s">
        <v>799</v>
      </c>
    </row>
    <row r="168" spans="2:23" ht="12.75" customHeight="1">
      <c r="J168" s="225" t="s">
        <v>365</v>
      </c>
      <c r="K168" s="194"/>
      <c r="L168" s="194"/>
      <c r="M168" s="194"/>
      <c r="N168" s="194"/>
      <c r="O168" s="194"/>
    </row>
    <row r="169" spans="2:23" ht="12.75" customHeight="1"/>
    <row r="170" spans="2:23" ht="12.75" customHeight="1"/>
    <row r="171" spans="2:23" ht="12.75" customHeight="1"/>
    <row r="172" spans="2:23" ht="12.75" customHeight="1">
      <c r="D172" s="3" t="s">
        <v>27</v>
      </c>
      <c r="K172" s="225" t="s">
        <v>366</v>
      </c>
      <c r="L172" s="194"/>
      <c r="M172" s="194"/>
      <c r="N172" s="194"/>
      <c r="Q172" s="225" t="str">
        <f>L157</f>
        <v>SIGIT RIYANTO</v>
      </c>
      <c r="R172" s="194"/>
      <c r="S172" s="194"/>
      <c r="T172" s="194"/>
      <c r="U172" s="194"/>
      <c r="V172" s="194"/>
    </row>
    <row r="173" spans="2:23" ht="12.75" customHeight="1"/>
    <row r="174" spans="2:23" ht="12.75" customHeight="1"/>
    <row r="175" spans="2:23" ht="12.75" customHeight="1"/>
    <row r="176" spans="2:23" ht="12.75" customHeight="1"/>
    <row r="177" spans="2:23" ht="12.75" customHeight="1"/>
    <row r="178" spans="2:23" ht="12.75" customHeight="1"/>
    <row r="179" spans="2:23" ht="12.75" customHeight="1"/>
    <row r="180" spans="2:23" ht="12.75" customHeight="1"/>
    <row r="181" spans="2:23" ht="12.75" customHeight="1"/>
    <row r="182" spans="2:23" ht="12.75" customHeight="1"/>
    <row r="183" spans="2:23" ht="12.75" customHeight="1"/>
    <row r="184" spans="2:23" ht="12.75" customHeight="1"/>
    <row r="185" spans="2:23" ht="12.75" customHeight="1"/>
    <row r="186" spans="2:23" ht="12.75" customHeight="1"/>
    <row r="187" spans="2:23" ht="12.75" customHeight="1"/>
    <row r="188" spans="2:23" ht="12.75" customHeight="1">
      <c r="T188" s="252" t="s">
        <v>800</v>
      </c>
      <c r="U188" s="223"/>
      <c r="V188" s="224"/>
    </row>
    <row r="189" spans="2:23" ht="12.75" customHeight="1"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</row>
    <row r="190" spans="2:23" ht="12.75" customHeight="1"/>
    <row r="191" spans="2:23" ht="12.75" customHeight="1">
      <c r="B191" s="64" t="s">
        <v>770</v>
      </c>
      <c r="G191" s="11" t="s">
        <v>10</v>
      </c>
      <c r="H191" s="78">
        <v>3</v>
      </c>
      <c r="I191" s="78">
        <v>3</v>
      </c>
      <c r="J191" s="11"/>
      <c r="M191" s="246" t="s">
        <v>418</v>
      </c>
      <c r="N191" s="223"/>
      <c r="O191" s="223"/>
      <c r="P191" s="223"/>
      <c r="Q191" s="223"/>
      <c r="R191" s="223"/>
      <c r="S191" s="223"/>
      <c r="T191" s="223"/>
      <c r="U191" s="223"/>
      <c r="V191" s="223"/>
      <c r="W191" s="224"/>
    </row>
    <row r="192" spans="2:23" ht="12.75" customHeight="1">
      <c r="G192" s="11"/>
      <c r="H192" s="11"/>
      <c r="I192" s="11"/>
      <c r="J192" s="11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</row>
    <row r="193" spans="1:23" ht="12.75" customHeight="1">
      <c r="B193" s="64" t="s">
        <v>105</v>
      </c>
      <c r="G193" s="11" t="s">
        <v>10</v>
      </c>
      <c r="H193" s="78">
        <v>2</v>
      </c>
      <c r="I193" s="78">
        <v>7</v>
      </c>
      <c r="J193" s="11"/>
      <c r="M193" s="246" t="s">
        <v>106</v>
      </c>
      <c r="N193" s="223"/>
      <c r="O193" s="223"/>
      <c r="P193" s="223"/>
      <c r="Q193" s="223"/>
      <c r="R193" s="223"/>
      <c r="S193" s="223"/>
      <c r="T193" s="223"/>
      <c r="U193" s="223"/>
      <c r="V193" s="223"/>
      <c r="W193" s="224"/>
    </row>
    <row r="194" spans="1:23" ht="12.75" customHeight="1">
      <c r="G194" s="11"/>
      <c r="H194" s="11"/>
      <c r="I194" s="11"/>
      <c r="J194" s="11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</row>
    <row r="195" spans="1:23" ht="12.75" customHeight="1">
      <c r="B195" s="64" t="s">
        <v>103</v>
      </c>
      <c r="G195" s="11" t="s">
        <v>10</v>
      </c>
      <c r="H195" s="78">
        <v>4</v>
      </c>
      <c r="I195" s="78">
        <v>0</v>
      </c>
      <c r="J195" s="11"/>
      <c r="M195" s="246" t="s">
        <v>104</v>
      </c>
      <c r="N195" s="223"/>
      <c r="O195" s="223"/>
      <c r="P195" s="223"/>
      <c r="Q195" s="223"/>
      <c r="R195" s="223"/>
      <c r="S195" s="223"/>
      <c r="T195" s="223"/>
      <c r="U195" s="223"/>
      <c r="V195" s="223"/>
      <c r="W195" s="224"/>
    </row>
    <row r="196" spans="1:23" ht="12.75" customHeight="1">
      <c r="G196" s="11"/>
      <c r="H196" s="11"/>
      <c r="I196" s="11"/>
      <c r="J196" s="11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</row>
    <row r="197" spans="1:23" ht="12.75" customHeight="1">
      <c r="B197" s="64" t="s">
        <v>771</v>
      </c>
      <c r="G197" s="11" t="s">
        <v>10</v>
      </c>
      <c r="H197" s="78">
        <v>0</v>
      </c>
      <c r="I197" s="78">
        <v>1</v>
      </c>
      <c r="J197" s="78">
        <v>1</v>
      </c>
      <c r="K197" s="91"/>
      <c r="M197" s="246" t="s">
        <v>102</v>
      </c>
      <c r="N197" s="223"/>
      <c r="O197" s="223"/>
      <c r="P197" s="223"/>
      <c r="Q197" s="223"/>
      <c r="R197" s="223"/>
      <c r="S197" s="223"/>
      <c r="T197" s="223"/>
      <c r="U197" s="223"/>
      <c r="V197" s="223"/>
      <c r="W197" s="224"/>
    </row>
    <row r="198" spans="1:23" ht="12.75" customHeight="1">
      <c r="G198" s="11"/>
    </row>
    <row r="199" spans="1:23" ht="12.75" customHeight="1">
      <c r="B199" s="64" t="s">
        <v>772</v>
      </c>
      <c r="G199" s="11" t="s">
        <v>10</v>
      </c>
      <c r="H199" s="246" t="s">
        <v>773</v>
      </c>
      <c r="I199" s="223"/>
      <c r="J199" s="223"/>
      <c r="K199" s="223"/>
      <c r="L199" s="223"/>
      <c r="M199" s="223"/>
      <c r="N199" s="223"/>
      <c r="O199" s="223"/>
      <c r="P199" s="223"/>
      <c r="Q199" s="223"/>
      <c r="R199" s="223"/>
      <c r="S199" s="223"/>
      <c r="T199" s="223"/>
      <c r="U199" s="223"/>
      <c r="V199" s="223"/>
      <c r="W199" s="224"/>
    </row>
    <row r="200" spans="1:23" ht="12.75" customHeight="1"/>
    <row r="201" spans="1:23" ht="12.75" customHeight="1">
      <c r="B201" s="196" t="s">
        <v>774</v>
      </c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</row>
    <row r="202" spans="1:23" ht="12.75" customHeight="1">
      <c r="B202" s="225" t="s">
        <v>775</v>
      </c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</row>
    <row r="203" spans="1:23" ht="12.75" customHeight="1">
      <c r="B203" s="225" t="s">
        <v>809</v>
      </c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</row>
    <row r="204" spans="1:23" ht="12.75" customHeight="1">
      <c r="A204" s="11"/>
      <c r="B204" s="38" t="s">
        <v>777</v>
      </c>
    </row>
    <row r="205" spans="1:23" ht="12.75" customHeight="1"/>
    <row r="206" spans="1:23" ht="12.75" customHeight="1">
      <c r="B206" s="152" t="s">
        <v>111</v>
      </c>
      <c r="C206" s="64" t="s">
        <v>387</v>
      </c>
      <c r="H206" s="78">
        <v>3</v>
      </c>
      <c r="I206" s="78">
        <v>3</v>
      </c>
      <c r="J206" s="78">
        <v>2</v>
      </c>
      <c r="K206" s="78">
        <v>7</v>
      </c>
      <c r="L206" s="78">
        <v>0</v>
      </c>
      <c r="M206" s="78">
        <v>4</v>
      </c>
      <c r="N206" s="78">
        <v>1</v>
      </c>
      <c r="O206" s="78">
        <v>6</v>
      </c>
      <c r="P206" s="78">
        <v>1</v>
      </c>
      <c r="Q206" s="78">
        <v>0</v>
      </c>
      <c r="R206" s="78">
        <v>2</v>
      </c>
      <c r="S206" s="78">
        <v>0</v>
      </c>
      <c r="T206" s="78">
        <v>0</v>
      </c>
      <c r="U206" s="78">
        <v>0</v>
      </c>
      <c r="V206" s="78">
        <v>0</v>
      </c>
      <c r="W206" s="78">
        <v>4</v>
      </c>
    </row>
    <row r="207" spans="1:23" ht="12.75" customHeight="1">
      <c r="B207" s="11"/>
    </row>
    <row r="208" spans="1:23" ht="12.75" customHeight="1">
      <c r="B208" s="152" t="s">
        <v>115</v>
      </c>
      <c r="C208" s="64" t="s">
        <v>385</v>
      </c>
      <c r="H208" s="246" t="s">
        <v>810</v>
      </c>
      <c r="I208" s="223"/>
      <c r="J208" s="223"/>
      <c r="K208" s="223"/>
      <c r="L208" s="223"/>
      <c r="M208" s="223"/>
      <c r="N208" s="223"/>
      <c r="O208" s="223"/>
      <c r="P208" s="223"/>
      <c r="Q208" s="223"/>
      <c r="R208" s="223"/>
      <c r="S208" s="223"/>
      <c r="T208" s="223"/>
      <c r="U208" s="223"/>
      <c r="V208" s="223"/>
      <c r="W208" s="224"/>
    </row>
    <row r="209" spans="2:23" ht="12.75" customHeight="1">
      <c r="B209" s="11"/>
    </row>
    <row r="210" spans="2:23" ht="12.75" customHeight="1">
      <c r="B210" s="152" t="s">
        <v>118</v>
      </c>
      <c r="C210" s="64" t="s">
        <v>345</v>
      </c>
      <c r="H210" s="246" t="s">
        <v>102</v>
      </c>
      <c r="I210" s="223"/>
      <c r="J210" s="223"/>
      <c r="K210" s="223"/>
      <c r="L210" s="223"/>
      <c r="M210" s="223"/>
      <c r="N210" s="223"/>
      <c r="O210" s="224"/>
      <c r="P210" s="64" t="s">
        <v>675</v>
      </c>
      <c r="Q210" s="78">
        <v>0</v>
      </c>
      <c r="R210" s="78">
        <v>0</v>
      </c>
      <c r="S210" s="78">
        <v>8</v>
      </c>
      <c r="T210" s="11" t="s">
        <v>676</v>
      </c>
      <c r="U210" s="78">
        <v>0</v>
      </c>
      <c r="V210" s="78">
        <v>0</v>
      </c>
      <c r="W210" s="78">
        <v>2</v>
      </c>
    </row>
    <row r="211" spans="2:23" ht="12.75" customHeight="1">
      <c r="B211" s="11"/>
    </row>
    <row r="212" spans="2:23" ht="12.75" customHeight="1">
      <c r="B212" s="11"/>
      <c r="H212" s="64" t="s">
        <v>779</v>
      </c>
      <c r="L212" s="246" t="s">
        <v>102</v>
      </c>
      <c r="M212" s="223"/>
      <c r="N212" s="223"/>
      <c r="O212" s="223"/>
      <c r="P212" s="223"/>
      <c r="Q212" s="223"/>
      <c r="R212" s="223"/>
      <c r="S212" s="223"/>
      <c r="T212" s="223"/>
      <c r="U212" s="223"/>
      <c r="V212" s="223"/>
      <c r="W212" s="224"/>
    </row>
    <row r="213" spans="2:23" ht="12.75" customHeight="1">
      <c r="B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spans="2:23" ht="12.75" customHeight="1">
      <c r="B214" s="11"/>
      <c r="C214" s="64" t="s">
        <v>414</v>
      </c>
      <c r="H214" s="246" t="s">
        <v>102</v>
      </c>
      <c r="I214" s="223"/>
      <c r="J214" s="223"/>
      <c r="K214" s="223"/>
      <c r="L214" s="223"/>
      <c r="M214" s="224"/>
      <c r="O214" s="64" t="s">
        <v>562</v>
      </c>
      <c r="R214" s="246" t="s">
        <v>106</v>
      </c>
      <c r="S214" s="223"/>
      <c r="T214" s="223"/>
      <c r="U214" s="223"/>
      <c r="V214" s="223"/>
      <c r="W214" s="224"/>
    </row>
    <row r="215" spans="2:23" ht="12.75" customHeight="1">
      <c r="B215" s="11"/>
      <c r="H215" s="77"/>
      <c r="I215" s="77"/>
      <c r="J215" s="77"/>
      <c r="K215" s="77"/>
      <c r="L215" s="77"/>
      <c r="M215" s="77"/>
      <c r="R215" s="77"/>
      <c r="S215" s="77"/>
      <c r="T215" s="77"/>
      <c r="U215" s="77"/>
      <c r="V215" s="77"/>
      <c r="W215" s="77"/>
    </row>
    <row r="216" spans="2:23" ht="12.75" customHeight="1">
      <c r="B216" s="11"/>
      <c r="C216" s="64" t="s">
        <v>416</v>
      </c>
      <c r="H216" s="246" t="s">
        <v>104</v>
      </c>
      <c r="I216" s="223"/>
      <c r="J216" s="223"/>
      <c r="K216" s="223"/>
      <c r="L216" s="223"/>
      <c r="M216" s="224"/>
      <c r="O216" s="64" t="s">
        <v>417</v>
      </c>
      <c r="R216" s="246" t="s">
        <v>418</v>
      </c>
      <c r="S216" s="223"/>
      <c r="T216" s="223"/>
      <c r="U216" s="223"/>
      <c r="V216" s="223"/>
      <c r="W216" s="224"/>
    </row>
    <row r="217" spans="2:23" ht="12.75" customHeight="1">
      <c r="B217" s="11"/>
      <c r="H217" s="77"/>
      <c r="I217" s="77"/>
      <c r="J217" s="77"/>
      <c r="K217" s="77"/>
      <c r="L217" s="77"/>
      <c r="M217" s="77"/>
      <c r="R217" s="11"/>
      <c r="S217" s="11"/>
      <c r="T217" s="11"/>
      <c r="U217" s="11"/>
      <c r="V217" s="11"/>
      <c r="W217" s="11"/>
    </row>
    <row r="218" spans="2:23" ht="12.75" customHeight="1">
      <c r="B218" s="11"/>
      <c r="H218" s="11" t="s">
        <v>674</v>
      </c>
      <c r="I218" s="11"/>
      <c r="J218" s="78">
        <v>5</v>
      </c>
      <c r="K218" s="78">
        <v>2</v>
      </c>
      <c r="L218" s="78">
        <v>3</v>
      </c>
      <c r="M218" s="78">
        <v>5</v>
      </c>
      <c r="N218" s="78">
        <v>7</v>
      </c>
      <c r="P218" s="64" t="s">
        <v>680</v>
      </c>
      <c r="R218" s="78"/>
      <c r="S218" s="78"/>
      <c r="T218" s="78"/>
      <c r="U218" s="78"/>
      <c r="V218" s="78"/>
      <c r="W218" s="78"/>
    </row>
    <row r="219" spans="2:23" ht="12.75" customHeight="1">
      <c r="B219" s="11"/>
    </row>
    <row r="220" spans="2:23" ht="12.75" customHeight="1">
      <c r="B220" s="152" t="s">
        <v>121</v>
      </c>
      <c r="C220" s="64" t="s">
        <v>780</v>
      </c>
      <c r="H220" s="78">
        <v>3</v>
      </c>
      <c r="I220" s="78">
        <v>3</v>
      </c>
      <c r="J220" s="78">
        <v>0</v>
      </c>
      <c r="K220" s="78">
        <v>3</v>
      </c>
      <c r="L220" s="78">
        <v>1</v>
      </c>
      <c r="M220" s="78">
        <v>7</v>
      </c>
      <c r="N220" s="78">
        <v>0</v>
      </c>
      <c r="O220" s="78">
        <v>9</v>
      </c>
      <c r="P220" s="78">
        <v>0</v>
      </c>
      <c r="Q220" s="78">
        <v>9</v>
      </c>
      <c r="R220" s="78">
        <v>9</v>
      </c>
      <c r="S220" s="78">
        <v>4</v>
      </c>
      <c r="T220" s="78">
        <v>0</v>
      </c>
      <c r="U220" s="78">
        <v>0</v>
      </c>
      <c r="V220" s="78">
        <v>0</v>
      </c>
      <c r="W220" s="78">
        <v>1</v>
      </c>
    </row>
    <row r="221" spans="2:23" ht="12.75" customHeight="1">
      <c r="B221" s="11"/>
    </row>
    <row r="222" spans="2:23" ht="12.75" customHeight="1">
      <c r="B222" s="152" t="s">
        <v>124</v>
      </c>
      <c r="C222" s="64" t="s">
        <v>391</v>
      </c>
      <c r="H222" s="246" t="s">
        <v>810</v>
      </c>
      <c r="I222" s="223"/>
      <c r="J222" s="223"/>
      <c r="K222" s="223"/>
      <c r="L222" s="223"/>
      <c r="M222" s="223"/>
      <c r="N222" s="223"/>
      <c r="O222" s="223"/>
      <c r="P222" s="223"/>
      <c r="Q222" s="223"/>
      <c r="R222" s="223"/>
      <c r="S222" s="223"/>
      <c r="T222" s="223"/>
      <c r="U222" s="223"/>
      <c r="V222" s="223"/>
      <c r="W222" s="224"/>
    </row>
    <row r="223" spans="2:23" ht="12.75" customHeight="1"/>
    <row r="224" spans="2:23" ht="12.75" customHeight="1"/>
    <row r="225" spans="1:23" ht="12.75" customHeight="1">
      <c r="B225" s="38" t="s">
        <v>782</v>
      </c>
    </row>
    <row r="226" spans="1:23" ht="12.75" customHeight="1"/>
    <row r="227" spans="1:23" ht="12.75" customHeight="1">
      <c r="A227" s="11"/>
      <c r="B227" s="152" t="s">
        <v>111</v>
      </c>
      <c r="C227" s="64" t="s">
        <v>783</v>
      </c>
      <c r="H227" s="78">
        <v>2</v>
      </c>
      <c r="I227" s="64" t="s">
        <v>784</v>
      </c>
    </row>
    <row r="228" spans="1:23" ht="12.75" customHeight="1">
      <c r="A228" s="11"/>
      <c r="B228" s="11"/>
    </row>
    <row r="229" spans="1:23" ht="12.75" customHeight="1">
      <c r="A229" s="11"/>
      <c r="B229" s="152" t="s">
        <v>115</v>
      </c>
      <c r="C229" s="64" t="s">
        <v>387</v>
      </c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</row>
    <row r="230" spans="1:23" ht="12.75" customHeight="1">
      <c r="A230" s="11"/>
      <c r="B230" s="11"/>
    </row>
    <row r="231" spans="1:23" ht="12.75" customHeight="1">
      <c r="A231" s="11"/>
      <c r="B231" s="152" t="s">
        <v>118</v>
      </c>
      <c r="C231" s="64" t="s">
        <v>785</v>
      </c>
      <c r="H231" s="78">
        <v>3</v>
      </c>
      <c r="I231" s="78">
        <v>3</v>
      </c>
      <c r="J231" s="78">
        <v>0</v>
      </c>
      <c r="K231" s="78">
        <v>3</v>
      </c>
      <c r="L231" s="78">
        <v>1</v>
      </c>
      <c r="M231" s="78">
        <v>7</v>
      </c>
      <c r="N231" s="78">
        <v>0</v>
      </c>
      <c r="O231" s="78">
        <v>9</v>
      </c>
      <c r="P231" s="78">
        <v>0</v>
      </c>
      <c r="Q231" s="78">
        <v>9</v>
      </c>
      <c r="R231" s="78">
        <v>9</v>
      </c>
      <c r="S231" s="78">
        <v>4</v>
      </c>
      <c r="T231" s="78">
        <v>0</v>
      </c>
      <c r="U231" s="78">
        <v>0</v>
      </c>
      <c r="V231" s="78">
        <v>0</v>
      </c>
      <c r="W231" s="78">
        <v>1</v>
      </c>
    </row>
    <row r="232" spans="1:23" ht="12.75" customHeight="1">
      <c r="A232" s="11"/>
      <c r="B232" s="11"/>
    </row>
    <row r="233" spans="1:23" ht="12.75" customHeight="1">
      <c r="A233" s="11"/>
      <c r="B233" s="152" t="s">
        <v>121</v>
      </c>
      <c r="C233" s="64" t="s">
        <v>385</v>
      </c>
      <c r="H233" s="246" t="str">
        <f>H222</f>
        <v>SEFUDIN</v>
      </c>
      <c r="I233" s="223"/>
      <c r="J233" s="223"/>
      <c r="K233" s="223"/>
      <c r="L233" s="223"/>
      <c r="M233" s="223"/>
      <c r="N233" s="223"/>
      <c r="O233" s="223"/>
      <c r="P233" s="223"/>
      <c r="Q233" s="223"/>
      <c r="R233" s="223"/>
      <c r="S233" s="223"/>
      <c r="T233" s="223"/>
      <c r="U233" s="223"/>
      <c r="V233" s="223"/>
      <c r="W233" s="224"/>
    </row>
    <row r="234" spans="1:23" ht="12.75" customHeight="1">
      <c r="A234" s="11"/>
      <c r="B234" s="11"/>
    </row>
    <row r="235" spans="1:23" ht="12.75" customHeight="1">
      <c r="A235" s="11"/>
      <c r="B235" s="152" t="s">
        <v>124</v>
      </c>
      <c r="C235" s="64" t="s">
        <v>786</v>
      </c>
      <c r="H235" s="78"/>
      <c r="I235" s="78"/>
      <c r="J235" s="11"/>
      <c r="K235" s="78"/>
      <c r="L235" s="78"/>
      <c r="M235" s="11"/>
      <c r="N235" s="78"/>
      <c r="O235" s="78"/>
      <c r="P235" s="78"/>
      <c r="Q235" s="78"/>
      <c r="R235" s="11"/>
    </row>
    <row r="236" spans="1:23" ht="12.75" customHeight="1">
      <c r="A236" s="11"/>
      <c r="B236" s="11"/>
    </row>
    <row r="237" spans="1:23" ht="12.75" customHeight="1">
      <c r="A237" s="11"/>
      <c r="B237" s="152" t="s">
        <v>127</v>
      </c>
      <c r="C237" s="64" t="s">
        <v>345</v>
      </c>
      <c r="F237" s="91"/>
      <c r="H237" s="246" t="s">
        <v>811</v>
      </c>
      <c r="I237" s="223"/>
      <c r="J237" s="223"/>
      <c r="K237" s="223"/>
      <c r="L237" s="223"/>
      <c r="M237" s="223"/>
      <c r="N237" s="224"/>
      <c r="P237" s="64" t="s">
        <v>675</v>
      </c>
      <c r="Q237" s="78">
        <v>0</v>
      </c>
      <c r="R237" s="78">
        <v>2</v>
      </c>
      <c r="S237" s="78">
        <v>6</v>
      </c>
      <c r="T237" s="11" t="s">
        <v>676</v>
      </c>
      <c r="U237" s="78">
        <v>0</v>
      </c>
      <c r="V237" s="78">
        <v>0</v>
      </c>
      <c r="W237" s="78">
        <v>6</v>
      </c>
    </row>
    <row r="238" spans="1:23" ht="12.75" customHeight="1">
      <c r="A238" s="11"/>
      <c r="B238" s="11"/>
    </row>
    <row r="239" spans="1:23" ht="12.75" customHeight="1">
      <c r="A239" s="11"/>
      <c r="B239" s="11"/>
      <c r="F239" s="91"/>
      <c r="H239" s="64" t="s">
        <v>779</v>
      </c>
      <c r="L239" s="246" t="s">
        <v>788</v>
      </c>
      <c r="M239" s="223"/>
      <c r="N239" s="223"/>
      <c r="O239" s="223"/>
      <c r="P239" s="223"/>
      <c r="Q239" s="223"/>
      <c r="R239" s="223"/>
      <c r="S239" s="223"/>
      <c r="T239" s="223"/>
      <c r="U239" s="223"/>
      <c r="V239" s="223"/>
      <c r="W239" s="224"/>
    </row>
    <row r="240" spans="1:23" ht="12.75" customHeight="1">
      <c r="A240" s="11"/>
      <c r="B240" s="11"/>
    </row>
    <row r="241" spans="1:23" ht="12.75" customHeight="1">
      <c r="A241" s="11"/>
      <c r="B241" s="11"/>
      <c r="C241" s="64" t="s">
        <v>414</v>
      </c>
      <c r="H241" s="246" t="s">
        <v>812</v>
      </c>
      <c r="I241" s="223"/>
      <c r="J241" s="223"/>
      <c r="K241" s="223"/>
      <c r="L241" s="223"/>
      <c r="M241" s="224"/>
      <c r="O241" s="64" t="s">
        <v>562</v>
      </c>
      <c r="R241" s="246" t="s">
        <v>106</v>
      </c>
      <c r="S241" s="223"/>
      <c r="T241" s="223"/>
      <c r="U241" s="223"/>
      <c r="V241" s="223"/>
      <c r="W241" s="224"/>
    </row>
    <row r="242" spans="1:23" ht="12.75" customHeight="1">
      <c r="A242" s="11"/>
      <c r="B242" s="11"/>
      <c r="H242" s="77"/>
      <c r="I242" s="77"/>
      <c r="J242" s="77"/>
      <c r="K242" s="77"/>
      <c r="L242" s="77"/>
      <c r="M242" s="77"/>
      <c r="R242" s="77"/>
      <c r="S242" s="77"/>
      <c r="T242" s="77"/>
      <c r="U242" s="77"/>
      <c r="V242" s="77"/>
      <c r="W242" s="77"/>
    </row>
    <row r="243" spans="1:23" ht="12.75" customHeight="1">
      <c r="A243" s="11"/>
      <c r="B243" s="11"/>
      <c r="C243" s="64" t="s">
        <v>563</v>
      </c>
      <c r="H243" s="246" t="s">
        <v>789</v>
      </c>
      <c r="I243" s="223"/>
      <c r="J243" s="223"/>
      <c r="K243" s="223"/>
      <c r="L243" s="223"/>
      <c r="M243" s="224"/>
      <c r="O243" s="64" t="s">
        <v>417</v>
      </c>
      <c r="R243" s="246" t="s">
        <v>418</v>
      </c>
      <c r="S243" s="223"/>
      <c r="T243" s="223"/>
      <c r="U243" s="223"/>
      <c r="V243" s="223"/>
      <c r="W243" s="224"/>
    </row>
    <row r="244" spans="1:23" ht="12.75" customHeight="1">
      <c r="A244" s="11"/>
      <c r="B244" s="11"/>
      <c r="H244" s="77"/>
      <c r="I244" s="77"/>
      <c r="J244" s="77"/>
      <c r="K244" s="77"/>
      <c r="L244" s="77"/>
      <c r="M244" s="77"/>
      <c r="R244" s="77"/>
      <c r="S244" s="77"/>
      <c r="T244" s="77"/>
      <c r="U244" s="77"/>
      <c r="V244" s="77"/>
      <c r="W244" s="77"/>
    </row>
    <row r="245" spans="1:23" ht="12.75" customHeight="1">
      <c r="A245" s="11"/>
      <c r="B245" s="152" t="s">
        <v>130</v>
      </c>
      <c r="C245" s="64" t="s">
        <v>790</v>
      </c>
    </row>
    <row r="246" spans="1:23" ht="12.75" customHeight="1"/>
    <row r="247" spans="1:23" ht="12.75" customHeight="1">
      <c r="B247" s="104" t="s">
        <v>684</v>
      </c>
      <c r="C247" s="275" t="s">
        <v>340</v>
      </c>
      <c r="D247" s="223"/>
      <c r="E247" s="223"/>
      <c r="F247" s="223"/>
      <c r="G247" s="223"/>
      <c r="H247" s="223"/>
      <c r="I247" s="223"/>
      <c r="J247" s="223"/>
      <c r="K247" s="224"/>
      <c r="L247" s="275" t="s">
        <v>791</v>
      </c>
      <c r="M247" s="223"/>
      <c r="N247" s="223"/>
      <c r="O247" s="223"/>
      <c r="P247" s="223"/>
      <c r="Q247" s="224"/>
      <c r="R247" s="286" t="s">
        <v>792</v>
      </c>
      <c r="S247" s="223"/>
      <c r="T247" s="224"/>
      <c r="U247" s="275" t="s">
        <v>793</v>
      </c>
      <c r="V247" s="223"/>
      <c r="W247" s="224"/>
    </row>
    <row r="248" spans="1:23" ht="12.75" customHeight="1">
      <c r="B248" s="78">
        <v>1</v>
      </c>
      <c r="C248" s="288" t="s">
        <v>813</v>
      </c>
      <c r="D248" s="223"/>
      <c r="E248" s="223"/>
      <c r="F248" s="223"/>
      <c r="G248" s="223"/>
      <c r="H248" s="223"/>
      <c r="I248" s="223"/>
      <c r="J248" s="223"/>
      <c r="K248" s="224"/>
      <c r="L248" s="246" t="s">
        <v>810</v>
      </c>
      <c r="M248" s="223"/>
      <c r="N248" s="223"/>
      <c r="O248" s="223"/>
      <c r="P248" s="223"/>
      <c r="Q248" s="224"/>
      <c r="R248" s="287">
        <v>34596</v>
      </c>
      <c r="S248" s="223"/>
      <c r="T248" s="224"/>
      <c r="U248" s="252" t="s">
        <v>814</v>
      </c>
      <c r="V248" s="223"/>
      <c r="W248" s="224"/>
    </row>
    <row r="249" spans="1:23" ht="12.75" customHeight="1">
      <c r="B249" s="78">
        <v>2</v>
      </c>
      <c r="C249" s="288" t="s">
        <v>815</v>
      </c>
      <c r="D249" s="223"/>
      <c r="E249" s="223"/>
      <c r="F249" s="223"/>
      <c r="G249" s="223"/>
      <c r="H249" s="223"/>
      <c r="I249" s="223"/>
      <c r="J249" s="223"/>
      <c r="K249" s="224"/>
      <c r="L249" s="246" t="s">
        <v>816</v>
      </c>
      <c r="M249" s="223"/>
      <c r="N249" s="223"/>
      <c r="O249" s="223"/>
      <c r="P249" s="223"/>
      <c r="Q249" s="224"/>
      <c r="R249" s="287">
        <v>36983</v>
      </c>
      <c r="S249" s="223"/>
      <c r="T249" s="224"/>
      <c r="U249" s="252" t="s">
        <v>817</v>
      </c>
      <c r="V249" s="223"/>
      <c r="W249" s="224"/>
    </row>
    <row r="250" spans="1:23" ht="12.75" customHeight="1">
      <c r="B250" s="78">
        <v>3</v>
      </c>
      <c r="C250" s="288" t="s">
        <v>818</v>
      </c>
      <c r="D250" s="223"/>
      <c r="E250" s="223"/>
      <c r="F250" s="223"/>
      <c r="G250" s="223"/>
      <c r="H250" s="223"/>
      <c r="I250" s="223"/>
      <c r="J250" s="223"/>
      <c r="K250" s="224"/>
      <c r="L250" s="246" t="s">
        <v>819</v>
      </c>
      <c r="M250" s="223"/>
      <c r="N250" s="223"/>
      <c r="O250" s="223"/>
      <c r="P250" s="223"/>
      <c r="Q250" s="224"/>
      <c r="R250" s="287">
        <v>44159</v>
      </c>
      <c r="S250" s="223"/>
      <c r="T250" s="224"/>
      <c r="U250" s="252" t="s">
        <v>795</v>
      </c>
      <c r="V250" s="223"/>
      <c r="W250" s="224"/>
    </row>
    <row r="251" spans="1:23" ht="12.75" customHeight="1">
      <c r="B251" s="78">
        <v>4</v>
      </c>
      <c r="C251" s="246"/>
      <c r="D251" s="223"/>
      <c r="E251" s="223"/>
      <c r="F251" s="223"/>
      <c r="G251" s="223"/>
      <c r="H251" s="223"/>
      <c r="I251" s="223"/>
      <c r="J251" s="223"/>
      <c r="K251" s="224"/>
      <c r="L251" s="246"/>
      <c r="M251" s="223"/>
      <c r="N251" s="223"/>
      <c r="O251" s="223"/>
      <c r="P251" s="223"/>
      <c r="Q251" s="224"/>
      <c r="R251" s="287"/>
      <c r="S251" s="223"/>
      <c r="T251" s="224"/>
      <c r="U251" s="252"/>
      <c r="V251" s="223"/>
      <c r="W251" s="224"/>
    </row>
    <row r="252" spans="1:23" ht="12.75" customHeight="1">
      <c r="B252" s="78">
        <v>5</v>
      </c>
      <c r="C252" s="246"/>
      <c r="D252" s="223"/>
      <c r="E252" s="223"/>
      <c r="F252" s="223"/>
      <c r="G252" s="223"/>
      <c r="H252" s="223"/>
      <c r="I252" s="223"/>
      <c r="J252" s="223"/>
      <c r="K252" s="224"/>
      <c r="L252" s="246"/>
      <c r="M252" s="223"/>
      <c r="N252" s="223"/>
      <c r="O252" s="223"/>
      <c r="P252" s="223"/>
      <c r="Q252" s="224"/>
      <c r="R252" s="287"/>
      <c r="S252" s="223"/>
      <c r="T252" s="224"/>
      <c r="U252" s="252"/>
      <c r="V252" s="223"/>
      <c r="W252" s="224"/>
    </row>
    <row r="253" spans="1:23" ht="12.75" customHeight="1">
      <c r="B253" s="78">
        <v>6</v>
      </c>
      <c r="C253" s="246"/>
      <c r="D253" s="223"/>
      <c r="E253" s="223"/>
      <c r="F253" s="223"/>
      <c r="G253" s="223"/>
      <c r="H253" s="223"/>
      <c r="I253" s="223"/>
      <c r="J253" s="223"/>
      <c r="K253" s="224"/>
      <c r="L253" s="252"/>
      <c r="M253" s="223"/>
      <c r="N253" s="223"/>
      <c r="O253" s="223"/>
      <c r="P253" s="223"/>
      <c r="Q253" s="224"/>
      <c r="R253" s="252"/>
      <c r="S253" s="223"/>
      <c r="T253" s="224"/>
      <c r="U253" s="252"/>
      <c r="V253" s="223"/>
      <c r="W253" s="224"/>
    </row>
    <row r="254" spans="1:23" ht="12.75" customHeight="1">
      <c r="B254" s="78">
        <v>7</v>
      </c>
      <c r="C254" s="252"/>
      <c r="D254" s="223"/>
      <c r="E254" s="223"/>
      <c r="F254" s="223"/>
      <c r="G254" s="223"/>
      <c r="H254" s="223"/>
      <c r="I254" s="223"/>
      <c r="J254" s="223"/>
      <c r="K254" s="224"/>
      <c r="L254" s="252"/>
      <c r="M254" s="223"/>
      <c r="N254" s="223"/>
      <c r="O254" s="223"/>
      <c r="P254" s="223"/>
      <c r="Q254" s="224"/>
      <c r="R254" s="252"/>
      <c r="S254" s="223"/>
      <c r="T254" s="224"/>
      <c r="U254" s="252"/>
      <c r="V254" s="223"/>
      <c r="W254" s="224"/>
    </row>
    <row r="255" spans="1:23" ht="12.75" customHeight="1"/>
    <row r="256" spans="1:23" ht="12.75" customHeight="1"/>
    <row r="257" spans="4:22" ht="12.75" customHeight="1">
      <c r="J257" s="225" t="s">
        <v>480</v>
      </c>
      <c r="K257" s="194"/>
      <c r="L257" s="194"/>
      <c r="M257" s="194"/>
      <c r="N257" s="194"/>
      <c r="O257" s="194"/>
      <c r="R257" s="3" t="s">
        <v>820</v>
      </c>
    </row>
    <row r="258" spans="4:22" ht="12.75" customHeight="1">
      <c r="D258" s="64" t="s">
        <v>797</v>
      </c>
      <c r="J258" s="225" t="s">
        <v>808</v>
      </c>
      <c r="K258" s="194"/>
      <c r="L258" s="194"/>
      <c r="M258" s="194"/>
      <c r="N258" s="194"/>
      <c r="O258" s="194"/>
      <c r="S258" s="64" t="s">
        <v>799</v>
      </c>
    </row>
    <row r="259" spans="4:22" ht="12.75" customHeight="1">
      <c r="J259" s="225" t="s">
        <v>365</v>
      </c>
      <c r="K259" s="194"/>
      <c r="L259" s="194"/>
      <c r="M259" s="194"/>
      <c r="N259" s="194"/>
      <c r="O259" s="194"/>
    </row>
    <row r="260" spans="4:22" ht="12.75" customHeight="1"/>
    <row r="261" spans="4:22" ht="12.75" customHeight="1"/>
    <row r="262" spans="4:22" ht="12.75" customHeight="1"/>
    <row r="263" spans="4:22" ht="12.75" customHeight="1">
      <c r="D263" s="3" t="s">
        <v>27</v>
      </c>
      <c r="K263" s="225" t="s">
        <v>366</v>
      </c>
      <c r="L263" s="194"/>
      <c r="M263" s="194"/>
      <c r="N263" s="194"/>
      <c r="Q263" s="225" t="str">
        <f>L248</f>
        <v>SEFUDIN</v>
      </c>
      <c r="R263" s="194"/>
      <c r="S263" s="194"/>
      <c r="T263" s="194"/>
      <c r="U263" s="194"/>
      <c r="V263" s="194"/>
    </row>
    <row r="264" spans="4:22" ht="12.75" customHeight="1"/>
    <row r="265" spans="4:22" ht="12.75" customHeight="1"/>
    <row r="266" spans="4:22" ht="12.75" customHeight="1"/>
    <row r="267" spans="4:22" ht="12.75" customHeight="1"/>
    <row r="268" spans="4:22" ht="12.75" customHeight="1"/>
    <row r="269" spans="4:22" ht="12.75" customHeight="1"/>
    <row r="270" spans="4:22" ht="12.75" customHeight="1"/>
    <row r="271" spans="4:22" ht="12.75" customHeight="1"/>
    <row r="272" spans="4:2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spans="2:23" ht="12.75" customHeight="1"/>
    <row r="370" spans="2:23" ht="12.75" customHeight="1"/>
    <row r="371" spans="2:23" ht="12.75" customHeight="1"/>
    <row r="372" spans="2:23" ht="12.75" customHeight="1"/>
    <row r="373" spans="2:23" ht="12.75" customHeight="1"/>
    <row r="374" spans="2:23" ht="12.75" customHeight="1">
      <c r="T374" s="252" t="s">
        <v>821</v>
      </c>
      <c r="U374" s="223"/>
      <c r="V374" s="224"/>
    </row>
    <row r="375" spans="2:23" ht="12.75" customHeight="1"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</row>
    <row r="376" spans="2:23" ht="12.75" customHeight="1"/>
    <row r="377" spans="2:23" ht="12.75" customHeight="1">
      <c r="B377" s="64" t="s">
        <v>770</v>
      </c>
      <c r="G377" s="11" t="s">
        <v>10</v>
      </c>
      <c r="H377" s="78">
        <v>3</v>
      </c>
      <c r="I377" s="78">
        <v>3</v>
      </c>
      <c r="J377" s="11"/>
      <c r="M377" s="246" t="s">
        <v>418</v>
      </c>
      <c r="N377" s="223"/>
      <c r="O377" s="223"/>
      <c r="P377" s="223"/>
      <c r="Q377" s="223"/>
      <c r="R377" s="223"/>
      <c r="S377" s="223"/>
      <c r="T377" s="223"/>
      <c r="U377" s="223"/>
      <c r="V377" s="223"/>
      <c r="W377" s="224"/>
    </row>
    <row r="378" spans="2:23" ht="12.75" customHeight="1">
      <c r="G378" s="11"/>
      <c r="H378" s="11"/>
      <c r="I378" s="11"/>
      <c r="J378" s="11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</row>
    <row r="379" spans="2:23" ht="12.75" customHeight="1">
      <c r="B379" s="64" t="s">
        <v>105</v>
      </c>
      <c r="G379" s="11" t="s">
        <v>10</v>
      </c>
      <c r="H379" s="78">
        <v>2</v>
      </c>
      <c r="I379" s="78">
        <v>7</v>
      </c>
      <c r="J379" s="11"/>
      <c r="M379" s="246" t="s">
        <v>106</v>
      </c>
      <c r="N379" s="223"/>
      <c r="O379" s="223"/>
      <c r="P379" s="223"/>
      <c r="Q379" s="223"/>
      <c r="R379" s="223"/>
      <c r="S379" s="223"/>
      <c r="T379" s="223"/>
      <c r="U379" s="223"/>
      <c r="V379" s="223"/>
      <c r="W379" s="224"/>
    </row>
    <row r="380" spans="2:23" ht="12.75" customHeight="1">
      <c r="G380" s="11"/>
      <c r="H380" s="11"/>
      <c r="I380" s="11"/>
      <c r="J380" s="11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</row>
    <row r="381" spans="2:23" ht="12.75" customHeight="1">
      <c r="B381" s="64" t="s">
        <v>103</v>
      </c>
      <c r="G381" s="11" t="s">
        <v>10</v>
      </c>
      <c r="H381" s="78">
        <v>4</v>
      </c>
      <c r="I381" s="78">
        <v>0</v>
      </c>
      <c r="J381" s="11"/>
      <c r="M381" s="246" t="s">
        <v>104</v>
      </c>
      <c r="N381" s="223"/>
      <c r="O381" s="223"/>
      <c r="P381" s="223"/>
      <c r="Q381" s="223"/>
      <c r="R381" s="223"/>
      <c r="S381" s="223"/>
      <c r="T381" s="223"/>
      <c r="U381" s="223"/>
      <c r="V381" s="223"/>
      <c r="W381" s="224"/>
    </row>
    <row r="382" spans="2:23" ht="12.75" customHeight="1">
      <c r="G382" s="11"/>
      <c r="H382" s="11"/>
      <c r="I382" s="11"/>
      <c r="J382" s="11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</row>
    <row r="383" spans="2:23" ht="12.75" customHeight="1">
      <c r="B383" s="64" t="s">
        <v>771</v>
      </c>
      <c r="G383" s="11" t="s">
        <v>10</v>
      </c>
      <c r="H383" s="78">
        <v>0</v>
      </c>
      <c r="I383" s="78">
        <v>1</v>
      </c>
      <c r="J383" s="78">
        <v>1</v>
      </c>
      <c r="K383" s="91"/>
      <c r="M383" s="246" t="s">
        <v>102</v>
      </c>
      <c r="N383" s="223"/>
      <c r="O383" s="223"/>
      <c r="P383" s="223"/>
      <c r="Q383" s="223"/>
      <c r="R383" s="223"/>
      <c r="S383" s="223"/>
      <c r="T383" s="223"/>
      <c r="U383" s="223"/>
      <c r="V383" s="223"/>
      <c r="W383" s="224"/>
    </row>
    <row r="384" spans="2:23" ht="12.75" customHeight="1">
      <c r="G384" s="11"/>
    </row>
    <row r="385" spans="1:23" ht="12.75" customHeight="1">
      <c r="B385" s="64" t="s">
        <v>772</v>
      </c>
      <c r="G385" s="11" t="s">
        <v>10</v>
      </c>
      <c r="H385" s="246" t="s">
        <v>773</v>
      </c>
      <c r="I385" s="223"/>
      <c r="J385" s="223"/>
      <c r="K385" s="223"/>
      <c r="L385" s="223"/>
      <c r="M385" s="223"/>
      <c r="N385" s="223"/>
      <c r="O385" s="223"/>
      <c r="P385" s="223"/>
      <c r="Q385" s="223"/>
      <c r="R385" s="223"/>
      <c r="S385" s="223"/>
      <c r="T385" s="223"/>
      <c r="U385" s="223"/>
      <c r="V385" s="223"/>
      <c r="W385" s="224"/>
    </row>
    <row r="386" spans="1:23" ht="12.75" customHeight="1"/>
    <row r="387" spans="1:23" ht="12.75" customHeight="1">
      <c r="B387" s="196" t="s">
        <v>822</v>
      </c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</row>
    <row r="388" spans="1:23" ht="12.75" customHeight="1">
      <c r="B388" s="225" t="s">
        <v>775</v>
      </c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</row>
    <row r="389" spans="1:23" ht="12.75" customHeight="1">
      <c r="B389" s="225" t="s">
        <v>823</v>
      </c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</row>
    <row r="390" spans="1:23" ht="12.75" customHeight="1">
      <c r="A390" s="11"/>
      <c r="B390" s="38" t="s">
        <v>777</v>
      </c>
    </row>
    <row r="391" spans="1:23" ht="12.75" customHeight="1"/>
    <row r="392" spans="1:23" ht="12.75" customHeight="1">
      <c r="B392" s="152" t="s">
        <v>111</v>
      </c>
      <c r="C392" s="64" t="s">
        <v>387</v>
      </c>
      <c r="H392" s="78">
        <v>3</v>
      </c>
      <c r="I392" s="78">
        <v>3</v>
      </c>
      <c r="J392" s="78">
        <v>2</v>
      </c>
      <c r="K392" s="78">
        <v>7</v>
      </c>
      <c r="L392" s="78">
        <v>1</v>
      </c>
      <c r="M392" s="78">
        <v>0</v>
      </c>
      <c r="N392" s="78">
        <v>2</v>
      </c>
      <c r="O392" s="78">
        <v>0</v>
      </c>
      <c r="P392" s="78">
        <v>0</v>
      </c>
      <c r="Q392" s="78">
        <v>6</v>
      </c>
      <c r="R392" s="78">
        <v>1</v>
      </c>
      <c r="S392" s="78">
        <v>1</v>
      </c>
      <c r="T392" s="78">
        <v>0</v>
      </c>
      <c r="U392" s="78">
        <v>0</v>
      </c>
      <c r="V392" s="78">
        <v>0</v>
      </c>
      <c r="W392" s="78">
        <v>2</v>
      </c>
    </row>
    <row r="393" spans="1:23" ht="12.75" customHeight="1">
      <c r="B393" s="11"/>
    </row>
    <row r="394" spans="1:23" ht="12.75" customHeight="1">
      <c r="B394" s="152" t="s">
        <v>115</v>
      </c>
      <c r="C394" s="64" t="s">
        <v>385</v>
      </c>
      <c r="H394" s="246" t="s">
        <v>824</v>
      </c>
      <c r="I394" s="223"/>
      <c r="J394" s="223"/>
      <c r="K394" s="223"/>
      <c r="L394" s="223"/>
      <c r="M394" s="223"/>
      <c r="N394" s="223"/>
      <c r="O394" s="223"/>
      <c r="P394" s="223"/>
      <c r="Q394" s="223"/>
      <c r="R394" s="223"/>
      <c r="S394" s="223"/>
      <c r="T394" s="223"/>
      <c r="U394" s="223"/>
      <c r="V394" s="223"/>
      <c r="W394" s="224"/>
    </row>
    <row r="395" spans="1:23" ht="12.75" customHeight="1">
      <c r="B395" s="11"/>
    </row>
    <row r="396" spans="1:23" ht="12.75" customHeight="1">
      <c r="B396" s="152" t="s">
        <v>118</v>
      </c>
      <c r="C396" s="64" t="s">
        <v>345</v>
      </c>
      <c r="H396" s="246"/>
      <c r="I396" s="223"/>
      <c r="J396" s="223"/>
      <c r="K396" s="223"/>
      <c r="L396" s="223"/>
      <c r="M396" s="223"/>
      <c r="N396" s="223"/>
      <c r="O396" s="224"/>
      <c r="P396" s="64" t="s">
        <v>675</v>
      </c>
      <c r="Q396" s="78">
        <v>0</v>
      </c>
      <c r="R396" s="78">
        <v>0</v>
      </c>
      <c r="S396" s="78">
        <v>9</v>
      </c>
      <c r="T396" s="11" t="s">
        <v>676</v>
      </c>
      <c r="U396" s="78">
        <v>0</v>
      </c>
      <c r="V396" s="78">
        <v>0</v>
      </c>
      <c r="W396" s="78">
        <v>7</v>
      </c>
    </row>
    <row r="397" spans="1:23" ht="12.75" customHeight="1">
      <c r="B397" s="11"/>
    </row>
    <row r="398" spans="1:23" ht="12.75" customHeight="1">
      <c r="B398" s="11"/>
      <c r="H398" s="64" t="s">
        <v>779</v>
      </c>
      <c r="L398" s="246" t="s">
        <v>825</v>
      </c>
      <c r="M398" s="223"/>
      <c r="N398" s="223"/>
      <c r="O398" s="223"/>
      <c r="P398" s="223"/>
      <c r="Q398" s="223"/>
      <c r="R398" s="223"/>
      <c r="S398" s="223"/>
      <c r="T398" s="223"/>
      <c r="U398" s="223"/>
      <c r="V398" s="223"/>
      <c r="W398" s="224"/>
    </row>
    <row r="399" spans="1:23" ht="12.75" customHeight="1">
      <c r="B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 spans="1:23" ht="12.75" customHeight="1">
      <c r="B400" s="11"/>
      <c r="C400" s="64" t="s">
        <v>414</v>
      </c>
      <c r="H400" s="246" t="s">
        <v>826</v>
      </c>
      <c r="I400" s="223"/>
      <c r="J400" s="223"/>
      <c r="K400" s="223"/>
      <c r="L400" s="223"/>
      <c r="M400" s="224"/>
      <c r="O400" s="64" t="s">
        <v>562</v>
      </c>
      <c r="R400" s="246" t="s">
        <v>106</v>
      </c>
      <c r="S400" s="223"/>
      <c r="T400" s="223"/>
      <c r="U400" s="223"/>
      <c r="V400" s="223"/>
      <c r="W400" s="224"/>
    </row>
    <row r="401" spans="1:23" ht="12.75" customHeight="1">
      <c r="B401" s="11"/>
      <c r="H401" s="77"/>
      <c r="I401" s="77"/>
      <c r="J401" s="77"/>
      <c r="K401" s="77"/>
      <c r="L401" s="77"/>
      <c r="M401" s="77"/>
      <c r="R401" s="77"/>
      <c r="S401" s="77"/>
      <c r="T401" s="77"/>
      <c r="U401" s="77"/>
      <c r="V401" s="77"/>
      <c r="W401" s="77"/>
    </row>
    <row r="402" spans="1:23" ht="12.75" customHeight="1">
      <c r="B402" s="11"/>
      <c r="C402" s="64" t="s">
        <v>416</v>
      </c>
      <c r="H402" s="246" t="s">
        <v>827</v>
      </c>
      <c r="I402" s="223"/>
      <c r="J402" s="223"/>
      <c r="K402" s="223"/>
      <c r="L402" s="223"/>
      <c r="M402" s="224"/>
      <c r="O402" s="64" t="s">
        <v>417</v>
      </c>
      <c r="R402" s="246" t="s">
        <v>418</v>
      </c>
      <c r="S402" s="223"/>
      <c r="T402" s="223"/>
      <c r="U402" s="223"/>
      <c r="V402" s="223"/>
      <c r="W402" s="224"/>
    </row>
    <row r="403" spans="1:23" ht="12.75" customHeight="1">
      <c r="B403" s="11"/>
      <c r="H403" s="77"/>
      <c r="I403" s="77"/>
      <c r="J403" s="77"/>
      <c r="K403" s="77"/>
      <c r="L403" s="77"/>
      <c r="M403" s="77"/>
      <c r="R403" s="11"/>
      <c r="S403" s="11"/>
      <c r="T403" s="11"/>
      <c r="U403" s="11"/>
      <c r="V403" s="11"/>
      <c r="W403" s="11"/>
    </row>
    <row r="404" spans="1:23" ht="12.75" customHeight="1">
      <c r="B404" s="11"/>
      <c r="H404" s="11" t="s">
        <v>674</v>
      </c>
      <c r="I404" s="11"/>
      <c r="J404" s="78">
        <v>5</v>
      </c>
      <c r="K404" s="78">
        <v>2</v>
      </c>
      <c r="L404" s="78">
        <v>3</v>
      </c>
      <c r="M404" s="78">
        <v>6</v>
      </c>
      <c r="N404" s="78">
        <v>2</v>
      </c>
      <c r="P404" s="64" t="s">
        <v>680</v>
      </c>
      <c r="R404" s="78"/>
      <c r="S404" s="78"/>
      <c r="T404" s="78"/>
      <c r="U404" s="78"/>
      <c r="V404" s="78"/>
      <c r="W404" s="78"/>
    </row>
    <row r="405" spans="1:23" ht="12.75" customHeight="1">
      <c r="B405" s="11"/>
    </row>
    <row r="406" spans="1:23" ht="12.75" customHeight="1">
      <c r="B406" s="152" t="s">
        <v>121</v>
      </c>
      <c r="C406" s="64" t="s">
        <v>780</v>
      </c>
      <c r="H406" s="78">
        <v>3</v>
      </c>
      <c r="I406" s="78">
        <v>3</v>
      </c>
      <c r="J406" s="78">
        <v>2</v>
      </c>
      <c r="K406" s="78">
        <v>7</v>
      </c>
      <c r="L406" s="78">
        <v>1</v>
      </c>
      <c r="M406" s="78">
        <v>0</v>
      </c>
      <c r="N406" s="78">
        <v>1</v>
      </c>
      <c r="O406" s="78">
        <v>2</v>
      </c>
      <c r="P406" s="78">
        <v>0</v>
      </c>
      <c r="Q406" s="78">
        <v>2</v>
      </c>
      <c r="R406" s="78">
        <v>8</v>
      </c>
      <c r="S406" s="78">
        <v>5</v>
      </c>
      <c r="T406" s="78">
        <v>0</v>
      </c>
      <c r="U406" s="78">
        <v>0</v>
      </c>
      <c r="V406" s="78">
        <v>4</v>
      </c>
      <c r="W406" s="78">
        <v>8</v>
      </c>
    </row>
    <row r="407" spans="1:23" ht="12.75" customHeight="1">
      <c r="B407" s="11"/>
    </row>
    <row r="408" spans="1:23" ht="12.75" customHeight="1">
      <c r="B408" s="152" t="s">
        <v>124</v>
      </c>
      <c r="C408" s="64" t="s">
        <v>391</v>
      </c>
      <c r="H408" s="246" t="s">
        <v>824</v>
      </c>
      <c r="I408" s="223"/>
      <c r="J408" s="223"/>
      <c r="K408" s="223"/>
      <c r="L408" s="223"/>
      <c r="M408" s="223"/>
      <c r="N408" s="223"/>
      <c r="O408" s="223"/>
      <c r="P408" s="223"/>
      <c r="Q408" s="223"/>
      <c r="R408" s="223"/>
      <c r="S408" s="223"/>
      <c r="T408" s="223"/>
      <c r="U408" s="223"/>
      <c r="V408" s="223"/>
      <c r="W408" s="224"/>
    </row>
    <row r="409" spans="1:23" ht="12.75" customHeight="1"/>
    <row r="410" spans="1:23" ht="12.75" customHeight="1"/>
    <row r="411" spans="1:23" ht="12.75" customHeight="1">
      <c r="B411" s="38" t="s">
        <v>782</v>
      </c>
    </row>
    <row r="412" spans="1:23" ht="12.75" customHeight="1"/>
    <row r="413" spans="1:23" ht="12.75" customHeight="1">
      <c r="A413" s="11"/>
      <c r="B413" s="152" t="s">
        <v>111</v>
      </c>
      <c r="C413" s="64" t="s">
        <v>783</v>
      </c>
      <c r="H413" s="78">
        <v>2</v>
      </c>
      <c r="I413" s="64" t="s">
        <v>784</v>
      </c>
    </row>
    <row r="414" spans="1:23" ht="12.75" customHeight="1">
      <c r="A414" s="11"/>
      <c r="B414" s="11"/>
    </row>
    <row r="415" spans="1:23" ht="12.75" customHeight="1">
      <c r="A415" s="11"/>
      <c r="B415" s="152" t="s">
        <v>115</v>
      </c>
      <c r="C415" s="64" t="s">
        <v>387</v>
      </c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</row>
    <row r="416" spans="1:23" ht="12.75" customHeight="1">
      <c r="A416" s="11"/>
      <c r="B416" s="11"/>
    </row>
    <row r="417" spans="1:23" ht="12.75" customHeight="1">
      <c r="A417" s="11"/>
      <c r="B417" s="152" t="s">
        <v>118</v>
      </c>
      <c r="C417" s="64" t="s">
        <v>785</v>
      </c>
      <c r="H417" s="78">
        <v>3</v>
      </c>
      <c r="I417" s="78">
        <v>3</v>
      </c>
      <c r="J417" s="78">
        <v>2</v>
      </c>
      <c r="K417" s="78">
        <v>7</v>
      </c>
      <c r="L417" s="78">
        <v>1</v>
      </c>
      <c r="M417" s="78">
        <v>0</v>
      </c>
      <c r="N417" s="78">
        <v>1</v>
      </c>
      <c r="O417" s="78">
        <v>2</v>
      </c>
      <c r="P417" s="78">
        <v>0</v>
      </c>
      <c r="Q417" s="78">
        <v>2</v>
      </c>
      <c r="R417" s="78">
        <v>8</v>
      </c>
      <c r="S417" s="78">
        <v>5</v>
      </c>
      <c r="T417" s="78">
        <v>0</v>
      </c>
      <c r="U417" s="78">
        <v>0</v>
      </c>
      <c r="V417" s="78">
        <v>4</v>
      </c>
      <c r="W417" s="78">
        <v>8</v>
      </c>
    </row>
    <row r="418" spans="1:23" ht="12.75" customHeight="1">
      <c r="A418" s="11"/>
      <c r="B418" s="11"/>
    </row>
    <row r="419" spans="1:23" ht="12.75" customHeight="1">
      <c r="A419" s="11"/>
      <c r="B419" s="152" t="s">
        <v>121</v>
      </c>
      <c r="C419" s="64" t="s">
        <v>385</v>
      </c>
      <c r="H419" s="246" t="str">
        <f>H408</f>
        <v>SOIM</v>
      </c>
      <c r="I419" s="223"/>
      <c r="J419" s="223"/>
      <c r="K419" s="223"/>
      <c r="L419" s="223"/>
      <c r="M419" s="223"/>
      <c r="N419" s="223"/>
      <c r="O419" s="223"/>
      <c r="P419" s="223"/>
      <c r="Q419" s="223"/>
      <c r="R419" s="223"/>
      <c r="S419" s="223"/>
      <c r="T419" s="223"/>
      <c r="U419" s="223"/>
      <c r="V419" s="223"/>
      <c r="W419" s="224"/>
    </row>
    <row r="420" spans="1:23" ht="12.75" customHeight="1">
      <c r="A420" s="11"/>
      <c r="B420" s="11"/>
    </row>
    <row r="421" spans="1:23" ht="12.75" customHeight="1">
      <c r="A421" s="11"/>
      <c r="B421" s="152" t="s">
        <v>124</v>
      </c>
      <c r="C421" s="64" t="s">
        <v>786</v>
      </c>
      <c r="H421" s="78">
        <v>3</v>
      </c>
      <c r="I421" s="78">
        <v>0</v>
      </c>
      <c r="J421" s="11"/>
      <c r="K421" s="78">
        <v>1</v>
      </c>
      <c r="L421" s="78">
        <v>1</v>
      </c>
      <c r="M421" s="11"/>
      <c r="N421" s="78">
        <v>2</v>
      </c>
      <c r="O421" s="78">
        <v>0</v>
      </c>
      <c r="P421" s="78">
        <v>2</v>
      </c>
      <c r="Q421" s="78">
        <v>3</v>
      </c>
      <c r="R421" s="11"/>
    </row>
    <row r="422" spans="1:23" ht="12.75" customHeight="1">
      <c r="A422" s="11"/>
      <c r="B422" s="11"/>
    </row>
    <row r="423" spans="1:23" ht="12.75" customHeight="1">
      <c r="A423" s="11"/>
      <c r="B423" s="152" t="s">
        <v>127</v>
      </c>
      <c r="C423" s="64" t="s">
        <v>345</v>
      </c>
      <c r="F423" s="91"/>
      <c r="H423" s="246" t="s">
        <v>102</v>
      </c>
      <c r="I423" s="223"/>
      <c r="J423" s="223"/>
      <c r="K423" s="223"/>
      <c r="L423" s="223"/>
      <c r="M423" s="223"/>
      <c r="N423" s="224"/>
      <c r="P423" s="64" t="s">
        <v>675</v>
      </c>
      <c r="Q423" s="78">
        <v>0</v>
      </c>
      <c r="R423" s="78">
        <v>0</v>
      </c>
      <c r="S423" s="78">
        <v>2</v>
      </c>
      <c r="T423" s="11" t="s">
        <v>676</v>
      </c>
      <c r="U423" s="78">
        <v>0</v>
      </c>
      <c r="V423" s="78">
        <v>0</v>
      </c>
      <c r="W423" s="78">
        <v>1</v>
      </c>
    </row>
    <row r="424" spans="1:23" ht="12.75" customHeight="1">
      <c r="A424" s="11"/>
      <c r="B424" s="11"/>
    </row>
    <row r="425" spans="1:23" ht="12.75" customHeight="1">
      <c r="A425" s="11"/>
      <c r="B425" s="11"/>
      <c r="F425" s="91"/>
      <c r="H425" s="64" t="s">
        <v>779</v>
      </c>
      <c r="L425" s="246" t="s">
        <v>102</v>
      </c>
      <c r="M425" s="223"/>
      <c r="N425" s="223"/>
      <c r="O425" s="223"/>
      <c r="P425" s="223"/>
      <c r="Q425" s="223"/>
      <c r="R425" s="223"/>
      <c r="S425" s="223"/>
      <c r="T425" s="223"/>
      <c r="U425" s="223"/>
      <c r="V425" s="223"/>
      <c r="W425" s="224"/>
    </row>
    <row r="426" spans="1:23" ht="12.75" customHeight="1">
      <c r="A426" s="11"/>
      <c r="B426" s="11"/>
    </row>
    <row r="427" spans="1:23" ht="12.75" customHeight="1">
      <c r="A427" s="11"/>
      <c r="B427" s="11"/>
      <c r="C427" s="64" t="s">
        <v>414</v>
      </c>
      <c r="H427" s="246" t="s">
        <v>102</v>
      </c>
      <c r="I427" s="223"/>
      <c r="J427" s="223"/>
      <c r="K427" s="223"/>
      <c r="L427" s="223"/>
      <c r="M427" s="224"/>
      <c r="O427" s="64" t="s">
        <v>562</v>
      </c>
      <c r="R427" s="246" t="s">
        <v>106</v>
      </c>
      <c r="S427" s="223"/>
      <c r="T427" s="223"/>
      <c r="U427" s="223"/>
      <c r="V427" s="223"/>
      <c r="W427" s="224"/>
    </row>
    <row r="428" spans="1:23" ht="12.75" customHeight="1">
      <c r="A428" s="11"/>
      <c r="B428" s="11"/>
      <c r="H428" s="77"/>
      <c r="I428" s="77"/>
      <c r="J428" s="77"/>
      <c r="K428" s="77"/>
      <c r="L428" s="77"/>
      <c r="M428" s="77"/>
      <c r="R428" s="77"/>
      <c r="S428" s="77"/>
      <c r="T428" s="77"/>
      <c r="U428" s="77"/>
      <c r="V428" s="77"/>
      <c r="W428" s="77"/>
    </row>
    <row r="429" spans="1:23" ht="12.75" customHeight="1">
      <c r="A429" s="11"/>
      <c r="B429" s="11"/>
      <c r="C429" s="64" t="s">
        <v>563</v>
      </c>
      <c r="H429" s="246" t="s">
        <v>104</v>
      </c>
      <c r="I429" s="223"/>
      <c r="J429" s="223"/>
      <c r="K429" s="223"/>
      <c r="L429" s="223"/>
      <c r="M429" s="224"/>
      <c r="O429" s="64" t="s">
        <v>417</v>
      </c>
      <c r="R429" s="246" t="s">
        <v>418</v>
      </c>
      <c r="S429" s="223"/>
      <c r="T429" s="223"/>
      <c r="U429" s="223"/>
      <c r="V429" s="223"/>
      <c r="W429" s="224"/>
    </row>
    <row r="430" spans="1:23" ht="12.75" customHeight="1">
      <c r="A430" s="11"/>
      <c r="B430" s="11"/>
      <c r="H430" s="77"/>
      <c r="I430" s="77"/>
      <c r="J430" s="77"/>
      <c r="K430" s="77"/>
      <c r="L430" s="77"/>
      <c r="M430" s="77"/>
      <c r="R430" s="77"/>
      <c r="S430" s="77"/>
      <c r="T430" s="77"/>
      <c r="U430" s="77"/>
      <c r="V430" s="77"/>
      <c r="W430" s="77"/>
    </row>
    <row r="431" spans="1:23" ht="12.75" customHeight="1">
      <c r="A431" s="11"/>
      <c r="B431" s="152" t="s">
        <v>130</v>
      </c>
      <c r="C431" s="64" t="s">
        <v>790</v>
      </c>
    </row>
    <row r="432" spans="1:23" ht="12.75" customHeight="1"/>
    <row r="433" spans="2:23" ht="12.75" customHeight="1">
      <c r="B433" s="104" t="s">
        <v>684</v>
      </c>
      <c r="C433" s="275" t="s">
        <v>340</v>
      </c>
      <c r="D433" s="223"/>
      <c r="E433" s="223"/>
      <c r="F433" s="223"/>
      <c r="G433" s="223"/>
      <c r="H433" s="223"/>
      <c r="I433" s="223"/>
      <c r="J433" s="223"/>
      <c r="K433" s="224"/>
      <c r="L433" s="275" t="s">
        <v>791</v>
      </c>
      <c r="M433" s="223"/>
      <c r="N433" s="223"/>
      <c r="O433" s="223"/>
      <c r="P433" s="223"/>
      <c r="Q433" s="224"/>
      <c r="R433" s="286" t="s">
        <v>792</v>
      </c>
      <c r="S433" s="223"/>
      <c r="T433" s="224"/>
      <c r="U433" s="275" t="s">
        <v>793</v>
      </c>
      <c r="V433" s="223"/>
      <c r="W433" s="224"/>
    </row>
    <row r="434" spans="2:23" ht="12.75" customHeight="1">
      <c r="B434" s="78">
        <v>1</v>
      </c>
      <c r="C434" s="288" t="s">
        <v>828</v>
      </c>
      <c r="D434" s="223"/>
      <c r="E434" s="223"/>
      <c r="F434" s="223"/>
      <c r="G434" s="223"/>
      <c r="H434" s="223"/>
      <c r="I434" s="223"/>
      <c r="J434" s="223"/>
      <c r="K434" s="224"/>
      <c r="L434" s="246" t="s">
        <v>824</v>
      </c>
      <c r="M434" s="223"/>
      <c r="N434" s="223"/>
      <c r="O434" s="223"/>
      <c r="P434" s="223"/>
      <c r="Q434" s="224"/>
      <c r="R434" s="287">
        <v>37592</v>
      </c>
      <c r="S434" s="223"/>
      <c r="T434" s="224"/>
      <c r="U434" s="252" t="s">
        <v>814</v>
      </c>
      <c r="V434" s="223"/>
      <c r="W434" s="224"/>
    </row>
    <row r="435" spans="2:23" ht="12.75" customHeight="1">
      <c r="B435" s="78">
        <v>2</v>
      </c>
      <c r="C435" s="288" t="s">
        <v>829</v>
      </c>
      <c r="D435" s="223"/>
      <c r="E435" s="223"/>
      <c r="F435" s="223"/>
      <c r="G435" s="223"/>
      <c r="H435" s="223"/>
      <c r="I435" s="223"/>
      <c r="J435" s="223"/>
      <c r="K435" s="224"/>
      <c r="L435" s="246" t="s">
        <v>830</v>
      </c>
      <c r="M435" s="223"/>
      <c r="N435" s="223"/>
      <c r="O435" s="223"/>
      <c r="P435" s="223"/>
      <c r="Q435" s="224"/>
      <c r="R435" s="287"/>
      <c r="S435" s="223"/>
      <c r="T435" s="224"/>
      <c r="U435" s="252" t="s">
        <v>817</v>
      </c>
      <c r="V435" s="223"/>
      <c r="W435" s="224"/>
    </row>
    <row r="436" spans="2:23" ht="12.75" customHeight="1">
      <c r="B436" s="78">
        <v>3</v>
      </c>
      <c r="C436" s="288" t="s">
        <v>831</v>
      </c>
      <c r="D436" s="223"/>
      <c r="E436" s="223"/>
      <c r="F436" s="223"/>
      <c r="G436" s="223"/>
      <c r="H436" s="223"/>
      <c r="I436" s="223"/>
      <c r="J436" s="223"/>
      <c r="K436" s="224"/>
      <c r="L436" s="246" t="s">
        <v>832</v>
      </c>
      <c r="M436" s="223"/>
      <c r="N436" s="223"/>
      <c r="O436" s="223"/>
      <c r="P436" s="223"/>
      <c r="Q436" s="224"/>
      <c r="R436" s="287"/>
      <c r="S436" s="223"/>
      <c r="T436" s="224"/>
      <c r="U436" s="252" t="s">
        <v>795</v>
      </c>
      <c r="V436" s="223"/>
      <c r="W436" s="224"/>
    </row>
    <row r="437" spans="2:23" ht="12.75" customHeight="1">
      <c r="B437" s="78">
        <v>4</v>
      </c>
      <c r="C437" s="288" t="s">
        <v>833</v>
      </c>
      <c r="D437" s="223"/>
      <c r="E437" s="223"/>
      <c r="F437" s="223"/>
      <c r="G437" s="223"/>
      <c r="H437" s="223"/>
      <c r="I437" s="223"/>
      <c r="J437" s="223"/>
      <c r="K437" s="224"/>
      <c r="L437" s="246" t="s">
        <v>834</v>
      </c>
      <c r="M437" s="223"/>
      <c r="N437" s="223"/>
      <c r="O437" s="223"/>
      <c r="P437" s="223"/>
      <c r="Q437" s="224"/>
      <c r="R437" s="287"/>
      <c r="S437" s="223"/>
      <c r="T437" s="224"/>
      <c r="U437" s="252" t="s">
        <v>795</v>
      </c>
      <c r="V437" s="223"/>
      <c r="W437" s="224"/>
    </row>
    <row r="438" spans="2:23" ht="12.75" customHeight="1">
      <c r="B438" s="78">
        <v>5</v>
      </c>
      <c r="C438" s="246"/>
      <c r="D438" s="223"/>
      <c r="E438" s="223"/>
      <c r="F438" s="223"/>
      <c r="G438" s="223"/>
      <c r="H438" s="223"/>
      <c r="I438" s="223"/>
      <c r="J438" s="223"/>
      <c r="K438" s="224"/>
      <c r="L438" s="246"/>
      <c r="M438" s="223"/>
      <c r="N438" s="223"/>
      <c r="O438" s="223"/>
      <c r="P438" s="223"/>
      <c r="Q438" s="224"/>
      <c r="R438" s="287"/>
      <c r="S438" s="223"/>
      <c r="T438" s="224"/>
      <c r="U438" s="252"/>
      <c r="V438" s="223"/>
      <c r="W438" s="224"/>
    </row>
    <row r="439" spans="2:23" ht="12.75" customHeight="1">
      <c r="B439" s="78">
        <v>6</v>
      </c>
      <c r="C439" s="246"/>
      <c r="D439" s="223"/>
      <c r="E439" s="223"/>
      <c r="F439" s="223"/>
      <c r="G439" s="223"/>
      <c r="H439" s="223"/>
      <c r="I439" s="223"/>
      <c r="J439" s="223"/>
      <c r="K439" s="224"/>
      <c r="L439" s="252"/>
      <c r="M439" s="223"/>
      <c r="N439" s="223"/>
      <c r="O439" s="223"/>
      <c r="P439" s="223"/>
      <c r="Q439" s="224"/>
      <c r="R439" s="252"/>
      <c r="S439" s="223"/>
      <c r="T439" s="224"/>
      <c r="U439" s="252"/>
      <c r="V439" s="223"/>
      <c r="W439" s="224"/>
    </row>
    <row r="440" spans="2:23" ht="12.75" customHeight="1">
      <c r="B440" s="78">
        <v>7</v>
      </c>
      <c r="C440" s="252"/>
      <c r="D440" s="223"/>
      <c r="E440" s="223"/>
      <c r="F440" s="223"/>
      <c r="G440" s="223"/>
      <c r="H440" s="223"/>
      <c r="I440" s="223"/>
      <c r="J440" s="223"/>
      <c r="K440" s="224"/>
      <c r="L440" s="252"/>
      <c r="M440" s="223"/>
      <c r="N440" s="223"/>
      <c r="O440" s="223"/>
      <c r="P440" s="223"/>
      <c r="Q440" s="224"/>
      <c r="R440" s="252"/>
      <c r="S440" s="223"/>
      <c r="T440" s="224"/>
      <c r="U440" s="252"/>
      <c r="V440" s="223"/>
      <c r="W440" s="224"/>
    </row>
    <row r="441" spans="2:23" ht="12.75" customHeight="1"/>
    <row r="442" spans="2:23" ht="12.75" customHeight="1"/>
    <row r="443" spans="2:23" ht="12.75" customHeight="1">
      <c r="J443" s="225" t="s">
        <v>480</v>
      </c>
      <c r="K443" s="194"/>
      <c r="L443" s="194"/>
      <c r="M443" s="194"/>
      <c r="N443" s="194"/>
      <c r="O443" s="194"/>
      <c r="R443" s="3" t="s">
        <v>835</v>
      </c>
    </row>
    <row r="444" spans="2:23" ht="12.75" customHeight="1">
      <c r="D444" s="64" t="s">
        <v>797</v>
      </c>
      <c r="J444" s="225" t="s">
        <v>808</v>
      </c>
      <c r="K444" s="194"/>
      <c r="L444" s="194"/>
      <c r="M444" s="194"/>
      <c r="N444" s="194"/>
      <c r="O444" s="194"/>
      <c r="S444" s="64" t="s">
        <v>799</v>
      </c>
    </row>
    <row r="445" spans="2:23" ht="12.75" customHeight="1">
      <c r="J445" s="225" t="s">
        <v>365</v>
      </c>
      <c r="K445" s="194"/>
      <c r="L445" s="194"/>
      <c r="M445" s="194"/>
      <c r="N445" s="194"/>
      <c r="O445" s="194"/>
    </row>
    <row r="446" spans="2:23" ht="12.75" customHeight="1"/>
    <row r="447" spans="2:23" ht="12.75" customHeight="1"/>
    <row r="448" spans="2:23" ht="12.75" customHeight="1"/>
    <row r="449" spans="4:22" ht="12.75" customHeight="1">
      <c r="D449" s="3" t="s">
        <v>27</v>
      </c>
      <c r="K449" s="225" t="s">
        <v>366</v>
      </c>
      <c r="L449" s="194"/>
      <c r="M449" s="194"/>
      <c r="N449" s="194"/>
      <c r="Q449" s="225" t="str">
        <f>L434</f>
        <v>SOIM</v>
      </c>
      <c r="R449" s="194"/>
      <c r="S449" s="194"/>
      <c r="T449" s="194"/>
      <c r="U449" s="194"/>
      <c r="V449" s="194"/>
    </row>
    <row r="450" spans="4:22" ht="12.75" customHeight="1"/>
    <row r="451" spans="4:22" ht="12.75" customHeight="1"/>
    <row r="452" spans="4:22" ht="12.75" customHeight="1"/>
    <row r="453" spans="4:22" ht="12.75" customHeight="1"/>
    <row r="454" spans="4:22" ht="12.75" customHeight="1"/>
    <row r="455" spans="4:22" ht="12.75" customHeight="1"/>
    <row r="456" spans="4:22" ht="12.75" customHeight="1"/>
    <row r="457" spans="4:22" ht="12.75" customHeight="1"/>
    <row r="458" spans="4:22" ht="12.75" customHeight="1"/>
    <row r="459" spans="4:22" ht="12.75" customHeight="1"/>
    <row r="460" spans="4:22" ht="12.75" customHeight="1"/>
    <row r="461" spans="4:22" ht="12.75" customHeight="1"/>
    <row r="462" spans="4:22" ht="12.75" customHeight="1"/>
    <row r="463" spans="4:22" ht="12.75" customHeight="1"/>
    <row r="464" spans="4:22" ht="12.75" customHeight="1"/>
    <row r="465" spans="2:23" ht="12.75" customHeight="1"/>
    <row r="466" spans="2:23" ht="12.75" customHeight="1"/>
    <row r="467" spans="2:23" ht="12.75" customHeight="1"/>
    <row r="468" spans="2:23" ht="12.75" customHeight="1"/>
    <row r="469" spans="2:23" ht="12.75" customHeight="1"/>
    <row r="470" spans="2:23" ht="12.75" customHeight="1"/>
    <row r="471" spans="2:23" ht="12.75" customHeight="1"/>
    <row r="472" spans="2:23" ht="12.75" customHeight="1"/>
    <row r="473" spans="2:23" ht="12.75" customHeight="1"/>
    <row r="474" spans="2:23" ht="12.75" customHeight="1"/>
    <row r="475" spans="2:23" ht="12.75" customHeight="1"/>
    <row r="476" spans="2:23" ht="12.75" customHeight="1"/>
    <row r="477" spans="2:23" ht="12.75" customHeight="1">
      <c r="T477" s="252" t="s">
        <v>836</v>
      </c>
      <c r="U477" s="223"/>
      <c r="V477" s="224"/>
    </row>
    <row r="478" spans="2:23" ht="12.75" customHeight="1"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</row>
    <row r="479" spans="2:23" ht="12.75" customHeight="1"/>
    <row r="480" spans="2:23" ht="12.75" customHeight="1">
      <c r="B480" s="64" t="s">
        <v>770</v>
      </c>
      <c r="G480" s="11" t="s">
        <v>10</v>
      </c>
      <c r="H480" s="78">
        <v>3</v>
      </c>
      <c r="I480" s="78">
        <v>3</v>
      </c>
      <c r="J480" s="11"/>
      <c r="M480" s="246" t="s">
        <v>418</v>
      </c>
      <c r="N480" s="223"/>
      <c r="O480" s="223"/>
      <c r="P480" s="223"/>
      <c r="Q480" s="223"/>
      <c r="R480" s="223"/>
      <c r="S480" s="223"/>
      <c r="T480" s="223"/>
      <c r="U480" s="223"/>
      <c r="V480" s="223"/>
      <c r="W480" s="224"/>
    </row>
    <row r="481" spans="1:23" ht="12.75" customHeight="1">
      <c r="G481" s="11"/>
      <c r="H481" s="11"/>
      <c r="I481" s="11"/>
      <c r="J481" s="11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</row>
    <row r="482" spans="1:23" ht="12.75" customHeight="1">
      <c r="B482" s="64" t="s">
        <v>105</v>
      </c>
      <c r="G482" s="11" t="s">
        <v>10</v>
      </c>
      <c r="H482" s="78">
        <v>2</v>
      </c>
      <c r="I482" s="78">
        <v>7</v>
      </c>
      <c r="J482" s="11"/>
      <c r="M482" s="246" t="s">
        <v>106</v>
      </c>
      <c r="N482" s="223"/>
      <c r="O482" s="223"/>
      <c r="P482" s="223"/>
      <c r="Q482" s="223"/>
      <c r="R482" s="223"/>
      <c r="S482" s="223"/>
      <c r="T482" s="223"/>
      <c r="U482" s="223"/>
      <c r="V482" s="223"/>
      <c r="W482" s="224"/>
    </row>
    <row r="483" spans="1:23" ht="12.75" customHeight="1">
      <c r="G483" s="11"/>
      <c r="H483" s="11"/>
      <c r="I483" s="11"/>
      <c r="J483" s="11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</row>
    <row r="484" spans="1:23" ht="12.75" customHeight="1">
      <c r="B484" s="64" t="s">
        <v>103</v>
      </c>
      <c r="G484" s="11" t="s">
        <v>10</v>
      </c>
      <c r="H484" s="78">
        <v>4</v>
      </c>
      <c r="I484" s="78">
        <v>0</v>
      </c>
      <c r="J484" s="11"/>
      <c r="M484" s="246" t="s">
        <v>104</v>
      </c>
      <c r="N484" s="223"/>
      <c r="O484" s="223"/>
      <c r="P484" s="223"/>
      <c r="Q484" s="223"/>
      <c r="R484" s="223"/>
      <c r="S484" s="223"/>
      <c r="T484" s="223"/>
      <c r="U484" s="223"/>
      <c r="V484" s="223"/>
      <c r="W484" s="224"/>
    </row>
    <row r="485" spans="1:23" ht="12.75" customHeight="1">
      <c r="G485" s="11"/>
      <c r="H485" s="11"/>
      <c r="I485" s="11"/>
      <c r="J485" s="11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</row>
    <row r="486" spans="1:23" ht="12.75" customHeight="1">
      <c r="B486" s="64" t="s">
        <v>771</v>
      </c>
      <c r="G486" s="11" t="s">
        <v>10</v>
      </c>
      <c r="H486" s="78">
        <v>0</v>
      </c>
      <c r="I486" s="78">
        <v>1</v>
      </c>
      <c r="J486" s="78">
        <v>1</v>
      </c>
      <c r="K486" s="91"/>
      <c r="M486" s="246" t="s">
        <v>102</v>
      </c>
      <c r="N486" s="223"/>
      <c r="O486" s="223"/>
      <c r="P486" s="223"/>
      <c r="Q486" s="223"/>
      <c r="R486" s="223"/>
      <c r="S486" s="223"/>
      <c r="T486" s="223"/>
      <c r="U486" s="223"/>
      <c r="V486" s="223"/>
      <c r="W486" s="224"/>
    </row>
    <row r="487" spans="1:23" ht="12.75" customHeight="1">
      <c r="G487" s="11"/>
    </row>
    <row r="488" spans="1:23" ht="12.75" customHeight="1">
      <c r="B488" s="64" t="s">
        <v>772</v>
      </c>
      <c r="G488" s="11" t="s">
        <v>10</v>
      </c>
      <c r="H488" s="246" t="s">
        <v>773</v>
      </c>
      <c r="I488" s="223"/>
      <c r="J488" s="223"/>
      <c r="K488" s="223"/>
      <c r="L488" s="223"/>
      <c r="M488" s="223"/>
      <c r="N488" s="223"/>
      <c r="O488" s="223"/>
      <c r="P488" s="223"/>
      <c r="Q488" s="223"/>
      <c r="R488" s="223"/>
      <c r="S488" s="223"/>
      <c r="T488" s="223"/>
      <c r="U488" s="223"/>
      <c r="V488" s="223"/>
      <c r="W488" s="224"/>
    </row>
    <row r="489" spans="1:23" ht="12.75" customHeight="1"/>
    <row r="490" spans="1:23" ht="12.75" customHeight="1">
      <c r="B490" s="196" t="s">
        <v>822</v>
      </c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</row>
    <row r="491" spans="1:23" ht="12.75" customHeight="1">
      <c r="B491" s="225" t="s">
        <v>837</v>
      </c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</row>
    <row r="492" spans="1:23" ht="12.75" customHeight="1">
      <c r="B492" s="225" t="s">
        <v>838</v>
      </c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</row>
    <row r="493" spans="1:23" ht="12.75" customHeight="1">
      <c r="A493" s="11"/>
      <c r="B493" s="38" t="s">
        <v>777</v>
      </c>
    </row>
    <row r="494" spans="1:23" ht="12.75" customHeight="1"/>
    <row r="495" spans="1:23" ht="12.75" customHeight="1">
      <c r="B495" s="152" t="s">
        <v>111</v>
      </c>
      <c r="C495" s="64" t="s">
        <v>387</v>
      </c>
      <c r="H495" s="78">
        <v>3</v>
      </c>
      <c r="I495" s="78">
        <v>3</v>
      </c>
      <c r="J495" s="78">
        <v>2</v>
      </c>
      <c r="K495" s="78">
        <v>7</v>
      </c>
      <c r="L495" s="78">
        <v>0</v>
      </c>
      <c r="M495" s="78">
        <v>4</v>
      </c>
      <c r="N495" s="78">
        <v>1</v>
      </c>
      <c r="O495" s="78">
        <v>9</v>
      </c>
      <c r="P495" s="78">
        <v>0</v>
      </c>
      <c r="Q495" s="78">
        <v>8</v>
      </c>
      <c r="R495" s="78">
        <v>0</v>
      </c>
      <c r="S495" s="78">
        <v>8</v>
      </c>
      <c r="T495" s="78">
        <v>0</v>
      </c>
      <c r="U495" s="78">
        <v>0</v>
      </c>
      <c r="V495" s="78">
        <v>3</v>
      </c>
      <c r="W495" s="78">
        <v>6</v>
      </c>
    </row>
    <row r="496" spans="1:23" ht="12.75" customHeight="1">
      <c r="B496" s="11"/>
    </row>
    <row r="497" spans="2:23" ht="12.75" customHeight="1">
      <c r="B497" s="152" t="s">
        <v>115</v>
      </c>
      <c r="C497" s="64" t="s">
        <v>385</v>
      </c>
      <c r="H497" s="246" t="s">
        <v>839</v>
      </c>
      <c r="I497" s="223"/>
      <c r="J497" s="223"/>
      <c r="K497" s="223"/>
      <c r="L497" s="223"/>
      <c r="M497" s="223"/>
      <c r="N497" s="223"/>
      <c r="O497" s="223"/>
      <c r="P497" s="223"/>
      <c r="Q497" s="223"/>
      <c r="R497" s="223"/>
      <c r="S497" s="223"/>
      <c r="T497" s="223"/>
      <c r="U497" s="223"/>
      <c r="V497" s="223"/>
      <c r="W497" s="224"/>
    </row>
    <row r="498" spans="2:23" ht="12.75" customHeight="1">
      <c r="B498" s="11"/>
    </row>
    <row r="499" spans="2:23" ht="12.75" customHeight="1">
      <c r="B499" s="152" t="s">
        <v>118</v>
      </c>
      <c r="C499" s="64" t="s">
        <v>345</v>
      </c>
      <c r="H499" s="246" t="s">
        <v>840</v>
      </c>
      <c r="I499" s="223"/>
      <c r="J499" s="223"/>
      <c r="K499" s="223"/>
      <c r="L499" s="223"/>
      <c r="M499" s="223"/>
      <c r="N499" s="223"/>
      <c r="O499" s="224"/>
      <c r="P499" s="64" t="s">
        <v>675</v>
      </c>
      <c r="Q499" s="78">
        <v>0</v>
      </c>
      <c r="R499" s="78">
        <v>0</v>
      </c>
      <c r="S499" s="78">
        <v>1</v>
      </c>
      <c r="T499" s="11" t="s">
        <v>676</v>
      </c>
      <c r="U499" s="78">
        <v>0</v>
      </c>
      <c r="V499" s="78">
        <v>0</v>
      </c>
      <c r="W499" s="78">
        <v>8</v>
      </c>
    </row>
    <row r="500" spans="2:23" ht="12.75" customHeight="1">
      <c r="B500" s="11"/>
    </row>
    <row r="501" spans="2:23" ht="12.75" customHeight="1">
      <c r="B501" s="11"/>
      <c r="H501" s="64" t="s">
        <v>779</v>
      </c>
      <c r="L501" s="246" t="s">
        <v>841</v>
      </c>
      <c r="M501" s="223"/>
      <c r="N501" s="223"/>
      <c r="O501" s="223"/>
      <c r="P501" s="223"/>
      <c r="Q501" s="223"/>
      <c r="R501" s="223"/>
      <c r="S501" s="223"/>
      <c r="T501" s="223"/>
      <c r="U501" s="223"/>
      <c r="V501" s="223"/>
      <c r="W501" s="224"/>
    </row>
    <row r="502" spans="2:23" ht="12.75" customHeight="1">
      <c r="B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 spans="2:23" ht="12.75" customHeight="1">
      <c r="B503" s="11"/>
      <c r="C503" s="64" t="s">
        <v>414</v>
      </c>
      <c r="H503" s="246" t="s">
        <v>840</v>
      </c>
      <c r="I503" s="223"/>
      <c r="J503" s="223"/>
      <c r="K503" s="223"/>
      <c r="L503" s="223"/>
      <c r="M503" s="224"/>
      <c r="O503" s="64" t="s">
        <v>562</v>
      </c>
      <c r="R503" s="246" t="s">
        <v>106</v>
      </c>
      <c r="S503" s="223"/>
      <c r="T503" s="223"/>
      <c r="U503" s="223"/>
      <c r="V503" s="223"/>
      <c r="W503" s="224"/>
    </row>
    <row r="504" spans="2:23" ht="12.75" customHeight="1">
      <c r="B504" s="11"/>
      <c r="H504" s="77"/>
      <c r="I504" s="77"/>
      <c r="J504" s="77"/>
      <c r="K504" s="77"/>
      <c r="L504" s="77"/>
      <c r="M504" s="77"/>
      <c r="R504" s="77"/>
      <c r="S504" s="77"/>
      <c r="T504" s="77"/>
      <c r="U504" s="77"/>
      <c r="V504" s="77"/>
      <c r="W504" s="77"/>
    </row>
    <row r="505" spans="2:23" ht="12.75" customHeight="1">
      <c r="B505" s="11"/>
      <c r="C505" s="64" t="s">
        <v>416</v>
      </c>
      <c r="H505" s="246" t="s">
        <v>104</v>
      </c>
      <c r="I505" s="223"/>
      <c r="J505" s="223"/>
      <c r="K505" s="223"/>
      <c r="L505" s="223"/>
      <c r="M505" s="224"/>
      <c r="O505" s="64" t="s">
        <v>417</v>
      </c>
      <c r="R505" s="246" t="s">
        <v>418</v>
      </c>
      <c r="S505" s="223"/>
      <c r="T505" s="223"/>
      <c r="U505" s="223"/>
      <c r="V505" s="223"/>
      <c r="W505" s="224"/>
    </row>
    <row r="506" spans="2:23" ht="12.75" customHeight="1">
      <c r="B506" s="11"/>
      <c r="H506" s="77"/>
      <c r="I506" s="77"/>
      <c r="J506" s="77"/>
      <c r="K506" s="77"/>
      <c r="L506" s="77"/>
      <c r="M506" s="77"/>
      <c r="R506" s="11"/>
      <c r="S506" s="11"/>
      <c r="T506" s="11"/>
      <c r="U506" s="11"/>
      <c r="V506" s="11"/>
      <c r="W506" s="11"/>
    </row>
    <row r="507" spans="2:23" ht="12.75" customHeight="1">
      <c r="B507" s="11"/>
      <c r="H507" s="11" t="s">
        <v>674</v>
      </c>
      <c r="I507" s="11"/>
      <c r="J507" s="78">
        <v>5</v>
      </c>
      <c r="K507" s="78">
        <v>2</v>
      </c>
      <c r="L507" s="78">
        <v>3</v>
      </c>
      <c r="M507" s="78">
        <v>5</v>
      </c>
      <c r="N507" s="78">
        <v>7</v>
      </c>
      <c r="P507" s="64" t="s">
        <v>680</v>
      </c>
      <c r="R507" s="78"/>
      <c r="S507" s="78"/>
      <c r="T507" s="78"/>
      <c r="U507" s="78"/>
      <c r="V507" s="78"/>
      <c r="W507" s="78"/>
    </row>
    <row r="508" spans="2:23" ht="12.75" customHeight="1">
      <c r="B508" s="11"/>
    </row>
    <row r="509" spans="2:23" ht="12.75" customHeight="1">
      <c r="B509" s="152" t="s">
        <v>121</v>
      </c>
      <c r="C509" s="64" t="s">
        <v>780</v>
      </c>
      <c r="H509" s="78">
        <v>3</v>
      </c>
      <c r="I509" s="78">
        <v>3</v>
      </c>
      <c r="J509" s="78">
        <v>2</v>
      </c>
      <c r="K509" s="78">
        <v>7</v>
      </c>
      <c r="L509" s="78">
        <v>0</v>
      </c>
      <c r="M509" s="78">
        <v>4</v>
      </c>
      <c r="N509" s="78">
        <v>0</v>
      </c>
      <c r="O509" s="78">
        <v>2</v>
      </c>
      <c r="P509" s="78">
        <v>1</v>
      </c>
      <c r="Q509" s="78">
        <v>2</v>
      </c>
      <c r="R509" s="78">
        <v>0</v>
      </c>
      <c r="S509" s="78">
        <v>2</v>
      </c>
      <c r="T509" s="78">
        <v>0</v>
      </c>
      <c r="U509" s="78">
        <v>0</v>
      </c>
      <c r="V509" s="78">
        <v>0</v>
      </c>
      <c r="W509" s="78">
        <v>5</v>
      </c>
    </row>
    <row r="510" spans="2:23" ht="12.75" customHeight="1">
      <c r="B510" s="11"/>
    </row>
    <row r="511" spans="2:23" ht="12.75" customHeight="1">
      <c r="B511" s="152" t="s">
        <v>124</v>
      </c>
      <c r="C511" s="64" t="s">
        <v>391</v>
      </c>
      <c r="H511" s="246" t="s">
        <v>842</v>
      </c>
      <c r="I511" s="223"/>
      <c r="J511" s="223"/>
      <c r="K511" s="223"/>
      <c r="L511" s="223"/>
      <c r="M511" s="223"/>
      <c r="N511" s="223"/>
      <c r="O511" s="223"/>
      <c r="P511" s="223"/>
      <c r="Q511" s="223"/>
      <c r="R511" s="223"/>
      <c r="S511" s="223"/>
      <c r="T511" s="223"/>
      <c r="U511" s="223"/>
      <c r="V511" s="223"/>
      <c r="W511" s="224"/>
    </row>
    <row r="512" spans="2:23" ht="12.75" customHeight="1"/>
    <row r="513" spans="1:23" ht="12.75" customHeight="1"/>
    <row r="514" spans="1:23" ht="12.75" customHeight="1">
      <c r="B514" s="38" t="s">
        <v>782</v>
      </c>
    </row>
    <row r="515" spans="1:23" ht="12.75" customHeight="1"/>
    <row r="516" spans="1:23" ht="12.75" customHeight="1">
      <c r="A516" s="11"/>
      <c r="B516" s="152" t="s">
        <v>111</v>
      </c>
      <c r="C516" s="64" t="s">
        <v>783</v>
      </c>
      <c r="H516" s="78">
        <v>2</v>
      </c>
      <c r="I516" s="64" t="s">
        <v>784</v>
      </c>
    </row>
    <row r="517" spans="1:23" ht="12.75" customHeight="1">
      <c r="A517" s="11"/>
      <c r="B517" s="11"/>
    </row>
    <row r="518" spans="1:23" ht="12.75" customHeight="1">
      <c r="A518" s="11"/>
      <c r="B518" s="152" t="s">
        <v>115</v>
      </c>
      <c r="C518" s="64" t="s">
        <v>387</v>
      </c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</row>
    <row r="519" spans="1:23" ht="12.75" customHeight="1">
      <c r="A519" s="11"/>
      <c r="B519" s="11"/>
    </row>
    <row r="520" spans="1:23" ht="12.75" customHeight="1">
      <c r="A520" s="11"/>
      <c r="B520" s="152" t="s">
        <v>118</v>
      </c>
      <c r="C520" s="64" t="s">
        <v>785</v>
      </c>
      <c r="H520" s="78">
        <v>3</v>
      </c>
      <c r="I520" s="78">
        <v>3</v>
      </c>
      <c r="J520" s="78">
        <v>2</v>
      </c>
      <c r="K520" s="78">
        <v>7</v>
      </c>
      <c r="L520" s="78">
        <v>0</v>
      </c>
      <c r="M520" s="78">
        <v>4</v>
      </c>
      <c r="N520" s="78">
        <v>0</v>
      </c>
      <c r="O520" s="78">
        <v>2</v>
      </c>
      <c r="P520" s="78">
        <v>1</v>
      </c>
      <c r="Q520" s="78">
        <v>2</v>
      </c>
      <c r="R520" s="78">
        <v>0</v>
      </c>
      <c r="S520" s="78">
        <v>2</v>
      </c>
      <c r="T520" s="78">
        <v>0</v>
      </c>
      <c r="U520" s="78">
        <v>0</v>
      </c>
      <c r="V520" s="78">
        <v>0</v>
      </c>
      <c r="W520" s="78">
        <v>5</v>
      </c>
    </row>
    <row r="521" spans="1:23" ht="12.75" customHeight="1">
      <c r="A521" s="11"/>
      <c r="B521" s="11"/>
    </row>
    <row r="522" spans="1:23" ht="12.75" customHeight="1">
      <c r="A522" s="11"/>
      <c r="B522" s="152" t="s">
        <v>121</v>
      </c>
      <c r="C522" s="64" t="s">
        <v>385</v>
      </c>
      <c r="H522" s="246" t="str">
        <f>H511</f>
        <v>RISKI SAEFULOH</v>
      </c>
      <c r="I522" s="223"/>
      <c r="J522" s="223"/>
      <c r="K522" s="223"/>
      <c r="L522" s="223"/>
      <c r="M522" s="223"/>
      <c r="N522" s="223"/>
      <c r="O522" s="223"/>
      <c r="P522" s="223"/>
      <c r="Q522" s="223"/>
      <c r="R522" s="223"/>
      <c r="S522" s="223"/>
      <c r="T522" s="223"/>
      <c r="U522" s="223"/>
      <c r="V522" s="223"/>
      <c r="W522" s="224"/>
    </row>
    <row r="523" spans="1:23" ht="12.75" customHeight="1">
      <c r="A523" s="11"/>
      <c r="B523" s="11"/>
    </row>
    <row r="524" spans="1:23" ht="12.75" customHeight="1">
      <c r="A524" s="11"/>
      <c r="B524" s="152" t="s">
        <v>124</v>
      </c>
      <c r="C524" s="64" t="s">
        <v>786</v>
      </c>
      <c r="H524" s="78">
        <v>3</v>
      </c>
      <c r="I524" s="78">
        <v>0</v>
      </c>
      <c r="J524" s="11"/>
      <c r="K524" s="78">
        <v>1</v>
      </c>
      <c r="L524" s="78">
        <v>0</v>
      </c>
      <c r="M524" s="11"/>
      <c r="N524" s="78">
        <v>2</v>
      </c>
      <c r="O524" s="78">
        <v>0</v>
      </c>
      <c r="P524" s="78">
        <v>2</v>
      </c>
      <c r="Q524" s="78">
        <v>3</v>
      </c>
      <c r="R524" s="11"/>
    </row>
    <row r="525" spans="1:23" ht="12.75" customHeight="1">
      <c r="A525" s="11"/>
      <c r="B525" s="11"/>
    </row>
    <row r="526" spans="1:23" ht="12.75" customHeight="1">
      <c r="A526" s="11"/>
      <c r="B526" s="152" t="s">
        <v>127</v>
      </c>
      <c r="C526" s="64" t="s">
        <v>345</v>
      </c>
      <c r="F526" s="91"/>
      <c r="H526" s="246" t="s">
        <v>102</v>
      </c>
      <c r="I526" s="223"/>
      <c r="J526" s="223"/>
      <c r="K526" s="223"/>
      <c r="L526" s="223"/>
      <c r="M526" s="223"/>
      <c r="N526" s="224"/>
      <c r="P526" s="64" t="s">
        <v>675</v>
      </c>
      <c r="Q526" s="78">
        <v>0</v>
      </c>
      <c r="R526" s="78">
        <v>0</v>
      </c>
      <c r="S526" s="78">
        <v>7</v>
      </c>
      <c r="T526" s="11" t="s">
        <v>676</v>
      </c>
      <c r="U526" s="78">
        <v>0</v>
      </c>
      <c r="V526" s="78">
        <v>0</v>
      </c>
      <c r="W526" s="78">
        <v>2</v>
      </c>
    </row>
    <row r="527" spans="1:23" ht="12.75" customHeight="1">
      <c r="A527" s="11"/>
      <c r="B527" s="11"/>
    </row>
    <row r="528" spans="1:23" ht="12.75" customHeight="1">
      <c r="A528" s="11"/>
      <c r="B528" s="11"/>
      <c r="F528" s="91"/>
      <c r="H528" s="64" t="s">
        <v>779</v>
      </c>
      <c r="L528" s="246" t="s">
        <v>102</v>
      </c>
      <c r="M528" s="223"/>
      <c r="N528" s="223"/>
      <c r="O528" s="223"/>
      <c r="P528" s="223"/>
      <c r="Q528" s="223"/>
      <c r="R528" s="223"/>
      <c r="S528" s="223"/>
      <c r="T528" s="223"/>
      <c r="U528" s="223"/>
      <c r="V528" s="223"/>
      <c r="W528" s="224"/>
    </row>
    <row r="529" spans="1:23" ht="12.75" customHeight="1">
      <c r="A529" s="11"/>
      <c r="B529" s="11"/>
    </row>
    <row r="530" spans="1:23" ht="12.75" customHeight="1">
      <c r="A530" s="11"/>
      <c r="B530" s="11"/>
      <c r="C530" s="64" t="s">
        <v>414</v>
      </c>
      <c r="H530" s="246" t="s">
        <v>102</v>
      </c>
      <c r="I530" s="223"/>
      <c r="J530" s="223"/>
      <c r="K530" s="223"/>
      <c r="L530" s="223"/>
      <c r="M530" s="224"/>
      <c r="O530" s="64" t="s">
        <v>562</v>
      </c>
      <c r="R530" s="246" t="s">
        <v>106</v>
      </c>
      <c r="S530" s="223"/>
      <c r="T530" s="223"/>
      <c r="U530" s="223"/>
      <c r="V530" s="223"/>
      <c r="W530" s="224"/>
    </row>
    <row r="531" spans="1:23" ht="12.75" customHeight="1">
      <c r="A531" s="11"/>
      <c r="B531" s="11"/>
      <c r="H531" s="77"/>
      <c r="I531" s="77"/>
      <c r="J531" s="77"/>
      <c r="K531" s="77"/>
      <c r="L531" s="77"/>
      <c r="M531" s="77"/>
      <c r="R531" s="77"/>
      <c r="S531" s="77"/>
      <c r="T531" s="77"/>
      <c r="U531" s="77"/>
      <c r="V531" s="77"/>
      <c r="W531" s="77"/>
    </row>
    <row r="532" spans="1:23" ht="12.75" customHeight="1">
      <c r="A532" s="11"/>
      <c r="B532" s="11"/>
      <c r="C532" s="64" t="s">
        <v>563</v>
      </c>
      <c r="H532" s="246" t="s">
        <v>104</v>
      </c>
      <c r="I532" s="223"/>
      <c r="J532" s="223"/>
      <c r="K532" s="223"/>
      <c r="L532" s="223"/>
      <c r="M532" s="224"/>
      <c r="O532" s="64" t="s">
        <v>417</v>
      </c>
      <c r="R532" s="246" t="s">
        <v>418</v>
      </c>
      <c r="S532" s="223"/>
      <c r="T532" s="223"/>
      <c r="U532" s="223"/>
      <c r="V532" s="223"/>
      <c r="W532" s="224"/>
    </row>
    <row r="533" spans="1:23" ht="12.75" customHeight="1">
      <c r="A533" s="11"/>
      <c r="B533" s="11"/>
      <c r="H533" s="77"/>
      <c r="I533" s="77"/>
      <c r="J533" s="77"/>
      <c r="K533" s="77"/>
      <c r="L533" s="77"/>
      <c r="M533" s="77"/>
      <c r="R533" s="77"/>
      <c r="S533" s="77"/>
      <c r="T533" s="77"/>
      <c r="U533" s="77"/>
      <c r="V533" s="77"/>
      <c r="W533" s="77"/>
    </row>
    <row r="534" spans="1:23" ht="12.75" customHeight="1">
      <c r="A534" s="11"/>
      <c r="B534" s="152" t="s">
        <v>130</v>
      </c>
      <c r="C534" s="64" t="s">
        <v>790</v>
      </c>
    </row>
    <row r="535" spans="1:23" ht="12.75" customHeight="1"/>
    <row r="536" spans="1:23" ht="12.75" customHeight="1">
      <c r="B536" s="104" t="s">
        <v>684</v>
      </c>
      <c r="C536" s="275" t="s">
        <v>340</v>
      </c>
      <c r="D536" s="223"/>
      <c r="E536" s="223"/>
      <c r="F536" s="223"/>
      <c r="G536" s="223"/>
      <c r="H536" s="223"/>
      <c r="I536" s="223"/>
      <c r="J536" s="223"/>
      <c r="K536" s="224"/>
      <c r="L536" s="275" t="s">
        <v>791</v>
      </c>
      <c r="M536" s="223"/>
      <c r="N536" s="223"/>
      <c r="O536" s="223"/>
      <c r="P536" s="223"/>
      <c r="Q536" s="224"/>
      <c r="R536" s="286" t="s">
        <v>792</v>
      </c>
      <c r="S536" s="223"/>
      <c r="T536" s="224"/>
      <c r="U536" s="275" t="s">
        <v>793</v>
      </c>
      <c r="V536" s="223"/>
      <c r="W536" s="224"/>
    </row>
    <row r="537" spans="1:23" ht="12.75" customHeight="1">
      <c r="B537" s="78">
        <v>1</v>
      </c>
      <c r="C537" s="246">
        <v>33270</v>
      </c>
      <c r="D537" s="223"/>
      <c r="E537" s="223"/>
      <c r="F537" s="223"/>
      <c r="G537" s="223"/>
      <c r="H537" s="223"/>
      <c r="I537" s="223"/>
      <c r="J537" s="223"/>
      <c r="K537" s="224"/>
      <c r="L537" s="246" t="s">
        <v>842</v>
      </c>
      <c r="M537" s="223"/>
      <c r="N537" s="223"/>
      <c r="O537" s="223"/>
      <c r="P537" s="223"/>
      <c r="Q537" s="224"/>
      <c r="R537" s="287">
        <v>37592</v>
      </c>
      <c r="S537" s="223"/>
      <c r="T537" s="224"/>
      <c r="U537" s="252" t="s">
        <v>814</v>
      </c>
      <c r="V537" s="223"/>
      <c r="W537" s="224"/>
    </row>
    <row r="538" spans="1:23" ht="12.75" customHeight="1">
      <c r="B538" s="78">
        <v>2</v>
      </c>
      <c r="C538" s="246"/>
      <c r="D538" s="223"/>
      <c r="E538" s="223"/>
      <c r="F538" s="223"/>
      <c r="G538" s="223"/>
      <c r="H538" s="223"/>
      <c r="I538" s="223"/>
      <c r="J538" s="223"/>
      <c r="K538" s="224"/>
      <c r="L538" s="246"/>
      <c r="M538" s="223"/>
      <c r="N538" s="223"/>
      <c r="O538" s="223"/>
      <c r="P538" s="223"/>
      <c r="Q538" s="224"/>
      <c r="R538" s="287"/>
      <c r="S538" s="223"/>
      <c r="T538" s="224"/>
      <c r="U538" s="252"/>
      <c r="V538" s="223"/>
      <c r="W538" s="224"/>
    </row>
    <row r="539" spans="1:23" ht="12.75" customHeight="1">
      <c r="B539" s="78">
        <v>3</v>
      </c>
      <c r="C539" s="246"/>
      <c r="D539" s="223"/>
      <c r="E539" s="223"/>
      <c r="F539" s="223"/>
      <c r="G539" s="223"/>
      <c r="H539" s="223"/>
      <c r="I539" s="223"/>
      <c r="J539" s="223"/>
      <c r="K539" s="224"/>
      <c r="L539" s="246"/>
      <c r="M539" s="223"/>
      <c r="N539" s="223"/>
      <c r="O539" s="223"/>
      <c r="P539" s="223"/>
      <c r="Q539" s="224"/>
      <c r="R539" s="287"/>
      <c r="S539" s="223"/>
      <c r="T539" s="224"/>
      <c r="U539" s="252"/>
      <c r="V539" s="223"/>
      <c r="W539" s="224"/>
    </row>
    <row r="540" spans="1:23" ht="12.75" customHeight="1">
      <c r="B540" s="78">
        <v>4</v>
      </c>
      <c r="C540" s="246"/>
      <c r="D540" s="223"/>
      <c r="E540" s="223"/>
      <c r="F540" s="223"/>
      <c r="G540" s="223"/>
      <c r="H540" s="223"/>
      <c r="I540" s="223"/>
      <c r="J540" s="223"/>
      <c r="K540" s="224"/>
      <c r="L540" s="246"/>
      <c r="M540" s="223"/>
      <c r="N540" s="223"/>
      <c r="O540" s="223"/>
      <c r="P540" s="223"/>
      <c r="Q540" s="224"/>
      <c r="R540" s="287"/>
      <c r="S540" s="223"/>
      <c r="T540" s="224"/>
      <c r="U540" s="252"/>
      <c r="V540" s="223"/>
      <c r="W540" s="224"/>
    </row>
    <row r="541" spans="1:23" ht="12.75" customHeight="1">
      <c r="B541" s="78">
        <v>5</v>
      </c>
      <c r="C541" s="246"/>
      <c r="D541" s="223"/>
      <c r="E541" s="223"/>
      <c r="F541" s="223"/>
      <c r="G541" s="223"/>
      <c r="H541" s="223"/>
      <c r="I541" s="223"/>
      <c r="J541" s="223"/>
      <c r="K541" s="224"/>
      <c r="L541" s="246"/>
      <c r="M541" s="223"/>
      <c r="N541" s="223"/>
      <c r="O541" s="223"/>
      <c r="P541" s="223"/>
      <c r="Q541" s="224"/>
      <c r="R541" s="287"/>
      <c r="S541" s="223"/>
      <c r="T541" s="224"/>
      <c r="U541" s="252"/>
      <c r="V541" s="223"/>
      <c r="W541" s="224"/>
    </row>
    <row r="542" spans="1:23" ht="12.75" customHeight="1">
      <c r="B542" s="78">
        <v>6</v>
      </c>
      <c r="C542" s="246"/>
      <c r="D542" s="223"/>
      <c r="E542" s="223"/>
      <c r="F542" s="223"/>
      <c r="G542" s="223"/>
      <c r="H542" s="223"/>
      <c r="I542" s="223"/>
      <c r="J542" s="223"/>
      <c r="K542" s="224"/>
      <c r="L542" s="252"/>
      <c r="M542" s="223"/>
      <c r="N542" s="223"/>
      <c r="O542" s="223"/>
      <c r="P542" s="223"/>
      <c r="Q542" s="224"/>
      <c r="R542" s="252"/>
      <c r="S542" s="223"/>
      <c r="T542" s="224"/>
      <c r="U542" s="252"/>
      <c r="V542" s="223"/>
      <c r="W542" s="224"/>
    </row>
    <row r="543" spans="1:23" ht="12.75" customHeight="1">
      <c r="B543" s="78">
        <v>7</v>
      </c>
      <c r="C543" s="252"/>
      <c r="D543" s="223"/>
      <c r="E543" s="223"/>
      <c r="F543" s="223"/>
      <c r="G543" s="223"/>
      <c r="H543" s="223"/>
      <c r="I543" s="223"/>
      <c r="J543" s="223"/>
      <c r="K543" s="224"/>
      <c r="L543" s="252"/>
      <c r="M543" s="223"/>
      <c r="N543" s="223"/>
      <c r="O543" s="223"/>
      <c r="P543" s="223"/>
      <c r="Q543" s="224"/>
      <c r="R543" s="252"/>
      <c r="S543" s="223"/>
      <c r="T543" s="224"/>
      <c r="U543" s="252"/>
      <c r="V543" s="223"/>
      <c r="W543" s="224"/>
    </row>
    <row r="544" spans="1:23" ht="12.75" customHeight="1"/>
    <row r="545" spans="4:22" ht="12.75" customHeight="1"/>
    <row r="546" spans="4:22" ht="12.75" customHeight="1">
      <c r="J546" s="225" t="s">
        <v>480</v>
      </c>
      <c r="K546" s="194"/>
      <c r="L546" s="194"/>
      <c r="M546" s="194"/>
      <c r="N546" s="194"/>
      <c r="O546" s="194"/>
      <c r="R546" s="3" t="s">
        <v>843</v>
      </c>
    </row>
    <row r="547" spans="4:22" ht="12.75" customHeight="1">
      <c r="D547" s="64" t="s">
        <v>797</v>
      </c>
      <c r="J547" s="225" t="s">
        <v>808</v>
      </c>
      <c r="K547" s="194"/>
      <c r="L547" s="194"/>
      <c r="M547" s="194"/>
      <c r="N547" s="194"/>
      <c r="O547" s="194"/>
      <c r="S547" s="64" t="s">
        <v>799</v>
      </c>
    </row>
    <row r="548" spans="4:22" ht="12.75" customHeight="1">
      <c r="J548" s="225" t="s">
        <v>365</v>
      </c>
      <c r="K548" s="194"/>
      <c r="L548" s="194"/>
      <c r="M548" s="194"/>
      <c r="N548" s="194"/>
      <c r="O548" s="194"/>
    </row>
    <row r="549" spans="4:22" ht="12.75" customHeight="1"/>
    <row r="550" spans="4:22" ht="12.75" customHeight="1"/>
    <row r="551" spans="4:22" ht="12.75" customHeight="1"/>
    <row r="552" spans="4:22" ht="12.75" customHeight="1">
      <c r="D552" s="3" t="s">
        <v>27</v>
      </c>
      <c r="K552" s="225" t="s">
        <v>366</v>
      </c>
      <c r="L552" s="194"/>
      <c r="M552" s="194"/>
      <c r="N552" s="194"/>
      <c r="Q552" s="225" t="str">
        <f>L537</f>
        <v>RISKI SAEFULOH</v>
      </c>
      <c r="R552" s="194"/>
      <c r="S552" s="194"/>
      <c r="T552" s="194"/>
      <c r="U552" s="194"/>
      <c r="V552" s="194"/>
    </row>
    <row r="553" spans="4:22" ht="12.75" customHeight="1"/>
    <row r="554" spans="4:22" ht="12.75" customHeight="1"/>
    <row r="555" spans="4:22" ht="12.75" customHeight="1"/>
    <row r="556" spans="4:22" ht="12.75" customHeight="1"/>
    <row r="557" spans="4:22" ht="12.75" customHeight="1"/>
    <row r="558" spans="4:22" ht="12.75" customHeight="1"/>
    <row r="559" spans="4:22" ht="12.75" customHeight="1"/>
    <row r="560" spans="4:22" ht="12.75" customHeight="1"/>
    <row r="561" spans="2:23" ht="12.75" customHeight="1"/>
    <row r="562" spans="2:23" ht="12.75" customHeight="1">
      <c r="T562" s="252" t="s">
        <v>844</v>
      </c>
      <c r="U562" s="223"/>
      <c r="V562" s="224"/>
    </row>
    <row r="563" spans="2:23" ht="12.75" customHeight="1"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</row>
    <row r="564" spans="2:23" ht="12.75" customHeight="1"/>
    <row r="565" spans="2:23" ht="12.75" customHeight="1">
      <c r="B565" s="64" t="s">
        <v>770</v>
      </c>
      <c r="G565" s="11" t="s">
        <v>10</v>
      </c>
      <c r="H565" s="78">
        <v>3</v>
      </c>
      <c r="I565" s="78">
        <v>3</v>
      </c>
      <c r="J565" s="11"/>
      <c r="M565" s="246" t="s">
        <v>418</v>
      </c>
      <c r="N565" s="223"/>
      <c r="O565" s="223"/>
      <c r="P565" s="223"/>
      <c r="Q565" s="223"/>
      <c r="R565" s="223"/>
      <c r="S565" s="223"/>
      <c r="T565" s="223"/>
      <c r="U565" s="223"/>
      <c r="V565" s="223"/>
      <c r="W565" s="224"/>
    </row>
    <row r="566" spans="2:23" ht="12.75" customHeight="1">
      <c r="G566" s="11"/>
      <c r="H566" s="11"/>
      <c r="I566" s="11"/>
      <c r="J566" s="11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</row>
    <row r="567" spans="2:23" ht="12.75" customHeight="1">
      <c r="B567" s="64" t="s">
        <v>105</v>
      </c>
      <c r="G567" s="11" t="s">
        <v>10</v>
      </c>
      <c r="H567" s="78">
        <v>2</v>
      </c>
      <c r="I567" s="78">
        <v>7</v>
      </c>
      <c r="J567" s="11"/>
      <c r="M567" s="246" t="s">
        <v>106</v>
      </c>
      <c r="N567" s="223"/>
      <c r="O567" s="223"/>
      <c r="P567" s="223"/>
      <c r="Q567" s="223"/>
      <c r="R567" s="223"/>
      <c r="S567" s="223"/>
      <c r="T567" s="223"/>
      <c r="U567" s="223"/>
      <c r="V567" s="223"/>
      <c r="W567" s="224"/>
    </row>
    <row r="568" spans="2:23" ht="12.75" customHeight="1">
      <c r="G568" s="11"/>
      <c r="H568" s="11"/>
      <c r="I568" s="11"/>
      <c r="J568" s="11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</row>
    <row r="569" spans="2:23" ht="12.75" customHeight="1">
      <c r="B569" s="64" t="s">
        <v>103</v>
      </c>
      <c r="G569" s="11" t="s">
        <v>10</v>
      </c>
      <c r="H569" s="78">
        <v>4</v>
      </c>
      <c r="I569" s="78">
        <v>0</v>
      </c>
      <c r="J569" s="11"/>
      <c r="M569" s="246" t="s">
        <v>104</v>
      </c>
      <c r="N569" s="223"/>
      <c r="O569" s="223"/>
      <c r="P569" s="223"/>
      <c r="Q569" s="223"/>
      <c r="R569" s="223"/>
      <c r="S569" s="223"/>
      <c r="T569" s="223"/>
      <c r="U569" s="223"/>
      <c r="V569" s="223"/>
      <c r="W569" s="224"/>
    </row>
    <row r="570" spans="2:23" ht="12.75" customHeight="1">
      <c r="G570" s="11"/>
      <c r="H570" s="11"/>
      <c r="I570" s="11"/>
      <c r="J570" s="11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</row>
    <row r="571" spans="2:23" ht="12.75" customHeight="1">
      <c r="B571" s="64" t="s">
        <v>771</v>
      </c>
      <c r="G571" s="11" t="s">
        <v>10</v>
      </c>
      <c r="H571" s="78">
        <v>0</v>
      </c>
      <c r="I571" s="78">
        <v>1</v>
      </c>
      <c r="J571" s="78">
        <v>1</v>
      </c>
      <c r="K571" s="91"/>
      <c r="M571" s="246" t="s">
        <v>102</v>
      </c>
      <c r="N571" s="223"/>
      <c r="O571" s="223"/>
      <c r="P571" s="223"/>
      <c r="Q571" s="223"/>
      <c r="R571" s="223"/>
      <c r="S571" s="223"/>
      <c r="T571" s="223"/>
      <c r="U571" s="223"/>
      <c r="V571" s="223"/>
      <c r="W571" s="224"/>
    </row>
    <row r="572" spans="2:23" ht="12.75" customHeight="1">
      <c r="G572" s="11"/>
    </row>
    <row r="573" spans="2:23" ht="12.75" customHeight="1">
      <c r="B573" s="64" t="s">
        <v>772</v>
      </c>
      <c r="G573" s="11" t="s">
        <v>10</v>
      </c>
      <c r="H573" s="246" t="s">
        <v>773</v>
      </c>
      <c r="I573" s="223"/>
      <c r="J573" s="223"/>
      <c r="K573" s="223"/>
      <c r="L573" s="223"/>
      <c r="M573" s="223"/>
      <c r="N573" s="223"/>
      <c r="O573" s="223"/>
      <c r="P573" s="223"/>
      <c r="Q573" s="223"/>
      <c r="R573" s="223"/>
      <c r="S573" s="223"/>
      <c r="T573" s="223"/>
      <c r="U573" s="223"/>
      <c r="V573" s="223"/>
      <c r="W573" s="224"/>
    </row>
    <row r="574" spans="2:23" ht="12.75" customHeight="1"/>
    <row r="575" spans="2:23" ht="12.75" customHeight="1">
      <c r="B575" s="196" t="s">
        <v>774</v>
      </c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</row>
    <row r="576" spans="2:23" ht="12.75" customHeight="1">
      <c r="B576" s="225" t="s">
        <v>837</v>
      </c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</row>
    <row r="577" spans="1:23" ht="12.75" customHeight="1">
      <c r="B577" s="225" t="s">
        <v>845</v>
      </c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</row>
    <row r="578" spans="1:23" ht="12.75" customHeight="1">
      <c r="A578" s="11"/>
      <c r="B578" s="38" t="s">
        <v>777</v>
      </c>
    </row>
    <row r="579" spans="1:23" ht="12.75" customHeight="1"/>
    <row r="580" spans="1:23" ht="12.75" customHeight="1">
      <c r="B580" s="152" t="s">
        <v>111</v>
      </c>
      <c r="C580" s="64" t="s">
        <v>387</v>
      </c>
      <c r="H580" s="78">
        <v>3</v>
      </c>
      <c r="I580" s="78">
        <v>3</v>
      </c>
      <c r="J580" s="78">
        <v>2</v>
      </c>
      <c r="K580" s="78">
        <v>7</v>
      </c>
      <c r="L580" s="78">
        <v>0</v>
      </c>
      <c r="M580" s="78">
        <v>4</v>
      </c>
      <c r="N580" s="78">
        <v>1</v>
      </c>
      <c r="O580" s="78">
        <v>7</v>
      </c>
      <c r="P580" s="78">
        <v>0</v>
      </c>
      <c r="Q580" s="78">
        <v>6</v>
      </c>
      <c r="R580" s="78">
        <v>2</v>
      </c>
      <c r="S580" s="78">
        <v>0</v>
      </c>
      <c r="T580" s="78">
        <v>0</v>
      </c>
      <c r="U580" s="78">
        <v>0</v>
      </c>
      <c r="V580" s="78">
        <v>0</v>
      </c>
      <c r="W580" s="78">
        <v>3</v>
      </c>
    </row>
    <row r="581" spans="1:23" ht="12.75" customHeight="1">
      <c r="B581" s="11"/>
    </row>
    <row r="582" spans="1:23" ht="12.75" customHeight="1">
      <c r="B582" s="152" t="s">
        <v>115</v>
      </c>
      <c r="C582" s="64" t="s">
        <v>385</v>
      </c>
      <c r="H582" s="246" t="s">
        <v>846</v>
      </c>
      <c r="I582" s="223"/>
      <c r="J582" s="223"/>
      <c r="K582" s="223"/>
      <c r="L582" s="223"/>
      <c r="M582" s="223"/>
      <c r="N582" s="223"/>
      <c r="O582" s="223"/>
      <c r="P582" s="223"/>
      <c r="Q582" s="223"/>
      <c r="R582" s="223"/>
      <c r="S582" s="223"/>
      <c r="T582" s="223"/>
      <c r="U582" s="223"/>
      <c r="V582" s="223"/>
      <c r="W582" s="224"/>
    </row>
    <row r="583" spans="1:23" ht="12.75" customHeight="1">
      <c r="B583" s="11"/>
    </row>
    <row r="584" spans="1:23" ht="12.75" customHeight="1">
      <c r="B584" s="152" t="s">
        <v>118</v>
      </c>
      <c r="C584" s="64" t="s">
        <v>345</v>
      </c>
      <c r="H584" s="246" t="s">
        <v>102</v>
      </c>
      <c r="I584" s="223"/>
      <c r="J584" s="223"/>
      <c r="K584" s="223"/>
      <c r="L584" s="223"/>
      <c r="M584" s="223"/>
      <c r="N584" s="223"/>
      <c r="O584" s="224"/>
      <c r="P584" s="64" t="s">
        <v>675</v>
      </c>
      <c r="Q584" s="78">
        <v>0</v>
      </c>
      <c r="R584" s="78">
        <v>0</v>
      </c>
      <c r="S584" s="78">
        <v>7</v>
      </c>
      <c r="T584" s="11" t="s">
        <v>676</v>
      </c>
      <c r="U584" s="78">
        <v>0</v>
      </c>
      <c r="V584" s="78">
        <v>0</v>
      </c>
      <c r="W584" s="78">
        <v>2</v>
      </c>
    </row>
    <row r="585" spans="1:23" ht="12.75" customHeight="1">
      <c r="B585" s="11"/>
    </row>
    <row r="586" spans="1:23" ht="12.75" customHeight="1">
      <c r="B586" s="11"/>
      <c r="H586" s="64" t="s">
        <v>779</v>
      </c>
      <c r="L586" s="246" t="s">
        <v>847</v>
      </c>
      <c r="M586" s="223"/>
      <c r="N586" s="223"/>
      <c r="O586" s="223"/>
      <c r="P586" s="223"/>
      <c r="Q586" s="223"/>
      <c r="R586" s="223"/>
      <c r="S586" s="223"/>
      <c r="T586" s="223"/>
      <c r="U586" s="223"/>
      <c r="V586" s="223"/>
      <c r="W586" s="224"/>
    </row>
    <row r="587" spans="1:23" ht="12.75" customHeight="1">
      <c r="B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 spans="1:23" ht="12.75" customHeight="1">
      <c r="B588" s="11"/>
      <c r="C588" s="64" t="s">
        <v>414</v>
      </c>
      <c r="H588" s="246" t="s">
        <v>102</v>
      </c>
      <c r="I588" s="223"/>
      <c r="J588" s="223"/>
      <c r="K588" s="223"/>
      <c r="L588" s="223"/>
      <c r="M588" s="224"/>
      <c r="O588" s="64" t="s">
        <v>562</v>
      </c>
      <c r="R588" s="246" t="s">
        <v>106</v>
      </c>
      <c r="S588" s="223"/>
      <c r="T588" s="223"/>
      <c r="U588" s="223"/>
      <c r="V588" s="223"/>
      <c r="W588" s="224"/>
    </row>
    <row r="589" spans="1:23" ht="12.75" customHeight="1">
      <c r="B589" s="11"/>
      <c r="H589" s="77"/>
      <c r="I589" s="77"/>
      <c r="J589" s="77"/>
      <c r="K589" s="77"/>
      <c r="L589" s="77"/>
      <c r="M589" s="77"/>
      <c r="R589" s="77"/>
      <c r="S589" s="77"/>
      <c r="T589" s="77"/>
      <c r="U589" s="77"/>
      <c r="V589" s="77"/>
      <c r="W589" s="77"/>
    </row>
    <row r="590" spans="1:23" ht="12.75" customHeight="1">
      <c r="B590" s="11"/>
      <c r="C590" s="64" t="s">
        <v>416</v>
      </c>
      <c r="H590" s="246" t="s">
        <v>104</v>
      </c>
      <c r="I590" s="223"/>
      <c r="J590" s="223"/>
      <c r="K590" s="223"/>
      <c r="L590" s="223"/>
      <c r="M590" s="224"/>
      <c r="O590" s="64" t="s">
        <v>417</v>
      </c>
      <c r="R590" s="246" t="s">
        <v>418</v>
      </c>
      <c r="S590" s="223"/>
      <c r="T590" s="223"/>
      <c r="U590" s="223"/>
      <c r="V590" s="223"/>
      <c r="W590" s="224"/>
    </row>
    <row r="591" spans="1:23" ht="12.75" customHeight="1">
      <c r="B591" s="11"/>
      <c r="H591" s="77"/>
      <c r="I591" s="77"/>
      <c r="J591" s="77"/>
      <c r="K591" s="77"/>
      <c r="L591" s="77"/>
      <c r="M591" s="77"/>
      <c r="R591" s="11"/>
      <c r="S591" s="11"/>
      <c r="T591" s="11"/>
      <c r="U591" s="11"/>
      <c r="V591" s="11"/>
      <c r="W591" s="11"/>
    </row>
    <row r="592" spans="1:23" ht="12.75" customHeight="1">
      <c r="B592" s="11"/>
      <c r="H592" s="11" t="s">
        <v>674</v>
      </c>
      <c r="I592" s="11"/>
      <c r="J592" s="78">
        <v>5</v>
      </c>
      <c r="K592" s="78">
        <v>2</v>
      </c>
      <c r="L592" s="78">
        <v>3</v>
      </c>
      <c r="M592" s="78">
        <v>5</v>
      </c>
      <c r="N592" s="78">
        <v>7</v>
      </c>
      <c r="P592" s="64" t="s">
        <v>680</v>
      </c>
      <c r="R592" s="78"/>
      <c r="S592" s="78"/>
      <c r="T592" s="78"/>
      <c r="U592" s="78"/>
      <c r="V592" s="78"/>
      <c r="W592" s="78"/>
    </row>
    <row r="593" spans="1:23" ht="12.75" customHeight="1">
      <c r="B593" s="11"/>
    </row>
    <row r="594" spans="1:23" ht="12.75" customHeight="1">
      <c r="B594" s="152" t="s">
        <v>121</v>
      </c>
      <c r="C594" s="64" t="s">
        <v>780</v>
      </c>
      <c r="H594" s="78">
        <v>3</v>
      </c>
      <c r="I594" s="78">
        <v>3</v>
      </c>
      <c r="J594" s="78">
        <v>2</v>
      </c>
      <c r="K594" s="78">
        <v>7</v>
      </c>
      <c r="L594" s="78">
        <v>0</v>
      </c>
      <c r="M594" s="78">
        <v>4</v>
      </c>
      <c r="N594" s="78">
        <v>4</v>
      </c>
      <c r="O594" s="78">
        <v>7</v>
      </c>
      <c r="P594" s="78">
        <v>0</v>
      </c>
      <c r="Q594" s="78">
        <v>1</v>
      </c>
      <c r="R594" s="78">
        <v>0</v>
      </c>
      <c r="S594" s="78">
        <v>2</v>
      </c>
      <c r="T594" s="78">
        <v>0</v>
      </c>
      <c r="U594" s="78">
        <v>0</v>
      </c>
      <c r="V594" s="78">
        <v>0</v>
      </c>
      <c r="W594" s="78">
        <v>1</v>
      </c>
    </row>
    <row r="595" spans="1:23" ht="12.75" customHeight="1">
      <c r="B595" s="11"/>
    </row>
    <row r="596" spans="1:23" ht="12.75" customHeight="1">
      <c r="B596" s="152" t="s">
        <v>124</v>
      </c>
      <c r="C596" s="64" t="s">
        <v>391</v>
      </c>
      <c r="H596" s="246" t="s">
        <v>848</v>
      </c>
      <c r="I596" s="223"/>
      <c r="J596" s="223"/>
      <c r="K596" s="223"/>
      <c r="L596" s="223"/>
      <c r="M596" s="223"/>
      <c r="N596" s="223"/>
      <c r="O596" s="223"/>
      <c r="P596" s="223"/>
      <c r="Q596" s="223"/>
      <c r="R596" s="223"/>
      <c r="S596" s="223"/>
      <c r="T596" s="223"/>
      <c r="U596" s="223"/>
      <c r="V596" s="223"/>
      <c r="W596" s="224"/>
    </row>
    <row r="597" spans="1:23" ht="12.75" customHeight="1"/>
    <row r="598" spans="1:23" ht="12.75" customHeight="1"/>
    <row r="599" spans="1:23" ht="12.75" customHeight="1">
      <c r="B599" s="38" t="s">
        <v>782</v>
      </c>
    </row>
    <row r="600" spans="1:23" ht="12.75" customHeight="1"/>
    <row r="601" spans="1:23" ht="12.75" customHeight="1">
      <c r="A601" s="11"/>
      <c r="B601" s="152" t="s">
        <v>111</v>
      </c>
      <c r="C601" s="64" t="s">
        <v>783</v>
      </c>
      <c r="H601" s="78">
        <v>2</v>
      </c>
      <c r="I601" s="64" t="s">
        <v>784</v>
      </c>
    </row>
    <row r="602" spans="1:23" ht="12.75" customHeight="1">
      <c r="A602" s="11"/>
      <c r="B602" s="11"/>
    </row>
    <row r="603" spans="1:23" ht="12.75" customHeight="1">
      <c r="A603" s="11"/>
      <c r="B603" s="152" t="s">
        <v>115</v>
      </c>
      <c r="C603" s="64" t="s">
        <v>387</v>
      </c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</row>
    <row r="604" spans="1:23" ht="12.75" customHeight="1">
      <c r="A604" s="11"/>
      <c r="B604" s="11"/>
    </row>
    <row r="605" spans="1:23" ht="12.75" customHeight="1">
      <c r="A605" s="11"/>
      <c r="B605" s="152" t="s">
        <v>118</v>
      </c>
      <c r="C605" s="64" t="s">
        <v>785</v>
      </c>
      <c r="H605" s="78">
        <v>3</v>
      </c>
      <c r="I605" s="78">
        <v>3</v>
      </c>
      <c r="J605" s="78">
        <v>2</v>
      </c>
      <c r="K605" s="78">
        <v>7</v>
      </c>
      <c r="L605" s="78">
        <v>0</v>
      </c>
      <c r="M605" s="78">
        <v>4</v>
      </c>
      <c r="N605" s="78">
        <v>1</v>
      </c>
      <c r="O605" s="78">
        <v>9</v>
      </c>
      <c r="P605" s="78">
        <v>0</v>
      </c>
      <c r="Q605" s="78">
        <v>3</v>
      </c>
      <c r="R605" s="78">
        <v>9</v>
      </c>
      <c r="S605" s="78">
        <v>6</v>
      </c>
      <c r="T605" s="78">
        <v>0</v>
      </c>
      <c r="U605" s="78">
        <v>0</v>
      </c>
      <c r="V605" s="78">
        <v>0</v>
      </c>
      <c r="W605" s="78">
        <v>5</v>
      </c>
    </row>
    <row r="606" spans="1:23" ht="12.75" customHeight="1">
      <c r="A606" s="11"/>
      <c r="B606" s="11"/>
    </row>
    <row r="607" spans="1:23" ht="12.75" customHeight="1">
      <c r="A607" s="11"/>
      <c r="B607" s="152" t="s">
        <v>121</v>
      </c>
      <c r="C607" s="64" t="s">
        <v>385</v>
      </c>
      <c r="H607" s="246" t="s">
        <v>849</v>
      </c>
      <c r="I607" s="223"/>
      <c r="J607" s="223"/>
      <c r="K607" s="223"/>
      <c r="L607" s="223"/>
      <c r="M607" s="223"/>
      <c r="N607" s="223"/>
      <c r="O607" s="223"/>
      <c r="P607" s="223"/>
      <c r="Q607" s="223"/>
      <c r="R607" s="223"/>
      <c r="S607" s="223"/>
      <c r="T607" s="223"/>
      <c r="U607" s="223"/>
      <c r="V607" s="223"/>
      <c r="W607" s="224"/>
    </row>
    <row r="608" spans="1:23" ht="12.75" customHeight="1">
      <c r="A608" s="11"/>
      <c r="B608" s="11"/>
    </row>
    <row r="609" spans="1:23" ht="12.75" customHeight="1">
      <c r="A609" s="11"/>
      <c r="B609" s="152" t="s">
        <v>124</v>
      </c>
      <c r="C609" s="64" t="s">
        <v>786</v>
      </c>
      <c r="H609" s="78">
        <v>0</v>
      </c>
      <c r="I609" s="78">
        <v>1</v>
      </c>
      <c r="J609" s="11"/>
      <c r="K609" s="78">
        <v>0</v>
      </c>
      <c r="L609" s="78">
        <v>1</v>
      </c>
      <c r="M609" s="11"/>
      <c r="N609" s="78">
        <v>2</v>
      </c>
      <c r="O609" s="78">
        <v>0</v>
      </c>
      <c r="P609" s="78">
        <v>2</v>
      </c>
      <c r="Q609" s="78">
        <v>3</v>
      </c>
      <c r="R609" s="11"/>
    </row>
    <row r="610" spans="1:23" ht="12.75" customHeight="1">
      <c r="A610" s="11"/>
      <c r="B610" s="11"/>
    </row>
    <row r="611" spans="1:23" ht="12.75" customHeight="1">
      <c r="A611" s="11"/>
      <c r="B611" s="152" t="s">
        <v>127</v>
      </c>
      <c r="C611" s="64" t="s">
        <v>345</v>
      </c>
      <c r="F611" s="91"/>
      <c r="H611" s="246" t="s">
        <v>840</v>
      </c>
      <c r="I611" s="223"/>
      <c r="J611" s="223"/>
      <c r="K611" s="223"/>
      <c r="L611" s="223"/>
      <c r="M611" s="223"/>
      <c r="N611" s="224"/>
      <c r="P611" s="64" t="s">
        <v>675</v>
      </c>
      <c r="Q611" s="78">
        <v>0</v>
      </c>
      <c r="R611" s="78">
        <v>0</v>
      </c>
      <c r="S611" s="78">
        <v>2</v>
      </c>
      <c r="T611" s="11" t="s">
        <v>676</v>
      </c>
      <c r="U611" s="78">
        <v>0</v>
      </c>
      <c r="V611" s="78">
        <v>0</v>
      </c>
      <c r="W611" s="78">
        <v>8</v>
      </c>
    </row>
    <row r="612" spans="1:23" ht="12.75" customHeight="1">
      <c r="A612" s="11"/>
      <c r="B612" s="11"/>
    </row>
    <row r="613" spans="1:23" ht="12.75" customHeight="1">
      <c r="A613" s="11"/>
      <c r="B613" s="11"/>
      <c r="F613" s="91"/>
      <c r="H613" s="64" t="s">
        <v>779</v>
      </c>
      <c r="L613" s="246" t="s">
        <v>841</v>
      </c>
      <c r="M613" s="223"/>
      <c r="N613" s="223"/>
      <c r="O613" s="223"/>
      <c r="P613" s="223"/>
      <c r="Q613" s="223"/>
      <c r="R613" s="223"/>
      <c r="S613" s="223"/>
      <c r="T613" s="223"/>
      <c r="U613" s="223"/>
      <c r="V613" s="223"/>
      <c r="W613" s="224"/>
    </row>
    <row r="614" spans="1:23" ht="12.75" customHeight="1">
      <c r="A614" s="11"/>
      <c r="B614" s="11"/>
    </row>
    <row r="615" spans="1:23" ht="12.75" customHeight="1">
      <c r="A615" s="11"/>
      <c r="B615" s="11"/>
      <c r="C615" s="64" t="s">
        <v>414</v>
      </c>
      <c r="H615" s="246" t="s">
        <v>840</v>
      </c>
      <c r="I615" s="223"/>
      <c r="J615" s="223"/>
      <c r="K615" s="223"/>
      <c r="L615" s="223"/>
      <c r="M615" s="224"/>
      <c r="O615" s="64" t="s">
        <v>562</v>
      </c>
      <c r="R615" s="246" t="s">
        <v>106</v>
      </c>
      <c r="S615" s="223"/>
      <c r="T615" s="223"/>
      <c r="U615" s="223"/>
      <c r="V615" s="223"/>
      <c r="W615" s="224"/>
    </row>
    <row r="616" spans="1:23" ht="12.75" customHeight="1">
      <c r="A616" s="11"/>
      <c r="B616" s="11"/>
      <c r="H616" s="77"/>
      <c r="I616" s="77"/>
      <c r="J616" s="77"/>
      <c r="K616" s="77"/>
      <c r="L616" s="77"/>
      <c r="M616" s="77"/>
      <c r="R616" s="77"/>
      <c r="S616" s="77"/>
      <c r="T616" s="77"/>
      <c r="U616" s="77"/>
      <c r="V616" s="77"/>
      <c r="W616" s="77"/>
    </row>
    <row r="617" spans="1:23" ht="12.75" customHeight="1">
      <c r="A617" s="11"/>
      <c r="B617" s="11"/>
      <c r="C617" s="64" t="s">
        <v>563</v>
      </c>
      <c r="H617" s="246" t="s">
        <v>104</v>
      </c>
      <c r="I617" s="223"/>
      <c r="J617" s="223"/>
      <c r="K617" s="223"/>
      <c r="L617" s="223"/>
      <c r="M617" s="224"/>
      <c r="O617" s="64" t="s">
        <v>417</v>
      </c>
      <c r="R617" s="246" t="s">
        <v>418</v>
      </c>
      <c r="S617" s="223"/>
      <c r="T617" s="223"/>
      <c r="U617" s="223"/>
      <c r="V617" s="223"/>
      <c r="W617" s="224"/>
    </row>
    <row r="618" spans="1:23" ht="12.75" customHeight="1">
      <c r="A618" s="11"/>
      <c r="B618" s="11"/>
      <c r="H618" s="77"/>
      <c r="I618" s="77"/>
      <c r="J618" s="77"/>
      <c r="K618" s="77"/>
      <c r="L618" s="77"/>
      <c r="M618" s="77"/>
      <c r="R618" s="77"/>
      <c r="S618" s="77"/>
      <c r="T618" s="77"/>
      <c r="U618" s="77"/>
      <c r="V618" s="77"/>
      <c r="W618" s="77"/>
    </row>
    <row r="619" spans="1:23" ht="12.75" customHeight="1">
      <c r="A619" s="11"/>
      <c r="B619" s="152" t="s">
        <v>130</v>
      </c>
      <c r="C619" s="64" t="s">
        <v>790</v>
      </c>
    </row>
    <row r="620" spans="1:23" ht="12.75" customHeight="1"/>
    <row r="621" spans="1:23" ht="12.75" customHeight="1">
      <c r="B621" s="104" t="s">
        <v>684</v>
      </c>
      <c r="C621" s="275" t="s">
        <v>340</v>
      </c>
      <c r="D621" s="223"/>
      <c r="E621" s="223"/>
      <c r="F621" s="223"/>
      <c r="G621" s="223"/>
      <c r="H621" s="223"/>
      <c r="I621" s="223"/>
      <c r="J621" s="223"/>
      <c r="K621" s="224"/>
      <c r="L621" s="275" t="s">
        <v>791</v>
      </c>
      <c r="M621" s="223"/>
      <c r="N621" s="223"/>
      <c r="O621" s="223"/>
      <c r="P621" s="223"/>
      <c r="Q621" s="224"/>
      <c r="R621" s="286" t="s">
        <v>850</v>
      </c>
      <c r="S621" s="223"/>
      <c r="T621" s="224"/>
      <c r="U621" s="275" t="s">
        <v>793</v>
      </c>
      <c r="V621" s="223"/>
      <c r="W621" s="224"/>
    </row>
    <row r="622" spans="1:23" ht="12.75" customHeight="1">
      <c r="B622" s="78">
        <v>1</v>
      </c>
      <c r="C622" s="288" t="s">
        <v>851</v>
      </c>
      <c r="D622" s="223"/>
      <c r="E622" s="223"/>
      <c r="F622" s="223"/>
      <c r="G622" s="223"/>
      <c r="H622" s="223"/>
      <c r="I622" s="223"/>
      <c r="J622" s="223"/>
      <c r="K622" s="224"/>
      <c r="L622" s="246" t="s">
        <v>848</v>
      </c>
      <c r="M622" s="223"/>
      <c r="N622" s="223"/>
      <c r="O622" s="223"/>
      <c r="P622" s="223"/>
      <c r="Q622" s="224"/>
      <c r="R622" s="287">
        <v>37263</v>
      </c>
      <c r="S622" s="223"/>
      <c r="T622" s="224"/>
      <c r="U622" s="252" t="s">
        <v>814</v>
      </c>
      <c r="V622" s="223"/>
      <c r="W622" s="224"/>
    </row>
    <row r="623" spans="1:23" ht="12.75" customHeight="1">
      <c r="B623" s="78">
        <v>2</v>
      </c>
      <c r="C623" s="246"/>
      <c r="D623" s="223"/>
      <c r="E623" s="223"/>
      <c r="F623" s="223"/>
      <c r="G623" s="223"/>
      <c r="H623" s="223"/>
      <c r="I623" s="223"/>
      <c r="J623" s="223"/>
      <c r="K623" s="224"/>
      <c r="L623" s="246"/>
      <c r="M623" s="223"/>
      <c r="N623" s="223"/>
      <c r="O623" s="223"/>
      <c r="P623" s="223"/>
      <c r="Q623" s="224"/>
      <c r="R623" s="287"/>
      <c r="S623" s="223"/>
      <c r="T623" s="224"/>
      <c r="U623" s="252"/>
      <c r="V623" s="223"/>
      <c r="W623" s="224"/>
    </row>
    <row r="624" spans="1:23" ht="12.75" customHeight="1">
      <c r="B624" s="78">
        <v>3</v>
      </c>
      <c r="C624" s="246"/>
      <c r="D624" s="223"/>
      <c r="E624" s="223"/>
      <c r="F624" s="223"/>
      <c r="G624" s="223"/>
      <c r="H624" s="223"/>
      <c r="I624" s="223"/>
      <c r="J624" s="223"/>
      <c r="K624" s="224"/>
      <c r="L624" s="246"/>
      <c r="M624" s="223"/>
      <c r="N624" s="223"/>
      <c r="O624" s="223"/>
      <c r="P624" s="223"/>
      <c r="Q624" s="224"/>
      <c r="R624" s="287"/>
      <c r="S624" s="223"/>
      <c r="T624" s="224"/>
      <c r="U624" s="252"/>
      <c r="V624" s="223"/>
      <c r="W624" s="224"/>
    </row>
    <row r="625" spans="2:23" ht="12.75" customHeight="1">
      <c r="B625" s="78">
        <v>4</v>
      </c>
      <c r="C625" s="246"/>
      <c r="D625" s="223"/>
      <c r="E625" s="223"/>
      <c r="F625" s="223"/>
      <c r="G625" s="223"/>
      <c r="H625" s="223"/>
      <c r="I625" s="223"/>
      <c r="J625" s="223"/>
      <c r="K625" s="224"/>
      <c r="L625" s="246"/>
      <c r="M625" s="223"/>
      <c r="N625" s="223"/>
      <c r="O625" s="223"/>
      <c r="P625" s="223"/>
      <c r="Q625" s="224"/>
      <c r="R625" s="287"/>
      <c r="S625" s="223"/>
      <c r="T625" s="224"/>
      <c r="U625" s="252"/>
      <c r="V625" s="223"/>
      <c r="W625" s="224"/>
    </row>
    <row r="626" spans="2:23" ht="12.75" customHeight="1">
      <c r="B626" s="78">
        <v>5</v>
      </c>
      <c r="C626" s="246"/>
      <c r="D626" s="223"/>
      <c r="E626" s="223"/>
      <c r="F626" s="223"/>
      <c r="G626" s="223"/>
      <c r="H626" s="223"/>
      <c r="I626" s="223"/>
      <c r="J626" s="223"/>
      <c r="K626" s="224"/>
      <c r="L626" s="246"/>
      <c r="M626" s="223"/>
      <c r="N626" s="223"/>
      <c r="O626" s="223"/>
      <c r="P626" s="223"/>
      <c r="Q626" s="224"/>
      <c r="R626" s="287"/>
      <c r="S626" s="223"/>
      <c r="T626" s="224"/>
      <c r="U626" s="252"/>
      <c r="V626" s="223"/>
      <c r="W626" s="224"/>
    </row>
    <row r="627" spans="2:23" ht="12.75" customHeight="1">
      <c r="B627" s="78">
        <v>6</v>
      </c>
      <c r="C627" s="246"/>
      <c r="D627" s="223"/>
      <c r="E627" s="223"/>
      <c r="F627" s="223"/>
      <c r="G627" s="223"/>
      <c r="H627" s="223"/>
      <c r="I627" s="223"/>
      <c r="J627" s="223"/>
      <c r="K627" s="224"/>
      <c r="L627" s="252"/>
      <c r="M627" s="223"/>
      <c r="N627" s="223"/>
      <c r="O627" s="223"/>
      <c r="P627" s="223"/>
      <c r="Q627" s="224"/>
      <c r="R627" s="252"/>
      <c r="S627" s="223"/>
      <c r="T627" s="224"/>
      <c r="U627" s="252"/>
      <c r="V627" s="223"/>
      <c r="W627" s="224"/>
    </row>
    <row r="628" spans="2:23" ht="12.75" customHeight="1">
      <c r="B628" s="78">
        <v>7</v>
      </c>
      <c r="C628" s="252"/>
      <c r="D628" s="223"/>
      <c r="E628" s="223"/>
      <c r="F628" s="223"/>
      <c r="G628" s="223"/>
      <c r="H628" s="223"/>
      <c r="I628" s="223"/>
      <c r="J628" s="223"/>
      <c r="K628" s="224"/>
      <c r="L628" s="252"/>
      <c r="M628" s="223"/>
      <c r="N628" s="223"/>
      <c r="O628" s="223"/>
      <c r="P628" s="223"/>
      <c r="Q628" s="224"/>
      <c r="R628" s="252"/>
      <c r="S628" s="223"/>
      <c r="T628" s="224"/>
      <c r="U628" s="252"/>
      <c r="V628" s="223"/>
      <c r="W628" s="224"/>
    </row>
    <row r="629" spans="2:23" ht="12.75" customHeight="1"/>
    <row r="630" spans="2:23" ht="12.75" customHeight="1"/>
    <row r="631" spans="2:23" ht="12.75" customHeight="1">
      <c r="J631" s="225" t="s">
        <v>480</v>
      </c>
      <c r="K631" s="194"/>
      <c r="L631" s="194"/>
      <c r="M631" s="194"/>
      <c r="N631" s="194"/>
      <c r="O631" s="194"/>
      <c r="R631" s="3" t="s">
        <v>852</v>
      </c>
    </row>
    <row r="632" spans="2:23" ht="12.75" customHeight="1">
      <c r="D632" s="64" t="s">
        <v>797</v>
      </c>
      <c r="J632" s="225" t="s">
        <v>808</v>
      </c>
      <c r="K632" s="194"/>
      <c r="L632" s="194"/>
      <c r="M632" s="194"/>
      <c r="N632" s="194"/>
      <c r="O632" s="194"/>
      <c r="S632" s="64" t="s">
        <v>799</v>
      </c>
    </row>
    <row r="633" spans="2:23" ht="12.75" customHeight="1">
      <c r="J633" s="225" t="s">
        <v>365</v>
      </c>
      <c r="K633" s="194"/>
      <c r="L633" s="194"/>
      <c r="M633" s="194"/>
      <c r="N633" s="194"/>
      <c r="O633" s="194"/>
    </row>
    <row r="634" spans="2:23" ht="12.75" customHeight="1"/>
    <row r="635" spans="2:23" ht="12.75" customHeight="1"/>
    <row r="636" spans="2:23" ht="12.75" customHeight="1"/>
    <row r="637" spans="2:23" ht="12.75" customHeight="1">
      <c r="D637" s="3" t="s">
        <v>27</v>
      </c>
      <c r="K637" s="225" t="s">
        <v>366</v>
      </c>
      <c r="L637" s="194"/>
      <c r="M637" s="194"/>
      <c r="N637" s="194"/>
      <c r="Q637" s="225" t="str">
        <f>L622</f>
        <v>RATNA SIFA</v>
      </c>
      <c r="R637" s="194"/>
      <c r="S637" s="194"/>
      <c r="T637" s="194"/>
      <c r="U637" s="194"/>
      <c r="V637" s="194"/>
    </row>
    <row r="638" spans="2:23" ht="12.75" customHeight="1"/>
    <row r="639" spans="2:23" ht="12.75" customHeight="1"/>
    <row r="640" spans="2:23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spans="2:23" ht="12.75" customHeight="1"/>
    <row r="674" spans="2:23" ht="12.75" customHeight="1"/>
    <row r="675" spans="2:23" ht="12.75" customHeight="1"/>
    <row r="676" spans="2:23" ht="12.75" customHeight="1"/>
    <row r="677" spans="2:23" ht="12.75" customHeight="1"/>
    <row r="678" spans="2:23" ht="12.75" customHeight="1"/>
    <row r="679" spans="2:23" ht="12.75" customHeight="1"/>
    <row r="680" spans="2:23" ht="12.75" customHeight="1"/>
    <row r="681" spans="2:23" ht="12.75" customHeight="1"/>
    <row r="682" spans="2:23" ht="12.75" customHeight="1">
      <c r="T682" s="252" t="s">
        <v>800</v>
      </c>
      <c r="U682" s="223"/>
      <c r="V682" s="224"/>
    </row>
    <row r="683" spans="2:23" ht="12.75" customHeight="1"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</row>
    <row r="684" spans="2:23" ht="12.75" customHeight="1"/>
    <row r="685" spans="2:23" ht="12.75" customHeight="1">
      <c r="B685" s="64" t="s">
        <v>770</v>
      </c>
      <c r="G685" s="11" t="s">
        <v>10</v>
      </c>
      <c r="H685" s="78">
        <v>3</v>
      </c>
      <c r="I685" s="78">
        <v>3</v>
      </c>
      <c r="J685" s="11"/>
      <c r="M685" s="246" t="s">
        <v>418</v>
      </c>
      <c r="N685" s="223"/>
      <c r="O685" s="223"/>
      <c r="P685" s="223"/>
      <c r="Q685" s="223"/>
      <c r="R685" s="223"/>
      <c r="S685" s="223"/>
      <c r="T685" s="223"/>
      <c r="U685" s="223"/>
      <c r="V685" s="223"/>
      <c r="W685" s="224"/>
    </row>
    <row r="686" spans="2:23" ht="12.75" customHeight="1">
      <c r="G686" s="11"/>
      <c r="H686" s="11"/>
      <c r="I686" s="11"/>
      <c r="J686" s="11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</row>
    <row r="687" spans="2:23" ht="12.75" customHeight="1">
      <c r="B687" s="64" t="s">
        <v>105</v>
      </c>
      <c r="G687" s="11" t="s">
        <v>10</v>
      </c>
      <c r="H687" s="78">
        <v>2</v>
      </c>
      <c r="I687" s="78">
        <v>7</v>
      </c>
      <c r="J687" s="11"/>
      <c r="M687" s="246" t="s">
        <v>106</v>
      </c>
      <c r="N687" s="223"/>
      <c r="O687" s="223"/>
      <c r="P687" s="223"/>
      <c r="Q687" s="223"/>
      <c r="R687" s="223"/>
      <c r="S687" s="223"/>
      <c r="T687" s="223"/>
      <c r="U687" s="223"/>
      <c r="V687" s="223"/>
      <c r="W687" s="224"/>
    </row>
    <row r="688" spans="2:23" ht="12.75" customHeight="1">
      <c r="G688" s="11"/>
      <c r="H688" s="11"/>
      <c r="I688" s="11"/>
      <c r="J688" s="11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</row>
    <row r="689" spans="1:23" ht="12.75" customHeight="1">
      <c r="B689" s="64" t="s">
        <v>103</v>
      </c>
      <c r="G689" s="11" t="s">
        <v>10</v>
      </c>
      <c r="H689" s="78">
        <v>0</v>
      </c>
      <c r="I689" s="78">
        <v>4</v>
      </c>
      <c r="J689" s="11"/>
      <c r="M689" s="246" t="s">
        <v>104</v>
      </c>
      <c r="N689" s="223"/>
      <c r="O689" s="223"/>
      <c r="P689" s="223"/>
      <c r="Q689" s="223"/>
      <c r="R689" s="223"/>
      <c r="S689" s="223"/>
      <c r="T689" s="223"/>
      <c r="U689" s="223"/>
      <c r="V689" s="223"/>
      <c r="W689" s="224"/>
    </row>
    <row r="690" spans="1:23" ht="12.75" customHeight="1">
      <c r="G690" s="11"/>
      <c r="H690" s="11"/>
      <c r="I690" s="11"/>
      <c r="J690" s="11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</row>
    <row r="691" spans="1:23" ht="12.75" customHeight="1">
      <c r="B691" s="64" t="s">
        <v>771</v>
      </c>
      <c r="G691" s="11" t="s">
        <v>10</v>
      </c>
      <c r="H691" s="78">
        <v>2</v>
      </c>
      <c r="I691" s="78">
        <v>0</v>
      </c>
      <c r="J691" s="78">
        <v>1</v>
      </c>
      <c r="K691" s="78">
        <v>1</v>
      </c>
      <c r="M691" s="246" t="s">
        <v>102</v>
      </c>
      <c r="N691" s="223"/>
      <c r="O691" s="223"/>
      <c r="P691" s="223"/>
      <c r="Q691" s="223"/>
      <c r="R691" s="223"/>
      <c r="S691" s="223"/>
      <c r="T691" s="223"/>
      <c r="U691" s="223"/>
      <c r="V691" s="223"/>
      <c r="W691" s="224"/>
    </row>
    <row r="692" spans="1:23" ht="12.75" customHeight="1">
      <c r="G692" s="11"/>
    </row>
    <row r="693" spans="1:23" ht="12.75" customHeight="1">
      <c r="B693" s="64" t="s">
        <v>772</v>
      </c>
      <c r="G693" s="11" t="s">
        <v>10</v>
      </c>
      <c r="H693" s="246" t="s">
        <v>773</v>
      </c>
      <c r="I693" s="223"/>
      <c r="J693" s="223"/>
      <c r="K693" s="223"/>
      <c r="L693" s="223"/>
      <c r="M693" s="223"/>
      <c r="N693" s="223"/>
      <c r="O693" s="223"/>
      <c r="P693" s="223"/>
      <c r="Q693" s="223"/>
      <c r="R693" s="223"/>
      <c r="S693" s="223"/>
      <c r="T693" s="223"/>
      <c r="U693" s="223"/>
      <c r="V693" s="223"/>
      <c r="W693" s="224"/>
    </row>
    <row r="694" spans="1:23" ht="12.75" customHeight="1"/>
    <row r="695" spans="1:23" ht="12.75" customHeight="1">
      <c r="B695" s="196" t="s">
        <v>774</v>
      </c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</row>
    <row r="696" spans="1:23" ht="12.75" customHeight="1">
      <c r="B696" s="225" t="s">
        <v>853</v>
      </c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</row>
    <row r="697" spans="1:23" ht="12.75" customHeight="1">
      <c r="B697" s="225" t="s">
        <v>854</v>
      </c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</row>
    <row r="698" spans="1:23" ht="12.75" customHeight="1">
      <c r="A698" s="11"/>
      <c r="B698" s="38" t="s">
        <v>777</v>
      </c>
    </row>
    <row r="699" spans="1:23" ht="12.75" customHeight="1"/>
    <row r="700" spans="1:23" ht="12.75" customHeight="1">
      <c r="B700" s="152" t="s">
        <v>111</v>
      </c>
      <c r="C700" s="64" t="s">
        <v>387</v>
      </c>
      <c r="H700" s="78" t="s">
        <v>458</v>
      </c>
      <c r="I700" s="78" t="s">
        <v>458</v>
      </c>
      <c r="J700" s="78" t="s">
        <v>459</v>
      </c>
      <c r="K700" s="78" t="s">
        <v>460</v>
      </c>
      <c r="L700" s="78" t="s">
        <v>461</v>
      </c>
      <c r="M700" s="78" t="s">
        <v>462</v>
      </c>
      <c r="N700" s="78" t="s">
        <v>461</v>
      </c>
      <c r="O700" s="78" t="s">
        <v>462</v>
      </c>
      <c r="P700" s="78" t="s">
        <v>461</v>
      </c>
      <c r="Q700" s="78" t="s">
        <v>591</v>
      </c>
      <c r="R700" s="78" t="s">
        <v>395</v>
      </c>
      <c r="S700" s="78" t="s">
        <v>460</v>
      </c>
      <c r="T700" s="78" t="s">
        <v>461</v>
      </c>
      <c r="U700" s="78" t="s">
        <v>461</v>
      </c>
      <c r="V700" s="78" t="s">
        <v>461</v>
      </c>
      <c r="W700" s="78" t="s">
        <v>592</v>
      </c>
    </row>
    <row r="701" spans="1:23" ht="12.75" customHeight="1">
      <c r="B701" s="11"/>
    </row>
    <row r="702" spans="1:23" ht="12.75" customHeight="1">
      <c r="B702" s="152" t="s">
        <v>115</v>
      </c>
      <c r="C702" s="64" t="s">
        <v>385</v>
      </c>
      <c r="H702" s="246" t="s">
        <v>855</v>
      </c>
      <c r="I702" s="223"/>
      <c r="J702" s="223"/>
      <c r="K702" s="223"/>
      <c r="L702" s="223"/>
      <c r="M702" s="223"/>
      <c r="N702" s="223"/>
      <c r="O702" s="223"/>
      <c r="P702" s="223"/>
      <c r="Q702" s="223"/>
      <c r="R702" s="223"/>
      <c r="S702" s="223"/>
      <c r="T702" s="223"/>
      <c r="U702" s="223"/>
      <c r="V702" s="223"/>
      <c r="W702" s="224"/>
    </row>
    <row r="703" spans="1:23" ht="12.75" customHeight="1">
      <c r="B703" s="11"/>
    </row>
    <row r="704" spans="1:23" ht="12.75" customHeight="1">
      <c r="B704" s="152" t="s">
        <v>118</v>
      </c>
      <c r="C704" s="64" t="s">
        <v>345</v>
      </c>
      <c r="H704" s="246" t="s">
        <v>102</v>
      </c>
      <c r="I704" s="223"/>
      <c r="J704" s="223"/>
      <c r="K704" s="223"/>
      <c r="L704" s="223"/>
      <c r="M704" s="223"/>
      <c r="N704" s="223"/>
      <c r="O704" s="224"/>
      <c r="P704" s="64" t="s">
        <v>675</v>
      </c>
      <c r="Q704" s="78">
        <v>0</v>
      </c>
      <c r="R704" s="78">
        <v>1</v>
      </c>
      <c r="S704" s="78">
        <v>0</v>
      </c>
      <c r="T704" s="11" t="s">
        <v>676</v>
      </c>
      <c r="U704" s="78">
        <v>0</v>
      </c>
      <c r="V704" s="78">
        <v>0</v>
      </c>
      <c r="W704" s="78">
        <v>2</v>
      </c>
    </row>
    <row r="705" spans="2:23" ht="12.75" customHeight="1">
      <c r="B705" s="11"/>
    </row>
    <row r="706" spans="2:23" ht="12.75" customHeight="1">
      <c r="B706" s="11"/>
      <c r="H706" s="64" t="s">
        <v>779</v>
      </c>
      <c r="L706" s="246" t="s">
        <v>102</v>
      </c>
      <c r="M706" s="223"/>
      <c r="N706" s="223"/>
      <c r="O706" s="223"/>
      <c r="P706" s="223"/>
      <c r="Q706" s="223"/>
      <c r="R706" s="223"/>
      <c r="S706" s="223"/>
      <c r="T706" s="223"/>
      <c r="U706" s="223"/>
      <c r="V706" s="223"/>
      <c r="W706" s="224"/>
    </row>
    <row r="707" spans="2:23" ht="12.75" customHeight="1">
      <c r="B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 spans="2:23" ht="12.75" customHeight="1">
      <c r="B708" s="11"/>
      <c r="C708" s="64" t="s">
        <v>414</v>
      </c>
      <c r="H708" s="246" t="s">
        <v>102</v>
      </c>
      <c r="I708" s="223"/>
      <c r="J708" s="223"/>
      <c r="K708" s="223"/>
      <c r="L708" s="223"/>
      <c r="M708" s="224"/>
      <c r="O708" s="64" t="s">
        <v>562</v>
      </c>
      <c r="R708" s="246" t="s">
        <v>106</v>
      </c>
      <c r="S708" s="223"/>
      <c r="T708" s="223"/>
      <c r="U708" s="223"/>
      <c r="V708" s="223"/>
      <c r="W708" s="224"/>
    </row>
    <row r="709" spans="2:23" ht="12.75" customHeight="1">
      <c r="B709" s="11"/>
      <c r="H709" s="77"/>
      <c r="I709" s="77"/>
      <c r="J709" s="77"/>
      <c r="K709" s="77"/>
      <c r="L709" s="77"/>
      <c r="M709" s="77"/>
      <c r="R709" s="77"/>
      <c r="S709" s="77"/>
      <c r="T709" s="77"/>
      <c r="U709" s="77"/>
      <c r="V709" s="77"/>
      <c r="W709" s="77"/>
    </row>
    <row r="710" spans="2:23" ht="12.75" customHeight="1">
      <c r="B710" s="11"/>
      <c r="C710" s="64" t="s">
        <v>416</v>
      </c>
      <c r="H710" s="246" t="s">
        <v>104</v>
      </c>
      <c r="I710" s="223"/>
      <c r="J710" s="223"/>
      <c r="K710" s="223"/>
      <c r="L710" s="223"/>
      <c r="M710" s="224"/>
      <c r="O710" s="64" t="s">
        <v>417</v>
      </c>
      <c r="R710" s="246" t="s">
        <v>418</v>
      </c>
      <c r="S710" s="223"/>
      <c r="T710" s="223"/>
      <c r="U710" s="223"/>
      <c r="V710" s="223"/>
      <c r="W710" s="224"/>
    </row>
    <row r="711" spans="2:23" ht="12.75" customHeight="1">
      <c r="B711" s="11"/>
      <c r="H711" s="77"/>
      <c r="I711" s="77"/>
      <c r="J711" s="77"/>
      <c r="K711" s="77"/>
      <c r="L711" s="77"/>
      <c r="M711" s="77"/>
      <c r="R711" s="11"/>
      <c r="S711" s="11"/>
      <c r="T711" s="11"/>
      <c r="U711" s="11"/>
      <c r="V711" s="11"/>
      <c r="W711" s="11"/>
    </row>
    <row r="712" spans="2:23" ht="12.75" customHeight="1">
      <c r="B712" s="11"/>
      <c r="H712" s="11" t="s">
        <v>674</v>
      </c>
      <c r="I712" s="11"/>
      <c r="J712" s="78">
        <v>5</v>
      </c>
      <c r="K712" s="78">
        <v>2</v>
      </c>
      <c r="L712" s="78">
        <v>3</v>
      </c>
      <c r="M712" s="78">
        <v>5</v>
      </c>
      <c r="N712" s="78">
        <v>7</v>
      </c>
      <c r="P712" s="64" t="s">
        <v>680</v>
      </c>
      <c r="R712" s="78"/>
      <c r="S712" s="78"/>
      <c r="T712" s="78"/>
      <c r="U712" s="78"/>
      <c r="V712" s="78"/>
      <c r="W712" s="78"/>
    </row>
    <row r="713" spans="2:23" ht="12.75" customHeight="1">
      <c r="B713" s="11"/>
    </row>
    <row r="714" spans="2:23" ht="12.75" customHeight="1">
      <c r="B714" s="152" t="s">
        <v>121</v>
      </c>
      <c r="C714" s="64" t="s">
        <v>780</v>
      </c>
      <c r="H714" s="78" t="s">
        <v>458</v>
      </c>
      <c r="I714" s="78" t="s">
        <v>458</v>
      </c>
      <c r="J714" s="78" t="s">
        <v>459</v>
      </c>
      <c r="K714" s="78" t="s">
        <v>460</v>
      </c>
      <c r="L714" s="78" t="s">
        <v>461</v>
      </c>
      <c r="M714" s="78" t="s">
        <v>462</v>
      </c>
      <c r="N714" s="78" t="s">
        <v>461</v>
      </c>
      <c r="O714" s="78" t="s">
        <v>395</v>
      </c>
      <c r="P714" s="78" t="s">
        <v>395</v>
      </c>
      <c r="Q714" s="78" t="s">
        <v>459</v>
      </c>
      <c r="R714" s="78" t="s">
        <v>591</v>
      </c>
      <c r="S714" s="78" t="s">
        <v>460</v>
      </c>
      <c r="T714" s="78" t="s">
        <v>461</v>
      </c>
      <c r="U714" s="78" t="s">
        <v>461</v>
      </c>
      <c r="V714" s="78" t="s">
        <v>461</v>
      </c>
      <c r="W714" s="78" t="s">
        <v>458</v>
      </c>
    </row>
    <row r="715" spans="2:23" ht="12.75" customHeight="1">
      <c r="B715" s="11"/>
    </row>
    <row r="716" spans="2:23" ht="12.75" customHeight="1">
      <c r="B716" s="152" t="s">
        <v>124</v>
      </c>
      <c r="C716" s="64" t="s">
        <v>391</v>
      </c>
      <c r="H716" s="246" t="s">
        <v>856</v>
      </c>
      <c r="I716" s="223"/>
      <c r="J716" s="223"/>
      <c r="K716" s="223"/>
      <c r="L716" s="223"/>
      <c r="M716" s="223"/>
      <c r="N716" s="223"/>
      <c r="O716" s="223"/>
      <c r="P716" s="223"/>
      <c r="Q716" s="223"/>
      <c r="R716" s="223"/>
      <c r="S716" s="223"/>
      <c r="T716" s="223"/>
      <c r="U716" s="223"/>
      <c r="V716" s="223"/>
      <c r="W716" s="224"/>
    </row>
    <row r="717" spans="2:23" ht="12.75" customHeight="1"/>
    <row r="718" spans="2:23" ht="12.75" customHeight="1"/>
    <row r="719" spans="2:23" ht="12.75" customHeight="1">
      <c r="B719" s="38" t="s">
        <v>782</v>
      </c>
    </row>
    <row r="720" spans="2:23" ht="12.75" customHeight="1"/>
    <row r="721" spans="1:23" ht="12.75" customHeight="1">
      <c r="A721" s="11"/>
      <c r="B721" s="152" t="s">
        <v>111</v>
      </c>
      <c r="C721" s="64" t="s">
        <v>783</v>
      </c>
      <c r="H721" s="78">
        <v>3</v>
      </c>
      <c r="I721" s="64" t="s">
        <v>784</v>
      </c>
    </row>
    <row r="722" spans="1:23" ht="12.75" customHeight="1">
      <c r="A722" s="11"/>
      <c r="B722" s="11"/>
    </row>
    <row r="723" spans="1:23" ht="12.75" customHeight="1">
      <c r="A723" s="11"/>
      <c r="B723" s="152" t="s">
        <v>115</v>
      </c>
      <c r="C723" s="64" t="s">
        <v>387</v>
      </c>
      <c r="H723" s="78" t="s">
        <v>458</v>
      </c>
      <c r="I723" s="78" t="s">
        <v>458</v>
      </c>
      <c r="J723" s="78" t="s">
        <v>461</v>
      </c>
      <c r="K723" s="78" t="s">
        <v>458</v>
      </c>
      <c r="L723" s="78" t="s">
        <v>395</v>
      </c>
      <c r="M723" s="78" t="s">
        <v>460</v>
      </c>
      <c r="N723" s="78" t="s">
        <v>459</v>
      </c>
      <c r="O723" s="78" t="s">
        <v>458</v>
      </c>
      <c r="P723" s="78" t="s">
        <v>395</v>
      </c>
      <c r="Q723" s="78" t="s">
        <v>461</v>
      </c>
      <c r="R723" s="78" t="s">
        <v>459</v>
      </c>
      <c r="S723" s="78" t="s">
        <v>462</v>
      </c>
      <c r="T723" s="78" t="s">
        <v>461</v>
      </c>
      <c r="U723" s="78" t="s">
        <v>461</v>
      </c>
      <c r="V723" s="78" t="s">
        <v>461</v>
      </c>
      <c r="W723" s="78" t="s">
        <v>395</v>
      </c>
    </row>
    <row r="724" spans="1:23" ht="12.75" customHeight="1">
      <c r="A724" s="11"/>
      <c r="B724" s="11"/>
    </row>
    <row r="725" spans="1:23" ht="12.75" customHeight="1">
      <c r="A725" s="11"/>
      <c r="B725" s="152" t="s">
        <v>118</v>
      </c>
      <c r="C725" s="64" t="s">
        <v>785</v>
      </c>
      <c r="H725" s="78">
        <v>3</v>
      </c>
      <c r="I725" s="78">
        <v>3</v>
      </c>
      <c r="J725" s="78">
        <v>0</v>
      </c>
      <c r="K725" s="78">
        <v>3</v>
      </c>
      <c r="L725" s="78">
        <v>1</v>
      </c>
      <c r="M725" s="78">
        <v>7</v>
      </c>
      <c r="N725" s="78">
        <v>5</v>
      </c>
      <c r="O725" s="78">
        <v>5</v>
      </c>
      <c r="P725" s="78">
        <v>0</v>
      </c>
      <c r="Q725" s="78">
        <v>6</v>
      </c>
      <c r="R725" s="78">
        <v>8</v>
      </c>
      <c r="S725" s="78">
        <v>9</v>
      </c>
      <c r="T725" s="78">
        <v>0</v>
      </c>
      <c r="U725" s="78">
        <v>0</v>
      </c>
      <c r="V725" s="78">
        <v>0</v>
      </c>
      <c r="W725" s="78">
        <v>3</v>
      </c>
    </row>
    <row r="726" spans="1:23" ht="12.75" customHeight="1">
      <c r="A726" s="11"/>
      <c r="B726" s="11"/>
    </row>
    <row r="727" spans="1:23" ht="12.75" customHeight="1">
      <c r="A727" s="11"/>
      <c r="B727" s="152" t="s">
        <v>121</v>
      </c>
      <c r="C727" s="64" t="s">
        <v>385</v>
      </c>
      <c r="H727" s="246" t="s">
        <v>857</v>
      </c>
      <c r="I727" s="223"/>
      <c r="J727" s="223"/>
      <c r="K727" s="223"/>
      <c r="L727" s="223"/>
      <c r="M727" s="223"/>
      <c r="N727" s="223"/>
      <c r="O727" s="223"/>
      <c r="P727" s="223"/>
      <c r="Q727" s="223"/>
      <c r="R727" s="223"/>
      <c r="S727" s="223"/>
      <c r="T727" s="223"/>
      <c r="U727" s="223"/>
      <c r="V727" s="223"/>
      <c r="W727" s="224"/>
    </row>
    <row r="728" spans="1:23" ht="12.75" customHeight="1">
      <c r="A728" s="11"/>
      <c r="B728" s="11"/>
    </row>
    <row r="729" spans="1:23" ht="12.75" customHeight="1">
      <c r="A729" s="11"/>
      <c r="B729" s="152" t="s">
        <v>124</v>
      </c>
      <c r="C729" s="64" t="s">
        <v>786</v>
      </c>
      <c r="H729" s="78">
        <v>20</v>
      </c>
      <c r="I729" s="78"/>
      <c r="J729" s="11"/>
      <c r="K729" s="78">
        <v>1</v>
      </c>
      <c r="L729" s="78">
        <v>1</v>
      </c>
      <c r="M729" s="11"/>
      <c r="N729" s="78">
        <v>2</v>
      </c>
      <c r="O729" s="78">
        <v>0</v>
      </c>
      <c r="P729" s="78">
        <v>2</v>
      </c>
      <c r="Q729" s="78">
        <v>4</v>
      </c>
      <c r="R729" s="11"/>
    </row>
    <row r="730" spans="1:23" ht="12.75" customHeight="1">
      <c r="A730" s="11"/>
      <c r="B730" s="11"/>
    </row>
    <row r="731" spans="1:23" ht="12.75" customHeight="1">
      <c r="A731" s="11"/>
      <c r="B731" s="152" t="s">
        <v>127</v>
      </c>
      <c r="C731" s="64" t="s">
        <v>345</v>
      </c>
      <c r="F731" s="91"/>
      <c r="H731" s="246" t="s">
        <v>858</v>
      </c>
      <c r="I731" s="223"/>
      <c r="J731" s="223"/>
      <c r="K731" s="223"/>
      <c r="L731" s="223"/>
      <c r="M731" s="223"/>
      <c r="N731" s="224"/>
      <c r="P731" s="64" t="s">
        <v>675</v>
      </c>
      <c r="Q731" s="78">
        <v>0</v>
      </c>
      <c r="R731" s="78">
        <v>1</v>
      </c>
      <c r="S731" s="78">
        <v>6</v>
      </c>
      <c r="T731" s="11" t="s">
        <v>676</v>
      </c>
      <c r="U731" s="78">
        <v>0</v>
      </c>
      <c r="V731" s="78">
        <v>0</v>
      </c>
      <c r="W731" s="78">
        <v>4</v>
      </c>
    </row>
    <row r="732" spans="1:23" ht="12.75" customHeight="1">
      <c r="A732" s="11"/>
      <c r="B732" s="11"/>
    </row>
    <row r="733" spans="1:23" ht="12.75" customHeight="1">
      <c r="A733" s="11"/>
      <c r="B733" s="11"/>
      <c r="F733" s="91"/>
      <c r="H733" s="64" t="s">
        <v>779</v>
      </c>
      <c r="L733" s="246" t="s">
        <v>859</v>
      </c>
      <c r="M733" s="223"/>
      <c r="N733" s="223"/>
      <c r="O733" s="223"/>
      <c r="P733" s="223"/>
      <c r="Q733" s="223"/>
      <c r="R733" s="223"/>
      <c r="S733" s="223"/>
      <c r="T733" s="223"/>
      <c r="U733" s="223"/>
      <c r="V733" s="223"/>
      <c r="W733" s="224"/>
    </row>
    <row r="734" spans="1:23" ht="12.75" customHeight="1">
      <c r="A734" s="11"/>
      <c r="B734" s="11"/>
    </row>
    <row r="735" spans="1:23" ht="12.75" customHeight="1">
      <c r="A735" s="11"/>
      <c r="B735" s="11"/>
      <c r="C735" s="64" t="s">
        <v>414</v>
      </c>
      <c r="H735" s="246" t="s">
        <v>858</v>
      </c>
      <c r="I735" s="223"/>
      <c r="J735" s="223"/>
      <c r="K735" s="223"/>
      <c r="L735" s="223"/>
      <c r="M735" s="224"/>
      <c r="O735" s="64" t="s">
        <v>562</v>
      </c>
      <c r="R735" s="246" t="s">
        <v>860</v>
      </c>
      <c r="S735" s="223"/>
      <c r="T735" s="223"/>
      <c r="U735" s="223"/>
      <c r="V735" s="223"/>
      <c r="W735" s="224"/>
    </row>
    <row r="736" spans="1:23" ht="12.75" customHeight="1">
      <c r="A736" s="11"/>
      <c r="B736" s="11"/>
      <c r="H736" s="77"/>
      <c r="I736" s="77"/>
      <c r="J736" s="77"/>
      <c r="K736" s="77"/>
      <c r="L736" s="77"/>
      <c r="M736" s="77"/>
      <c r="R736" s="77"/>
      <c r="S736" s="77"/>
      <c r="T736" s="77"/>
      <c r="U736" s="77"/>
      <c r="V736" s="77"/>
      <c r="W736" s="77"/>
    </row>
    <row r="737" spans="1:23" ht="12.75" customHeight="1">
      <c r="A737" s="11"/>
      <c r="B737" s="11"/>
      <c r="C737" s="64" t="s">
        <v>563</v>
      </c>
      <c r="H737" s="246" t="s">
        <v>861</v>
      </c>
      <c r="I737" s="223"/>
      <c r="J737" s="223"/>
      <c r="K737" s="223"/>
      <c r="L737" s="223"/>
      <c r="M737" s="224"/>
      <c r="O737" s="64" t="s">
        <v>417</v>
      </c>
      <c r="R737" s="246" t="s">
        <v>418</v>
      </c>
      <c r="S737" s="223"/>
      <c r="T737" s="223"/>
      <c r="U737" s="223"/>
      <c r="V737" s="223"/>
      <c r="W737" s="224"/>
    </row>
    <row r="738" spans="1:23" ht="12.75" customHeight="1">
      <c r="A738" s="11"/>
      <c r="B738" s="11"/>
      <c r="H738" s="77"/>
      <c r="I738" s="77"/>
      <c r="J738" s="77"/>
      <c r="K738" s="77"/>
      <c r="L738" s="77"/>
      <c r="M738" s="77"/>
      <c r="R738" s="77"/>
      <c r="S738" s="77"/>
      <c r="T738" s="77"/>
      <c r="U738" s="77"/>
      <c r="V738" s="77"/>
      <c r="W738" s="77"/>
    </row>
    <row r="739" spans="1:23" ht="12.75" customHeight="1">
      <c r="A739" s="11"/>
      <c r="B739" s="152" t="s">
        <v>130</v>
      </c>
      <c r="C739" s="64" t="s">
        <v>790</v>
      </c>
    </row>
    <row r="740" spans="1:23" ht="12.75" customHeight="1"/>
    <row r="741" spans="1:23" ht="12.75" customHeight="1">
      <c r="B741" s="104" t="s">
        <v>684</v>
      </c>
      <c r="C741" s="275" t="s">
        <v>340</v>
      </c>
      <c r="D741" s="223"/>
      <c r="E741" s="223"/>
      <c r="F741" s="223"/>
      <c r="G741" s="223"/>
      <c r="H741" s="223"/>
      <c r="I741" s="223"/>
      <c r="J741" s="223"/>
      <c r="K741" s="224"/>
      <c r="L741" s="275" t="s">
        <v>791</v>
      </c>
      <c r="M741" s="223"/>
      <c r="N741" s="223"/>
      <c r="O741" s="223"/>
      <c r="P741" s="223"/>
      <c r="Q741" s="224"/>
      <c r="R741" s="286" t="s">
        <v>850</v>
      </c>
      <c r="S741" s="223"/>
      <c r="T741" s="224"/>
      <c r="U741" s="275" t="s">
        <v>793</v>
      </c>
      <c r="V741" s="223"/>
      <c r="W741" s="224"/>
    </row>
    <row r="742" spans="1:23" ht="12.75" customHeight="1">
      <c r="B742" s="78">
        <v>1</v>
      </c>
      <c r="C742" s="288" t="s">
        <v>862</v>
      </c>
      <c r="D742" s="223"/>
      <c r="E742" s="223"/>
      <c r="F742" s="223"/>
      <c r="G742" s="223"/>
      <c r="H742" s="223"/>
      <c r="I742" s="223"/>
      <c r="J742" s="223"/>
      <c r="K742" s="224"/>
      <c r="L742" s="246" t="s">
        <v>856</v>
      </c>
      <c r="M742" s="223"/>
      <c r="N742" s="223"/>
      <c r="O742" s="223"/>
      <c r="P742" s="223"/>
      <c r="Q742" s="224"/>
      <c r="R742" s="287">
        <v>35765</v>
      </c>
      <c r="S742" s="223"/>
      <c r="T742" s="224"/>
      <c r="U742" s="252" t="s">
        <v>795</v>
      </c>
      <c r="V742" s="223"/>
      <c r="W742" s="224"/>
    </row>
    <row r="743" spans="1:23" ht="12.75" customHeight="1">
      <c r="B743" s="78">
        <v>2</v>
      </c>
      <c r="C743" s="246"/>
      <c r="D743" s="223"/>
      <c r="E743" s="223"/>
      <c r="F743" s="223"/>
      <c r="G743" s="223"/>
      <c r="H743" s="223"/>
      <c r="I743" s="223"/>
      <c r="J743" s="223"/>
      <c r="K743" s="224"/>
      <c r="L743" s="246"/>
      <c r="M743" s="223"/>
      <c r="N743" s="223"/>
      <c r="O743" s="223"/>
      <c r="P743" s="223"/>
      <c r="Q743" s="224"/>
      <c r="R743" s="287"/>
      <c r="S743" s="223"/>
      <c r="T743" s="224"/>
      <c r="U743" s="252"/>
      <c r="V743" s="223"/>
      <c r="W743" s="224"/>
    </row>
    <row r="744" spans="1:23" ht="12.75" customHeight="1">
      <c r="B744" s="78">
        <v>3</v>
      </c>
      <c r="C744" s="246"/>
      <c r="D744" s="223"/>
      <c r="E744" s="223"/>
      <c r="F744" s="223"/>
      <c r="G744" s="223"/>
      <c r="H744" s="223"/>
      <c r="I744" s="223"/>
      <c r="J744" s="223"/>
      <c r="K744" s="224"/>
      <c r="L744" s="246"/>
      <c r="M744" s="223"/>
      <c r="N744" s="223"/>
      <c r="O744" s="223"/>
      <c r="P744" s="223"/>
      <c r="Q744" s="224"/>
      <c r="R744" s="287"/>
      <c r="S744" s="223"/>
      <c r="T744" s="224"/>
      <c r="U744" s="252"/>
      <c r="V744" s="223"/>
      <c r="W744" s="224"/>
    </row>
    <row r="745" spans="1:23" ht="12.75" customHeight="1">
      <c r="B745" s="78">
        <v>4</v>
      </c>
      <c r="C745" s="246"/>
      <c r="D745" s="223"/>
      <c r="E745" s="223"/>
      <c r="F745" s="223"/>
      <c r="G745" s="223"/>
      <c r="H745" s="223"/>
      <c r="I745" s="223"/>
      <c r="J745" s="223"/>
      <c r="K745" s="224"/>
      <c r="L745" s="246"/>
      <c r="M745" s="223"/>
      <c r="N745" s="223"/>
      <c r="O745" s="223"/>
      <c r="P745" s="223"/>
      <c r="Q745" s="224"/>
      <c r="R745" s="287"/>
      <c r="S745" s="223"/>
      <c r="T745" s="224"/>
      <c r="U745" s="252"/>
      <c r="V745" s="223"/>
      <c r="W745" s="224"/>
    </row>
    <row r="746" spans="1:23" ht="12.75" customHeight="1">
      <c r="B746" s="78">
        <v>5</v>
      </c>
      <c r="C746" s="246"/>
      <c r="D746" s="223"/>
      <c r="E746" s="223"/>
      <c r="F746" s="223"/>
      <c r="G746" s="223"/>
      <c r="H746" s="223"/>
      <c r="I746" s="223"/>
      <c r="J746" s="223"/>
      <c r="K746" s="224"/>
      <c r="L746" s="246"/>
      <c r="M746" s="223"/>
      <c r="N746" s="223"/>
      <c r="O746" s="223"/>
      <c r="P746" s="223"/>
      <c r="Q746" s="224"/>
      <c r="R746" s="287"/>
      <c r="S746" s="223"/>
      <c r="T746" s="224"/>
      <c r="U746" s="252"/>
      <c r="V746" s="223"/>
      <c r="W746" s="224"/>
    </row>
    <row r="747" spans="1:23" ht="12.75" customHeight="1">
      <c r="B747" s="78">
        <v>6</v>
      </c>
      <c r="C747" s="246"/>
      <c r="D747" s="223"/>
      <c r="E747" s="223"/>
      <c r="F747" s="223"/>
      <c r="G747" s="223"/>
      <c r="H747" s="223"/>
      <c r="I747" s="223"/>
      <c r="J747" s="223"/>
      <c r="K747" s="224"/>
      <c r="L747" s="252"/>
      <c r="M747" s="223"/>
      <c r="N747" s="223"/>
      <c r="O747" s="223"/>
      <c r="P747" s="223"/>
      <c r="Q747" s="224"/>
      <c r="R747" s="252"/>
      <c r="S747" s="223"/>
      <c r="T747" s="224"/>
      <c r="U747" s="252"/>
      <c r="V747" s="223"/>
      <c r="W747" s="224"/>
    </row>
    <row r="748" spans="1:23" ht="12.75" customHeight="1">
      <c r="B748" s="78">
        <v>7</v>
      </c>
      <c r="C748" s="252"/>
      <c r="D748" s="223"/>
      <c r="E748" s="223"/>
      <c r="F748" s="223"/>
      <c r="G748" s="223"/>
      <c r="H748" s="223"/>
      <c r="I748" s="223"/>
      <c r="J748" s="223"/>
      <c r="K748" s="224"/>
      <c r="L748" s="252"/>
      <c r="M748" s="223"/>
      <c r="N748" s="223"/>
      <c r="O748" s="223"/>
      <c r="P748" s="223"/>
      <c r="Q748" s="224"/>
      <c r="R748" s="252"/>
      <c r="S748" s="223"/>
      <c r="T748" s="224"/>
      <c r="U748" s="252"/>
      <c r="V748" s="223"/>
      <c r="W748" s="224"/>
    </row>
    <row r="749" spans="1:23" ht="12.75" customHeight="1"/>
    <row r="750" spans="1:23" ht="12.75" customHeight="1"/>
    <row r="751" spans="1:23" ht="12.75" customHeight="1">
      <c r="J751" s="225" t="s">
        <v>29</v>
      </c>
      <c r="K751" s="194"/>
      <c r="L751" s="194"/>
      <c r="M751" s="194"/>
      <c r="N751" s="194"/>
      <c r="O751" s="194"/>
      <c r="R751" s="3" t="s">
        <v>863</v>
      </c>
    </row>
    <row r="752" spans="1:23" ht="12.75" customHeight="1">
      <c r="D752" s="64" t="s">
        <v>797</v>
      </c>
      <c r="J752" s="225" t="s">
        <v>274</v>
      </c>
      <c r="K752" s="194"/>
      <c r="L752" s="194"/>
      <c r="M752" s="194"/>
      <c r="N752" s="194"/>
      <c r="O752" s="194"/>
      <c r="S752" s="64" t="s">
        <v>799</v>
      </c>
    </row>
    <row r="753" spans="4:22" ht="12.75" customHeight="1">
      <c r="J753" s="225"/>
      <c r="K753" s="194"/>
      <c r="L753" s="194"/>
      <c r="M753" s="194"/>
      <c r="N753" s="194"/>
      <c r="O753" s="194"/>
    </row>
    <row r="754" spans="4:22" ht="12.75" customHeight="1"/>
    <row r="755" spans="4:22" ht="12.75" customHeight="1"/>
    <row r="756" spans="4:22" ht="12.75" customHeight="1"/>
    <row r="757" spans="4:22" ht="12.75" customHeight="1">
      <c r="D757" s="3" t="s">
        <v>506</v>
      </c>
      <c r="K757" s="225" t="s">
        <v>482</v>
      </c>
      <c r="L757" s="194"/>
      <c r="M757" s="194"/>
      <c r="N757" s="194"/>
      <c r="Q757" s="225" t="s">
        <v>856</v>
      </c>
      <c r="R757" s="194"/>
      <c r="S757" s="194"/>
      <c r="T757" s="194"/>
      <c r="U757" s="194"/>
      <c r="V757" s="194"/>
    </row>
    <row r="758" spans="4:22" ht="12.75" customHeight="1"/>
    <row r="759" spans="4:22" ht="12.75" customHeight="1"/>
    <row r="760" spans="4:22" ht="12.75" customHeight="1"/>
    <row r="761" spans="4:22" ht="12.75" customHeight="1"/>
    <row r="762" spans="4:22" ht="12.75" customHeight="1"/>
    <row r="763" spans="4:22" ht="12.75" customHeight="1"/>
    <row r="764" spans="4:22" ht="12.75" customHeight="1"/>
    <row r="765" spans="4:22" ht="12.75" customHeight="1"/>
    <row r="766" spans="4:22" ht="12.75" customHeight="1"/>
    <row r="767" spans="4:22" ht="12.75" customHeight="1"/>
    <row r="768" spans="4:22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spans="2:23" ht="12.75" customHeight="1"/>
    <row r="802" spans="2:23" ht="12.75" customHeight="1"/>
    <row r="803" spans="2:23" ht="12.75" customHeight="1"/>
    <row r="804" spans="2:23" ht="12.75" customHeight="1"/>
    <row r="805" spans="2:23" ht="12.75" customHeight="1"/>
    <row r="806" spans="2:23" ht="12.75" customHeight="1">
      <c r="T806" s="252" t="s">
        <v>800</v>
      </c>
      <c r="U806" s="223"/>
      <c r="V806" s="224"/>
    </row>
    <row r="807" spans="2:23" ht="12.75" customHeight="1"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</row>
    <row r="808" spans="2:23" ht="12.75" customHeight="1"/>
    <row r="809" spans="2:23" ht="12.75" customHeight="1">
      <c r="B809" s="64" t="s">
        <v>770</v>
      </c>
      <c r="G809" s="11" t="s">
        <v>10</v>
      </c>
      <c r="H809" s="78">
        <v>3</v>
      </c>
      <c r="I809" s="78">
        <v>3</v>
      </c>
      <c r="J809" s="11"/>
      <c r="M809" s="246" t="s">
        <v>418</v>
      </c>
      <c r="N809" s="223"/>
      <c r="O809" s="223"/>
      <c r="P809" s="223"/>
      <c r="Q809" s="223"/>
      <c r="R809" s="223"/>
      <c r="S809" s="223"/>
      <c r="T809" s="223"/>
      <c r="U809" s="223"/>
      <c r="V809" s="223"/>
      <c r="W809" s="224"/>
    </row>
    <row r="810" spans="2:23" ht="12.75" customHeight="1">
      <c r="G810" s="11"/>
      <c r="H810" s="11"/>
      <c r="I810" s="11"/>
      <c r="J810" s="11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</row>
    <row r="811" spans="2:23" ht="12.75" customHeight="1">
      <c r="B811" s="64" t="s">
        <v>105</v>
      </c>
      <c r="G811" s="11" t="s">
        <v>10</v>
      </c>
      <c r="H811" s="78">
        <v>2</v>
      </c>
      <c r="I811" s="78">
        <v>7</v>
      </c>
      <c r="J811" s="11"/>
      <c r="M811" s="246" t="s">
        <v>106</v>
      </c>
      <c r="N811" s="223"/>
      <c r="O811" s="223"/>
      <c r="P811" s="223"/>
      <c r="Q811" s="223"/>
      <c r="R811" s="223"/>
      <c r="S811" s="223"/>
      <c r="T811" s="223"/>
      <c r="U811" s="223"/>
      <c r="V811" s="223"/>
      <c r="W811" s="224"/>
    </row>
    <row r="812" spans="2:23" ht="12.75" customHeight="1">
      <c r="G812" s="11"/>
      <c r="H812" s="11"/>
      <c r="I812" s="11"/>
      <c r="J812" s="11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</row>
    <row r="813" spans="2:23" ht="12.75" customHeight="1">
      <c r="B813" s="64" t="s">
        <v>103</v>
      </c>
      <c r="G813" s="11" t="s">
        <v>10</v>
      </c>
      <c r="H813" s="78">
        <v>0</v>
      </c>
      <c r="I813" s="78">
        <v>4</v>
      </c>
      <c r="J813" s="11"/>
      <c r="M813" s="246" t="s">
        <v>104</v>
      </c>
      <c r="N813" s="223"/>
      <c r="O813" s="223"/>
      <c r="P813" s="223"/>
      <c r="Q813" s="223"/>
      <c r="R813" s="223"/>
      <c r="S813" s="223"/>
      <c r="T813" s="223"/>
      <c r="U813" s="223"/>
      <c r="V813" s="223"/>
      <c r="W813" s="224"/>
    </row>
    <row r="814" spans="2:23" ht="12.75" customHeight="1">
      <c r="G814" s="11"/>
      <c r="H814" s="11"/>
      <c r="I814" s="11"/>
      <c r="J814" s="11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</row>
    <row r="815" spans="2:23" ht="12.75" customHeight="1">
      <c r="B815" s="64" t="s">
        <v>771</v>
      </c>
      <c r="G815" s="11" t="s">
        <v>10</v>
      </c>
      <c r="H815" s="78">
        <v>2</v>
      </c>
      <c r="I815" s="78">
        <v>0</v>
      </c>
      <c r="J815" s="78">
        <v>1</v>
      </c>
      <c r="K815" s="78">
        <v>1</v>
      </c>
      <c r="M815" s="246" t="s">
        <v>102</v>
      </c>
      <c r="N815" s="223"/>
      <c r="O815" s="223"/>
      <c r="P815" s="223"/>
      <c r="Q815" s="223"/>
      <c r="R815" s="223"/>
      <c r="S815" s="223"/>
      <c r="T815" s="223"/>
      <c r="U815" s="223"/>
      <c r="V815" s="223"/>
      <c r="W815" s="224"/>
    </row>
    <row r="816" spans="2:23" ht="12.75" customHeight="1">
      <c r="G816" s="11"/>
    </row>
    <row r="817" spans="1:23" ht="12.75" customHeight="1">
      <c r="B817" s="64" t="s">
        <v>772</v>
      </c>
      <c r="G817" s="11" t="s">
        <v>10</v>
      </c>
      <c r="H817" s="246" t="s">
        <v>773</v>
      </c>
      <c r="I817" s="223"/>
      <c r="J817" s="223"/>
      <c r="K817" s="223"/>
      <c r="L817" s="223"/>
      <c r="M817" s="223"/>
      <c r="N817" s="223"/>
      <c r="O817" s="223"/>
      <c r="P817" s="223"/>
      <c r="Q817" s="223"/>
      <c r="R817" s="223"/>
      <c r="S817" s="223"/>
      <c r="T817" s="223"/>
      <c r="U817" s="223"/>
      <c r="V817" s="223"/>
      <c r="W817" s="224"/>
    </row>
    <row r="818" spans="1:23" ht="12.75" customHeight="1"/>
    <row r="819" spans="1:23" ht="12.75" customHeight="1">
      <c r="B819" s="196" t="s">
        <v>774</v>
      </c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4"/>
    </row>
    <row r="820" spans="1:23" ht="12.75" customHeight="1">
      <c r="B820" s="225" t="s">
        <v>853</v>
      </c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4"/>
    </row>
    <row r="821" spans="1:23" ht="12.75" customHeight="1">
      <c r="B821" s="225" t="s">
        <v>864</v>
      </c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4"/>
    </row>
    <row r="822" spans="1:23" ht="12.75" customHeight="1">
      <c r="A822" s="11"/>
      <c r="B822" s="38" t="s">
        <v>777</v>
      </c>
    </row>
    <row r="823" spans="1:23" ht="12.75" customHeight="1"/>
    <row r="824" spans="1:23" ht="12.75" customHeight="1">
      <c r="B824" s="152" t="s">
        <v>111</v>
      </c>
      <c r="C824" s="64" t="s">
        <v>387</v>
      </c>
      <c r="H824" s="78">
        <v>3</v>
      </c>
      <c r="I824" s="78">
        <v>3</v>
      </c>
      <c r="J824" s="78">
        <v>2</v>
      </c>
      <c r="K824" s="78">
        <v>7</v>
      </c>
      <c r="L824" s="78">
        <v>0</v>
      </c>
      <c r="M824" s="78">
        <v>4</v>
      </c>
      <c r="N824" s="78">
        <v>1</v>
      </c>
      <c r="O824" s="78">
        <v>9</v>
      </c>
      <c r="P824" s="78">
        <v>0</v>
      </c>
      <c r="Q824" s="78">
        <v>8</v>
      </c>
      <c r="R824" s="78">
        <v>0</v>
      </c>
      <c r="S824" s="78">
        <v>7</v>
      </c>
      <c r="T824" s="78">
        <v>0</v>
      </c>
      <c r="U824" s="78">
        <v>0</v>
      </c>
      <c r="V824" s="78">
        <v>4</v>
      </c>
      <c r="W824" s="78">
        <v>0</v>
      </c>
    </row>
    <row r="825" spans="1:23" ht="12.75" customHeight="1">
      <c r="B825" s="11"/>
    </row>
    <row r="826" spans="1:23" ht="12.75" customHeight="1">
      <c r="B826" s="152" t="s">
        <v>115</v>
      </c>
      <c r="C826" s="64" t="s">
        <v>385</v>
      </c>
      <c r="H826" s="246" t="s">
        <v>865</v>
      </c>
      <c r="I826" s="223"/>
      <c r="J826" s="223"/>
      <c r="K826" s="223"/>
      <c r="L826" s="223"/>
      <c r="M826" s="223"/>
      <c r="N826" s="223"/>
      <c r="O826" s="223"/>
      <c r="P826" s="223"/>
      <c r="Q826" s="223"/>
      <c r="R826" s="223"/>
      <c r="S826" s="223"/>
      <c r="T826" s="223"/>
      <c r="U826" s="223"/>
      <c r="V826" s="223"/>
      <c r="W826" s="224"/>
    </row>
    <row r="827" spans="1:23" ht="12.75" customHeight="1">
      <c r="B827" s="11"/>
    </row>
    <row r="828" spans="1:23" ht="12.75" customHeight="1">
      <c r="B828" s="152" t="s">
        <v>118</v>
      </c>
      <c r="C828" s="64" t="s">
        <v>345</v>
      </c>
      <c r="H828" s="246" t="s">
        <v>102</v>
      </c>
      <c r="I828" s="223"/>
      <c r="J828" s="223"/>
      <c r="K828" s="223"/>
      <c r="L828" s="223"/>
      <c r="M828" s="223"/>
      <c r="N828" s="223"/>
      <c r="O828" s="224"/>
      <c r="P828" s="64" t="s">
        <v>675</v>
      </c>
      <c r="Q828" s="78">
        <v>0</v>
      </c>
      <c r="R828" s="78">
        <v>0</v>
      </c>
      <c r="S828" s="78">
        <v>6</v>
      </c>
      <c r="T828" s="11" t="s">
        <v>676</v>
      </c>
      <c r="U828" s="78">
        <v>0</v>
      </c>
      <c r="V828" s="78">
        <v>0</v>
      </c>
      <c r="W828" s="78">
        <v>1</v>
      </c>
    </row>
    <row r="829" spans="1:23" ht="12.75" customHeight="1">
      <c r="B829" s="11"/>
    </row>
    <row r="830" spans="1:23" ht="12.75" customHeight="1">
      <c r="B830" s="11"/>
      <c r="H830" s="64" t="s">
        <v>779</v>
      </c>
      <c r="L830" s="246" t="s">
        <v>102</v>
      </c>
      <c r="M830" s="223"/>
      <c r="N830" s="223"/>
      <c r="O830" s="223"/>
      <c r="P830" s="223"/>
      <c r="Q830" s="223"/>
      <c r="R830" s="223"/>
      <c r="S830" s="223"/>
      <c r="T830" s="223"/>
      <c r="U830" s="223"/>
      <c r="V830" s="223"/>
      <c r="W830" s="224"/>
    </row>
    <row r="831" spans="1:23" ht="12.75" customHeight="1">
      <c r="B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 spans="1:23" ht="12.75" customHeight="1">
      <c r="B832" s="11"/>
      <c r="C832" s="64" t="s">
        <v>414</v>
      </c>
      <c r="H832" s="246" t="s">
        <v>102</v>
      </c>
      <c r="I832" s="223"/>
      <c r="J832" s="223"/>
      <c r="K832" s="223"/>
      <c r="L832" s="223"/>
      <c r="M832" s="224"/>
      <c r="O832" s="64" t="s">
        <v>562</v>
      </c>
      <c r="R832" s="246" t="s">
        <v>106</v>
      </c>
      <c r="S832" s="223"/>
      <c r="T832" s="223"/>
      <c r="U832" s="223"/>
      <c r="V832" s="223"/>
      <c r="W832" s="224"/>
    </row>
    <row r="833" spans="1:23" ht="12.75" customHeight="1">
      <c r="B833" s="11"/>
      <c r="H833" s="77"/>
      <c r="I833" s="77"/>
      <c r="J833" s="77"/>
      <c r="K833" s="77"/>
      <c r="L833" s="77"/>
      <c r="M833" s="77"/>
      <c r="R833" s="77"/>
      <c r="S833" s="77"/>
      <c r="T833" s="77"/>
      <c r="U833" s="77"/>
      <c r="V833" s="77"/>
      <c r="W833" s="77"/>
    </row>
    <row r="834" spans="1:23" ht="12.75" customHeight="1">
      <c r="B834" s="11"/>
      <c r="C834" s="64" t="s">
        <v>416</v>
      </c>
      <c r="H834" s="246" t="s">
        <v>104</v>
      </c>
      <c r="I834" s="223"/>
      <c r="J834" s="223"/>
      <c r="K834" s="223"/>
      <c r="L834" s="223"/>
      <c r="M834" s="224"/>
      <c r="O834" s="64" t="s">
        <v>417</v>
      </c>
      <c r="R834" s="246" t="s">
        <v>418</v>
      </c>
      <c r="S834" s="223"/>
      <c r="T834" s="223"/>
      <c r="U834" s="223"/>
      <c r="V834" s="223"/>
      <c r="W834" s="224"/>
    </row>
    <row r="835" spans="1:23" ht="12.75" customHeight="1">
      <c r="B835" s="11"/>
      <c r="H835" s="77"/>
      <c r="I835" s="77"/>
      <c r="J835" s="77"/>
      <c r="K835" s="77"/>
      <c r="L835" s="77"/>
      <c r="M835" s="77"/>
      <c r="R835" s="11"/>
      <c r="S835" s="11"/>
      <c r="T835" s="11"/>
      <c r="U835" s="11"/>
      <c r="V835" s="11"/>
      <c r="W835" s="11"/>
    </row>
    <row r="836" spans="1:23" ht="12.75" customHeight="1">
      <c r="B836" s="11"/>
      <c r="H836" s="11" t="s">
        <v>674</v>
      </c>
      <c r="I836" s="11"/>
      <c r="J836" s="78">
        <v>5</v>
      </c>
      <c r="K836" s="78">
        <v>2</v>
      </c>
      <c r="L836" s="78">
        <v>3</v>
      </c>
      <c r="M836" s="78">
        <v>5</v>
      </c>
      <c r="N836" s="78">
        <v>7</v>
      </c>
      <c r="P836" s="64" t="s">
        <v>680</v>
      </c>
      <c r="R836" s="78"/>
      <c r="S836" s="78"/>
      <c r="T836" s="78"/>
      <c r="U836" s="78"/>
      <c r="V836" s="78"/>
      <c r="W836" s="78"/>
    </row>
    <row r="837" spans="1:23" ht="12.75" customHeight="1">
      <c r="B837" s="11"/>
    </row>
    <row r="838" spans="1:23" ht="12.75" customHeight="1">
      <c r="B838" s="152" t="s">
        <v>121</v>
      </c>
      <c r="C838" s="64" t="s">
        <v>780</v>
      </c>
      <c r="H838" s="78">
        <v>3</v>
      </c>
      <c r="I838" s="78">
        <v>3</v>
      </c>
      <c r="J838" s="78">
        <v>2</v>
      </c>
      <c r="K838" s="78">
        <v>7</v>
      </c>
      <c r="L838" s="78">
        <v>0</v>
      </c>
      <c r="M838" s="78">
        <v>4</v>
      </c>
      <c r="N838" s="78">
        <v>4</v>
      </c>
      <c r="O838" s="78">
        <v>1</v>
      </c>
      <c r="P838" s="78">
        <v>1</v>
      </c>
      <c r="Q838" s="78">
        <v>1</v>
      </c>
      <c r="R838" s="78">
        <v>9</v>
      </c>
      <c r="S838" s="78">
        <v>5</v>
      </c>
      <c r="T838" s="78">
        <v>0</v>
      </c>
      <c r="U838" s="78">
        <v>0</v>
      </c>
      <c r="V838" s="78">
        <v>0</v>
      </c>
      <c r="W838" s="78">
        <v>3</v>
      </c>
    </row>
    <row r="839" spans="1:23" ht="12.75" customHeight="1">
      <c r="B839" s="11"/>
    </row>
    <row r="840" spans="1:23" ht="12.75" customHeight="1">
      <c r="B840" s="152" t="s">
        <v>124</v>
      </c>
      <c r="C840" s="64" t="s">
        <v>391</v>
      </c>
      <c r="H840" s="246" t="s">
        <v>866</v>
      </c>
      <c r="I840" s="223"/>
      <c r="J840" s="223"/>
      <c r="K840" s="223"/>
      <c r="L840" s="223"/>
      <c r="M840" s="223"/>
      <c r="N840" s="223"/>
      <c r="O840" s="223"/>
      <c r="P840" s="223"/>
      <c r="Q840" s="223"/>
      <c r="R840" s="223"/>
      <c r="S840" s="223"/>
      <c r="T840" s="223"/>
      <c r="U840" s="223"/>
      <c r="V840" s="223"/>
      <c r="W840" s="224"/>
    </row>
    <row r="841" spans="1:23" ht="12.75" customHeight="1"/>
    <row r="842" spans="1:23" ht="12.75" customHeight="1"/>
    <row r="843" spans="1:23" ht="12.75" customHeight="1">
      <c r="B843" s="38" t="s">
        <v>782</v>
      </c>
    </row>
    <row r="844" spans="1:23" ht="12.75" customHeight="1"/>
    <row r="845" spans="1:23" ht="12.75" customHeight="1">
      <c r="A845" s="11"/>
      <c r="B845" s="152" t="s">
        <v>111</v>
      </c>
      <c r="C845" s="64" t="s">
        <v>783</v>
      </c>
      <c r="H845" s="78">
        <v>2</v>
      </c>
      <c r="I845" s="64" t="s">
        <v>784</v>
      </c>
    </row>
    <row r="846" spans="1:23" ht="12.75" customHeight="1">
      <c r="A846" s="11"/>
      <c r="B846" s="11"/>
    </row>
    <row r="847" spans="1:23" ht="12.75" customHeight="1">
      <c r="A847" s="11"/>
      <c r="B847" s="152" t="s">
        <v>115</v>
      </c>
      <c r="C847" s="64" t="s">
        <v>387</v>
      </c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</row>
    <row r="848" spans="1:23" ht="12.75" customHeight="1">
      <c r="A848" s="11"/>
      <c r="B848" s="11"/>
    </row>
    <row r="849" spans="1:23" ht="12.75" customHeight="1">
      <c r="A849" s="11"/>
      <c r="B849" s="152" t="s">
        <v>118</v>
      </c>
      <c r="C849" s="64" t="s">
        <v>785</v>
      </c>
      <c r="H849" s="78">
        <v>3</v>
      </c>
      <c r="I849" s="78">
        <v>4</v>
      </c>
      <c r="J849" s="78">
        <v>0</v>
      </c>
      <c r="K849" s="78">
        <v>2</v>
      </c>
      <c r="L849" s="78">
        <v>0</v>
      </c>
      <c r="M849" s="78">
        <v>4</v>
      </c>
      <c r="N849" s="78">
        <v>0</v>
      </c>
      <c r="O849" s="78">
        <v>7</v>
      </c>
      <c r="P849" s="78">
        <v>0</v>
      </c>
      <c r="Q849" s="78">
        <v>2</v>
      </c>
      <c r="R849" s="78">
        <v>9</v>
      </c>
      <c r="S849" s="78">
        <v>6</v>
      </c>
      <c r="T849" s="78">
        <v>0</v>
      </c>
      <c r="U849" s="78">
        <v>0</v>
      </c>
      <c r="V849" s="78">
        <v>0</v>
      </c>
      <c r="W849" s="78">
        <v>4</v>
      </c>
    </row>
    <row r="850" spans="1:23" ht="12.75" customHeight="1">
      <c r="A850" s="11"/>
      <c r="B850" s="11"/>
    </row>
    <row r="851" spans="1:23" ht="12.75" customHeight="1">
      <c r="A851" s="11"/>
      <c r="B851" s="152" t="s">
        <v>121</v>
      </c>
      <c r="C851" s="64" t="s">
        <v>385</v>
      </c>
      <c r="H851" s="246" t="s">
        <v>867</v>
      </c>
      <c r="I851" s="223"/>
      <c r="J851" s="223"/>
      <c r="K851" s="223"/>
      <c r="L851" s="223"/>
      <c r="M851" s="223"/>
      <c r="N851" s="223"/>
      <c r="O851" s="223"/>
      <c r="P851" s="223"/>
      <c r="Q851" s="223"/>
      <c r="R851" s="223"/>
      <c r="S851" s="223"/>
      <c r="T851" s="223"/>
      <c r="U851" s="223"/>
      <c r="V851" s="223"/>
      <c r="W851" s="224"/>
    </row>
    <row r="852" spans="1:23" ht="12.75" customHeight="1">
      <c r="A852" s="11"/>
      <c r="B852" s="11"/>
    </row>
    <row r="853" spans="1:23" ht="12.75" customHeight="1">
      <c r="A853" s="11"/>
      <c r="B853" s="152" t="s">
        <v>124</v>
      </c>
      <c r="C853" s="64" t="s">
        <v>786</v>
      </c>
      <c r="H853" s="78"/>
      <c r="I853" s="78"/>
      <c r="J853" s="11"/>
      <c r="K853" s="78"/>
      <c r="L853" s="78"/>
      <c r="M853" s="11"/>
      <c r="N853" s="78"/>
      <c r="O853" s="78"/>
      <c r="P853" s="78"/>
      <c r="Q853" s="78"/>
      <c r="R853" s="11"/>
    </row>
    <row r="854" spans="1:23" ht="12.75" customHeight="1">
      <c r="A854" s="11"/>
      <c r="B854" s="11"/>
    </row>
    <row r="855" spans="1:23" ht="12.75" customHeight="1">
      <c r="A855" s="11"/>
      <c r="B855" s="152" t="s">
        <v>127</v>
      </c>
      <c r="C855" s="64" t="s">
        <v>345</v>
      </c>
      <c r="F855" s="91"/>
      <c r="H855" s="246" t="s">
        <v>868</v>
      </c>
      <c r="I855" s="223"/>
      <c r="J855" s="223"/>
      <c r="K855" s="223"/>
      <c r="L855" s="223"/>
      <c r="M855" s="223"/>
      <c r="N855" s="224"/>
      <c r="P855" s="64" t="s">
        <v>675</v>
      </c>
      <c r="Q855" s="78">
        <v>0</v>
      </c>
      <c r="R855" s="78">
        <v>0</v>
      </c>
      <c r="S855" s="78">
        <v>3</v>
      </c>
      <c r="T855" s="11" t="s">
        <v>676</v>
      </c>
      <c r="U855" s="78">
        <v>0</v>
      </c>
      <c r="V855" s="78">
        <v>0</v>
      </c>
      <c r="W855" s="78"/>
    </row>
    <row r="856" spans="1:23" ht="12.75" customHeight="1">
      <c r="A856" s="11"/>
      <c r="B856" s="11"/>
    </row>
    <row r="857" spans="1:23" ht="12.75" customHeight="1">
      <c r="A857" s="11"/>
      <c r="B857" s="11"/>
      <c r="F857" s="91"/>
      <c r="H857" s="64" t="s">
        <v>779</v>
      </c>
      <c r="L857" s="246" t="s">
        <v>868</v>
      </c>
      <c r="M857" s="223"/>
      <c r="N857" s="223"/>
      <c r="O857" s="223"/>
      <c r="P857" s="223"/>
      <c r="Q857" s="223"/>
      <c r="R857" s="223"/>
      <c r="S857" s="223"/>
      <c r="T857" s="223"/>
      <c r="U857" s="223"/>
      <c r="V857" s="223"/>
      <c r="W857" s="224"/>
    </row>
    <row r="858" spans="1:23" ht="12.75" customHeight="1">
      <c r="A858" s="11"/>
      <c r="B858" s="11"/>
    </row>
    <row r="859" spans="1:23" ht="12.75" customHeight="1">
      <c r="A859" s="11"/>
      <c r="B859" s="11"/>
      <c r="C859" s="64" t="s">
        <v>414</v>
      </c>
      <c r="H859" s="246" t="s">
        <v>869</v>
      </c>
      <c r="I859" s="223"/>
      <c r="J859" s="223"/>
      <c r="K859" s="223"/>
      <c r="L859" s="223"/>
      <c r="M859" s="224"/>
      <c r="O859" s="64" t="s">
        <v>562</v>
      </c>
      <c r="R859" s="246" t="s">
        <v>870</v>
      </c>
      <c r="S859" s="223"/>
      <c r="T859" s="223"/>
      <c r="U859" s="223"/>
      <c r="V859" s="223"/>
      <c r="W859" s="224"/>
    </row>
    <row r="860" spans="1:23" ht="12.75" customHeight="1">
      <c r="A860" s="11"/>
      <c r="B860" s="11"/>
      <c r="H860" s="77"/>
      <c r="I860" s="77"/>
      <c r="J860" s="77"/>
      <c r="K860" s="77"/>
      <c r="L860" s="77"/>
      <c r="M860" s="77"/>
      <c r="R860" s="77"/>
      <c r="S860" s="77"/>
      <c r="T860" s="77"/>
      <c r="U860" s="77"/>
      <c r="V860" s="77"/>
      <c r="W860" s="77"/>
    </row>
    <row r="861" spans="1:23" ht="12.75" customHeight="1">
      <c r="A861" s="11"/>
      <c r="B861" s="11"/>
      <c r="C861" s="64" t="s">
        <v>563</v>
      </c>
      <c r="H861" s="246" t="s">
        <v>871</v>
      </c>
      <c r="I861" s="223"/>
      <c r="J861" s="223"/>
      <c r="K861" s="223"/>
      <c r="L861" s="223"/>
      <c r="M861" s="224"/>
      <c r="O861" s="64" t="s">
        <v>417</v>
      </c>
      <c r="R861" s="246" t="s">
        <v>872</v>
      </c>
      <c r="S861" s="223"/>
      <c r="T861" s="223"/>
      <c r="U861" s="223"/>
      <c r="V861" s="223"/>
      <c r="W861" s="224"/>
    </row>
    <row r="862" spans="1:23" ht="12.75" customHeight="1">
      <c r="A862" s="11"/>
      <c r="B862" s="11"/>
      <c r="H862" s="77"/>
      <c r="I862" s="77"/>
      <c r="J862" s="77"/>
      <c r="K862" s="77"/>
      <c r="L862" s="77"/>
      <c r="M862" s="77"/>
      <c r="R862" s="77"/>
      <c r="S862" s="77"/>
      <c r="T862" s="77"/>
      <c r="U862" s="77"/>
      <c r="V862" s="77"/>
      <c r="W862" s="77"/>
    </row>
    <row r="863" spans="1:23" ht="12.75" customHeight="1">
      <c r="A863" s="11"/>
      <c r="B863" s="152" t="s">
        <v>130</v>
      </c>
      <c r="C863" s="64" t="s">
        <v>790</v>
      </c>
    </row>
    <row r="864" spans="1:23" ht="12.75" customHeight="1"/>
    <row r="865" spans="2:23" ht="12.75" customHeight="1">
      <c r="B865" s="104" t="s">
        <v>684</v>
      </c>
      <c r="C865" s="275" t="s">
        <v>340</v>
      </c>
      <c r="D865" s="223"/>
      <c r="E865" s="223"/>
      <c r="F865" s="223"/>
      <c r="G865" s="223"/>
      <c r="H865" s="223"/>
      <c r="I865" s="223"/>
      <c r="J865" s="223"/>
      <c r="K865" s="224"/>
      <c r="L865" s="275" t="s">
        <v>791</v>
      </c>
      <c r="M865" s="223"/>
      <c r="N865" s="223"/>
      <c r="O865" s="223"/>
      <c r="P865" s="223"/>
      <c r="Q865" s="224"/>
      <c r="R865" s="286" t="s">
        <v>792</v>
      </c>
      <c r="S865" s="223"/>
      <c r="T865" s="224"/>
      <c r="U865" s="275" t="s">
        <v>793</v>
      </c>
      <c r="V865" s="223"/>
      <c r="W865" s="224"/>
    </row>
    <row r="866" spans="2:23" ht="12.75" customHeight="1">
      <c r="B866" s="78">
        <v>1</v>
      </c>
      <c r="C866" s="288" t="s">
        <v>873</v>
      </c>
      <c r="D866" s="223"/>
      <c r="E866" s="223"/>
      <c r="F866" s="223"/>
      <c r="G866" s="223"/>
      <c r="H866" s="223"/>
      <c r="I866" s="223"/>
      <c r="J866" s="223"/>
      <c r="K866" s="224"/>
      <c r="L866" s="246" t="s">
        <v>866</v>
      </c>
      <c r="M866" s="223"/>
      <c r="N866" s="223"/>
      <c r="O866" s="223"/>
      <c r="P866" s="223"/>
      <c r="Q866" s="224"/>
      <c r="R866" s="287">
        <v>35004</v>
      </c>
      <c r="S866" s="223"/>
      <c r="T866" s="224"/>
      <c r="U866" s="252" t="s">
        <v>795</v>
      </c>
      <c r="V866" s="223"/>
      <c r="W866" s="224"/>
    </row>
    <row r="867" spans="2:23" ht="12.75" customHeight="1">
      <c r="B867" s="78">
        <v>2</v>
      </c>
      <c r="C867" s="246"/>
      <c r="D867" s="223"/>
      <c r="E867" s="223"/>
      <c r="F867" s="223"/>
      <c r="G867" s="223"/>
      <c r="H867" s="223"/>
      <c r="I867" s="223"/>
      <c r="J867" s="223"/>
      <c r="K867" s="224"/>
      <c r="L867" s="246"/>
      <c r="M867" s="223"/>
      <c r="N867" s="223"/>
      <c r="O867" s="223"/>
      <c r="P867" s="223"/>
      <c r="Q867" s="224"/>
      <c r="R867" s="287"/>
      <c r="S867" s="223"/>
      <c r="T867" s="224"/>
      <c r="U867" s="252"/>
      <c r="V867" s="223"/>
      <c r="W867" s="224"/>
    </row>
    <row r="868" spans="2:23" ht="12.75" customHeight="1">
      <c r="B868" s="78">
        <v>3</v>
      </c>
      <c r="C868" s="246"/>
      <c r="D868" s="223"/>
      <c r="E868" s="223"/>
      <c r="F868" s="223"/>
      <c r="G868" s="223"/>
      <c r="H868" s="223"/>
      <c r="I868" s="223"/>
      <c r="J868" s="223"/>
      <c r="K868" s="224"/>
      <c r="L868" s="246"/>
      <c r="M868" s="223"/>
      <c r="N868" s="223"/>
      <c r="O868" s="223"/>
      <c r="P868" s="223"/>
      <c r="Q868" s="224"/>
      <c r="R868" s="287"/>
      <c r="S868" s="223"/>
      <c r="T868" s="224"/>
      <c r="U868" s="252"/>
      <c r="V868" s="223"/>
      <c r="W868" s="224"/>
    </row>
    <row r="869" spans="2:23" ht="12.75" customHeight="1">
      <c r="B869" s="78">
        <v>4</v>
      </c>
      <c r="C869" s="246"/>
      <c r="D869" s="223"/>
      <c r="E869" s="223"/>
      <c r="F869" s="223"/>
      <c r="G869" s="223"/>
      <c r="H869" s="223"/>
      <c r="I869" s="223"/>
      <c r="J869" s="223"/>
      <c r="K869" s="224"/>
      <c r="L869" s="246"/>
      <c r="M869" s="223"/>
      <c r="N869" s="223"/>
      <c r="O869" s="223"/>
      <c r="P869" s="223"/>
      <c r="Q869" s="224"/>
      <c r="R869" s="287"/>
      <c r="S869" s="223"/>
      <c r="T869" s="224"/>
      <c r="U869" s="252"/>
      <c r="V869" s="223"/>
      <c r="W869" s="224"/>
    </row>
    <row r="870" spans="2:23" ht="12.75" customHeight="1">
      <c r="B870" s="78">
        <v>5</v>
      </c>
      <c r="C870" s="246"/>
      <c r="D870" s="223"/>
      <c r="E870" s="223"/>
      <c r="F870" s="223"/>
      <c r="G870" s="223"/>
      <c r="H870" s="223"/>
      <c r="I870" s="223"/>
      <c r="J870" s="223"/>
      <c r="K870" s="224"/>
      <c r="L870" s="246"/>
      <c r="M870" s="223"/>
      <c r="N870" s="223"/>
      <c r="O870" s="223"/>
      <c r="P870" s="223"/>
      <c r="Q870" s="224"/>
      <c r="R870" s="287"/>
      <c r="S870" s="223"/>
      <c r="T870" s="224"/>
      <c r="U870" s="252"/>
      <c r="V870" s="223"/>
      <c r="W870" s="224"/>
    </row>
    <row r="871" spans="2:23" ht="12.75" customHeight="1">
      <c r="B871" s="78">
        <v>6</v>
      </c>
      <c r="C871" s="246"/>
      <c r="D871" s="223"/>
      <c r="E871" s="223"/>
      <c r="F871" s="223"/>
      <c r="G871" s="223"/>
      <c r="H871" s="223"/>
      <c r="I871" s="223"/>
      <c r="J871" s="223"/>
      <c r="K871" s="224"/>
      <c r="L871" s="252"/>
      <c r="M871" s="223"/>
      <c r="N871" s="223"/>
      <c r="O871" s="223"/>
      <c r="P871" s="223"/>
      <c r="Q871" s="224"/>
      <c r="R871" s="252"/>
      <c r="S871" s="223"/>
      <c r="T871" s="224"/>
      <c r="U871" s="252"/>
      <c r="V871" s="223"/>
      <c r="W871" s="224"/>
    </row>
    <row r="872" spans="2:23" ht="12.75" customHeight="1">
      <c r="B872" s="78">
        <v>7</v>
      </c>
      <c r="C872" s="252"/>
      <c r="D872" s="223"/>
      <c r="E872" s="223"/>
      <c r="F872" s="223"/>
      <c r="G872" s="223"/>
      <c r="H872" s="223"/>
      <c r="I872" s="223"/>
      <c r="J872" s="223"/>
      <c r="K872" s="224"/>
      <c r="L872" s="252"/>
      <c r="M872" s="223"/>
      <c r="N872" s="223"/>
      <c r="O872" s="223"/>
      <c r="P872" s="223"/>
      <c r="Q872" s="224"/>
      <c r="R872" s="252"/>
      <c r="S872" s="223"/>
      <c r="T872" s="224"/>
      <c r="U872" s="252"/>
      <c r="V872" s="223"/>
      <c r="W872" s="224"/>
    </row>
    <row r="873" spans="2:23" ht="12.75" customHeight="1"/>
    <row r="874" spans="2:23" ht="12.75" customHeight="1"/>
    <row r="875" spans="2:23" ht="12.75" customHeight="1">
      <c r="J875" s="225" t="s">
        <v>480</v>
      </c>
      <c r="K875" s="194"/>
      <c r="L875" s="194"/>
      <c r="M875" s="194"/>
      <c r="N875" s="194"/>
      <c r="O875" s="194"/>
      <c r="R875" s="3" t="s">
        <v>593</v>
      </c>
    </row>
    <row r="876" spans="2:23" ht="12.75" customHeight="1">
      <c r="D876" s="64" t="s">
        <v>797</v>
      </c>
      <c r="J876" s="225" t="s">
        <v>874</v>
      </c>
      <c r="K876" s="194"/>
      <c r="L876" s="194"/>
      <c r="M876" s="194"/>
      <c r="N876" s="194"/>
      <c r="O876" s="194"/>
      <c r="S876" s="64" t="s">
        <v>799</v>
      </c>
    </row>
    <row r="877" spans="2:23" ht="12.75" customHeight="1">
      <c r="J877" s="225"/>
      <c r="K877" s="194"/>
      <c r="L877" s="194"/>
      <c r="M877" s="194"/>
      <c r="N877" s="194"/>
      <c r="O877" s="194"/>
    </row>
    <row r="878" spans="2:23" ht="12.75" customHeight="1"/>
    <row r="879" spans="2:23" ht="12.75" customHeight="1"/>
    <row r="880" spans="2:23" ht="12.75" customHeight="1"/>
    <row r="881" spans="4:22" ht="12.75" customHeight="1">
      <c r="D881" s="3" t="s">
        <v>27</v>
      </c>
      <c r="K881" s="225" t="s">
        <v>482</v>
      </c>
      <c r="L881" s="194"/>
      <c r="M881" s="194"/>
      <c r="N881" s="194"/>
      <c r="Q881" s="225" t="s">
        <v>866</v>
      </c>
      <c r="R881" s="194"/>
      <c r="S881" s="194"/>
      <c r="T881" s="194"/>
      <c r="U881" s="194"/>
      <c r="V881" s="194"/>
    </row>
    <row r="882" spans="4:22" ht="12.75" customHeight="1"/>
    <row r="883" spans="4:22" ht="12.75" customHeight="1"/>
    <row r="884" spans="4:22" ht="12.75" customHeight="1"/>
    <row r="885" spans="4:22" ht="12.75" customHeight="1"/>
    <row r="886" spans="4:22" ht="12.75" customHeight="1"/>
    <row r="887" spans="4:22" ht="12.75" customHeight="1"/>
    <row r="888" spans="4:22" ht="12.75" customHeight="1"/>
    <row r="889" spans="4:22" ht="12.75" customHeight="1"/>
    <row r="890" spans="4:22" ht="12.75" customHeight="1"/>
    <row r="891" spans="4:22" ht="12.75" customHeight="1"/>
    <row r="892" spans="4:22" ht="12.75" customHeight="1"/>
    <row r="893" spans="4:22" ht="12.75" customHeight="1"/>
    <row r="894" spans="4:22" ht="12.75" customHeight="1"/>
    <row r="895" spans="4:22" ht="12.75" customHeight="1"/>
    <row r="896" spans="4:22" ht="12.75" customHeight="1"/>
    <row r="897" spans="2:23" ht="12.75" customHeight="1"/>
    <row r="898" spans="2:23" ht="12.75" customHeight="1"/>
    <row r="899" spans="2:23" ht="12.75" customHeight="1"/>
    <row r="900" spans="2:23" ht="12.75" customHeight="1">
      <c r="T900" s="252" t="s">
        <v>800</v>
      </c>
      <c r="U900" s="223"/>
      <c r="V900" s="224"/>
    </row>
    <row r="901" spans="2:23" ht="12.75" customHeight="1"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</row>
    <row r="902" spans="2:23" ht="12.75" customHeight="1"/>
    <row r="903" spans="2:23" ht="12.75" customHeight="1">
      <c r="B903" s="64" t="s">
        <v>770</v>
      </c>
      <c r="G903" s="11" t="s">
        <v>10</v>
      </c>
      <c r="H903" s="78">
        <v>3</v>
      </c>
      <c r="I903" s="78">
        <v>3</v>
      </c>
      <c r="J903" s="11"/>
      <c r="M903" s="246" t="s">
        <v>418</v>
      </c>
      <c r="N903" s="223"/>
      <c r="O903" s="223"/>
      <c r="P903" s="223"/>
      <c r="Q903" s="223"/>
      <c r="R903" s="223"/>
      <c r="S903" s="223"/>
      <c r="T903" s="223"/>
      <c r="U903" s="223"/>
      <c r="V903" s="223"/>
      <c r="W903" s="224"/>
    </row>
    <row r="904" spans="2:23" ht="12.75" customHeight="1">
      <c r="G904" s="11"/>
      <c r="H904" s="11"/>
      <c r="I904" s="11"/>
      <c r="J904" s="11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</row>
    <row r="905" spans="2:23" ht="12.75" customHeight="1">
      <c r="B905" s="64" t="s">
        <v>105</v>
      </c>
      <c r="G905" s="11" t="s">
        <v>10</v>
      </c>
      <c r="H905" s="78">
        <v>2</v>
      </c>
      <c r="I905" s="78">
        <v>7</v>
      </c>
      <c r="J905" s="11"/>
      <c r="M905" s="246" t="s">
        <v>106</v>
      </c>
      <c r="N905" s="223"/>
      <c r="O905" s="223"/>
      <c r="P905" s="223"/>
      <c r="Q905" s="223"/>
      <c r="R905" s="223"/>
      <c r="S905" s="223"/>
      <c r="T905" s="223"/>
      <c r="U905" s="223"/>
      <c r="V905" s="223"/>
      <c r="W905" s="224"/>
    </row>
    <row r="906" spans="2:23" ht="12.75" customHeight="1">
      <c r="G906" s="11"/>
      <c r="H906" s="11"/>
      <c r="I906" s="11"/>
      <c r="J906" s="11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</row>
    <row r="907" spans="2:23" ht="12.75" customHeight="1">
      <c r="B907" s="64" t="s">
        <v>103</v>
      </c>
      <c r="G907" s="11" t="s">
        <v>10</v>
      </c>
      <c r="H907" s="78">
        <v>0</v>
      </c>
      <c r="I907" s="78">
        <v>4</v>
      </c>
      <c r="J907" s="11"/>
      <c r="M907" s="246" t="s">
        <v>104</v>
      </c>
      <c r="N907" s="223"/>
      <c r="O907" s="223"/>
      <c r="P907" s="223"/>
      <c r="Q907" s="223"/>
      <c r="R907" s="223"/>
      <c r="S907" s="223"/>
      <c r="T907" s="223"/>
      <c r="U907" s="223"/>
      <c r="V907" s="223"/>
      <c r="W907" s="224"/>
    </row>
    <row r="908" spans="2:23" ht="12.75" customHeight="1">
      <c r="G908" s="11"/>
      <c r="H908" s="11"/>
      <c r="I908" s="11"/>
      <c r="J908" s="11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</row>
    <row r="909" spans="2:23" ht="12.75" customHeight="1">
      <c r="B909" s="64" t="s">
        <v>771</v>
      </c>
      <c r="G909" s="11" t="s">
        <v>10</v>
      </c>
      <c r="H909" s="78">
        <v>2</v>
      </c>
      <c r="I909" s="78">
        <v>0</v>
      </c>
      <c r="J909" s="78">
        <v>1</v>
      </c>
      <c r="K909" s="78">
        <v>1</v>
      </c>
      <c r="M909" s="246" t="s">
        <v>102</v>
      </c>
      <c r="N909" s="223"/>
      <c r="O909" s="223"/>
      <c r="P909" s="223"/>
      <c r="Q909" s="223"/>
      <c r="R909" s="223"/>
      <c r="S909" s="223"/>
      <c r="T909" s="223"/>
      <c r="U909" s="223"/>
      <c r="V909" s="223"/>
      <c r="W909" s="224"/>
    </row>
    <row r="910" spans="2:23" ht="12.75" customHeight="1">
      <c r="G910" s="11"/>
    </row>
    <row r="911" spans="2:23" ht="12.75" customHeight="1">
      <c r="B911" s="64" t="s">
        <v>772</v>
      </c>
      <c r="G911" s="11" t="s">
        <v>10</v>
      </c>
      <c r="H911" s="246" t="s">
        <v>773</v>
      </c>
      <c r="I911" s="223"/>
      <c r="J911" s="223"/>
      <c r="K911" s="223"/>
      <c r="L911" s="223"/>
      <c r="M911" s="223"/>
      <c r="N911" s="223"/>
      <c r="O911" s="223"/>
      <c r="P911" s="223"/>
      <c r="Q911" s="223"/>
      <c r="R911" s="223"/>
      <c r="S911" s="223"/>
      <c r="T911" s="223"/>
      <c r="U911" s="223"/>
      <c r="V911" s="223"/>
      <c r="W911" s="224"/>
    </row>
    <row r="912" spans="2:23" ht="12.75" customHeight="1"/>
    <row r="913" spans="1:23" ht="12.75" customHeight="1">
      <c r="B913" s="196" t="s">
        <v>774</v>
      </c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  <c r="W913" s="194"/>
    </row>
    <row r="914" spans="1:23" ht="12.75" customHeight="1">
      <c r="B914" s="225" t="s">
        <v>853</v>
      </c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  <c r="W914" s="194"/>
    </row>
    <row r="915" spans="1:23" ht="12.75" customHeight="1">
      <c r="B915" s="225" t="s">
        <v>875</v>
      </c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  <c r="W915" s="194"/>
    </row>
    <row r="916" spans="1:23" ht="12.75" customHeight="1">
      <c r="A916" s="11"/>
      <c r="B916" s="38" t="s">
        <v>777</v>
      </c>
    </row>
    <row r="917" spans="1:23" ht="12.75" customHeight="1"/>
    <row r="918" spans="1:23" ht="12.75" customHeight="1">
      <c r="B918" s="152" t="s">
        <v>111</v>
      </c>
      <c r="C918" s="64" t="s">
        <v>387</v>
      </c>
      <c r="H918" s="78">
        <v>3</v>
      </c>
      <c r="I918" s="78">
        <v>3</v>
      </c>
      <c r="J918" s="78">
        <v>2</v>
      </c>
      <c r="K918" s="78">
        <v>7</v>
      </c>
      <c r="L918" s="78">
        <v>0</v>
      </c>
      <c r="M918" s="78">
        <v>4</v>
      </c>
      <c r="N918" s="78">
        <v>2</v>
      </c>
      <c r="O918" s="78">
        <v>7</v>
      </c>
      <c r="P918" s="78">
        <v>0</v>
      </c>
      <c r="Q918" s="78">
        <v>9</v>
      </c>
      <c r="R918" s="78">
        <v>0</v>
      </c>
      <c r="S918" s="78">
        <v>5</v>
      </c>
      <c r="T918" s="78">
        <v>1</v>
      </c>
      <c r="U918" s="78">
        <v>5</v>
      </c>
      <c r="V918" s="78">
        <v>5</v>
      </c>
      <c r="W918" s="78">
        <v>3</v>
      </c>
    </row>
    <row r="919" spans="1:23" ht="12.75" customHeight="1">
      <c r="B919" s="11"/>
    </row>
    <row r="920" spans="1:23" ht="12.75" customHeight="1">
      <c r="B920" s="152" t="s">
        <v>115</v>
      </c>
      <c r="C920" s="64" t="s">
        <v>385</v>
      </c>
      <c r="H920" s="246" t="s">
        <v>876</v>
      </c>
      <c r="I920" s="223"/>
      <c r="J920" s="223"/>
      <c r="K920" s="223"/>
      <c r="L920" s="223"/>
      <c r="M920" s="223"/>
      <c r="N920" s="223"/>
      <c r="O920" s="223"/>
      <c r="P920" s="223"/>
      <c r="Q920" s="223"/>
      <c r="R920" s="223"/>
      <c r="S920" s="223"/>
      <c r="T920" s="223"/>
      <c r="U920" s="223"/>
      <c r="V920" s="223"/>
      <c r="W920" s="224"/>
    </row>
    <row r="921" spans="1:23" ht="12.75" customHeight="1">
      <c r="B921" s="11"/>
    </row>
    <row r="922" spans="1:23" ht="12.75" customHeight="1">
      <c r="B922" s="152" t="s">
        <v>118</v>
      </c>
      <c r="C922" s="64" t="s">
        <v>345</v>
      </c>
      <c r="H922" s="246" t="s">
        <v>102</v>
      </c>
      <c r="I922" s="223"/>
      <c r="J922" s="223"/>
      <c r="K922" s="223"/>
      <c r="L922" s="223"/>
      <c r="M922" s="223"/>
      <c r="N922" s="223"/>
      <c r="O922" s="224"/>
      <c r="P922" s="64" t="s">
        <v>675</v>
      </c>
      <c r="Q922" s="78">
        <v>0</v>
      </c>
      <c r="R922" s="78">
        <v>0</v>
      </c>
      <c r="S922" s="78">
        <v>9</v>
      </c>
      <c r="T922" s="11" t="s">
        <v>676</v>
      </c>
      <c r="U922" s="78">
        <v>0</v>
      </c>
      <c r="V922" s="78">
        <v>0</v>
      </c>
      <c r="W922" s="78">
        <v>2</v>
      </c>
    </row>
    <row r="923" spans="1:23" ht="12.75" customHeight="1">
      <c r="B923" s="11"/>
    </row>
    <row r="924" spans="1:23" ht="12.75" customHeight="1">
      <c r="B924" s="11"/>
      <c r="H924" s="64" t="s">
        <v>779</v>
      </c>
      <c r="L924" s="246" t="s">
        <v>877</v>
      </c>
      <c r="M924" s="223"/>
      <c r="N924" s="223"/>
      <c r="O924" s="223"/>
      <c r="P924" s="223"/>
      <c r="Q924" s="223"/>
      <c r="R924" s="223"/>
      <c r="S924" s="223"/>
      <c r="T924" s="223"/>
      <c r="U924" s="223"/>
      <c r="V924" s="223"/>
      <c r="W924" s="224"/>
    </row>
    <row r="925" spans="1:23" ht="12.75" customHeight="1">
      <c r="B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 spans="1:23" ht="12.75" customHeight="1">
      <c r="B926" s="11"/>
      <c r="C926" s="64" t="s">
        <v>414</v>
      </c>
      <c r="H926" s="246" t="s">
        <v>102</v>
      </c>
      <c r="I926" s="223"/>
      <c r="J926" s="223"/>
      <c r="K926" s="223"/>
      <c r="L926" s="223"/>
      <c r="M926" s="224"/>
      <c r="O926" s="64" t="s">
        <v>562</v>
      </c>
      <c r="R926" s="246" t="s">
        <v>106</v>
      </c>
      <c r="S926" s="223"/>
      <c r="T926" s="223"/>
      <c r="U926" s="223"/>
      <c r="V926" s="223"/>
      <c r="W926" s="224"/>
    </row>
    <row r="927" spans="1:23" ht="12.75" customHeight="1">
      <c r="B927" s="11"/>
      <c r="H927" s="77"/>
      <c r="I927" s="77"/>
      <c r="J927" s="77"/>
      <c r="K927" s="77"/>
      <c r="L927" s="77"/>
      <c r="M927" s="77"/>
      <c r="R927" s="77"/>
      <c r="S927" s="77"/>
      <c r="T927" s="77"/>
      <c r="U927" s="77"/>
      <c r="V927" s="77"/>
      <c r="W927" s="77"/>
    </row>
    <row r="928" spans="1:23" ht="12.75" customHeight="1">
      <c r="B928" s="11"/>
      <c r="C928" s="64" t="s">
        <v>416</v>
      </c>
      <c r="H928" s="246" t="s">
        <v>104</v>
      </c>
      <c r="I928" s="223"/>
      <c r="J928" s="223"/>
      <c r="K928" s="223"/>
      <c r="L928" s="223"/>
      <c r="M928" s="224"/>
      <c r="O928" s="64" t="s">
        <v>417</v>
      </c>
      <c r="R928" s="246" t="s">
        <v>418</v>
      </c>
      <c r="S928" s="223"/>
      <c r="T928" s="223"/>
      <c r="U928" s="223"/>
      <c r="V928" s="223"/>
      <c r="W928" s="224"/>
    </row>
    <row r="929" spans="1:23" ht="12.75" customHeight="1">
      <c r="B929" s="11"/>
      <c r="H929" s="77"/>
      <c r="I929" s="77"/>
      <c r="J929" s="77"/>
      <c r="K929" s="77"/>
      <c r="L929" s="77"/>
      <c r="M929" s="77"/>
      <c r="R929" s="11"/>
      <c r="S929" s="11"/>
      <c r="T929" s="11"/>
      <c r="U929" s="11"/>
      <c r="V929" s="11"/>
      <c r="W929" s="11"/>
    </row>
    <row r="930" spans="1:23" ht="12.75" customHeight="1">
      <c r="B930" s="11"/>
      <c r="H930" s="11" t="s">
        <v>674</v>
      </c>
      <c r="I930" s="11"/>
      <c r="J930" s="78">
        <v>5</v>
      </c>
      <c r="K930" s="78">
        <v>2</v>
      </c>
      <c r="L930" s="78">
        <v>3</v>
      </c>
      <c r="M930" s="78">
        <v>5</v>
      </c>
      <c r="N930" s="78">
        <v>7</v>
      </c>
      <c r="P930" s="64" t="s">
        <v>680</v>
      </c>
      <c r="R930" s="78"/>
      <c r="S930" s="78"/>
      <c r="T930" s="78"/>
      <c r="U930" s="78"/>
      <c r="V930" s="78"/>
      <c r="W930" s="78"/>
    </row>
    <row r="931" spans="1:23" ht="12.75" customHeight="1">
      <c r="B931" s="11"/>
    </row>
    <row r="932" spans="1:23" ht="12.75" customHeight="1">
      <c r="B932" s="152" t="s">
        <v>121</v>
      </c>
      <c r="C932" s="64" t="s">
        <v>780</v>
      </c>
      <c r="H932" s="78">
        <v>3</v>
      </c>
      <c r="I932" s="78">
        <v>3</v>
      </c>
      <c r="J932" s="78">
        <v>2</v>
      </c>
      <c r="K932" s="78">
        <v>7</v>
      </c>
      <c r="L932" s="78">
        <v>0</v>
      </c>
      <c r="M932" s="78">
        <v>4</v>
      </c>
      <c r="N932" s="78">
        <v>1</v>
      </c>
      <c r="O932" s="78">
        <v>5</v>
      </c>
      <c r="P932" s="78">
        <v>0</v>
      </c>
      <c r="Q932" s="78">
        <v>5</v>
      </c>
      <c r="R932" s="78">
        <v>0</v>
      </c>
      <c r="S932" s="78">
        <v>0</v>
      </c>
      <c r="T932" s="78">
        <v>0</v>
      </c>
      <c r="U932" s="78">
        <v>0</v>
      </c>
      <c r="V932" s="78">
        <v>0</v>
      </c>
      <c r="W932" s="78">
        <v>2</v>
      </c>
    </row>
    <row r="933" spans="1:23" ht="12.75" customHeight="1">
      <c r="B933" s="11"/>
    </row>
    <row r="934" spans="1:23" ht="12.75" customHeight="1">
      <c r="B934" s="152" t="s">
        <v>124</v>
      </c>
      <c r="C934" s="64" t="s">
        <v>391</v>
      </c>
      <c r="H934" s="246" t="s">
        <v>878</v>
      </c>
      <c r="I934" s="223"/>
      <c r="J934" s="223"/>
      <c r="K934" s="223"/>
      <c r="L934" s="223"/>
      <c r="M934" s="223"/>
      <c r="N934" s="223"/>
      <c r="O934" s="223"/>
      <c r="P934" s="223"/>
      <c r="Q934" s="223"/>
      <c r="R934" s="223"/>
      <c r="S934" s="223"/>
      <c r="T934" s="223"/>
      <c r="U934" s="223"/>
      <c r="V934" s="223"/>
      <c r="W934" s="224"/>
    </row>
    <row r="935" spans="1:23" ht="12.75" customHeight="1"/>
    <row r="936" spans="1:23" ht="12.75" customHeight="1"/>
    <row r="937" spans="1:23" ht="12.75" customHeight="1">
      <c r="B937" s="38" t="s">
        <v>782</v>
      </c>
    </row>
    <row r="938" spans="1:23" ht="12.75" customHeight="1"/>
    <row r="939" spans="1:23" ht="12.75" customHeight="1">
      <c r="A939" s="11"/>
      <c r="B939" s="152" t="s">
        <v>111</v>
      </c>
      <c r="C939" s="64" t="s">
        <v>783</v>
      </c>
      <c r="H939" s="78">
        <v>1</v>
      </c>
      <c r="I939" s="64" t="s">
        <v>784</v>
      </c>
    </row>
    <row r="940" spans="1:23" ht="12.75" customHeight="1">
      <c r="A940" s="11"/>
      <c r="B940" s="11"/>
    </row>
    <row r="941" spans="1:23" ht="12.75" customHeight="1">
      <c r="A941" s="11"/>
      <c r="B941" s="152" t="s">
        <v>115</v>
      </c>
      <c r="C941" s="64" t="s">
        <v>387</v>
      </c>
      <c r="H941" s="78">
        <v>3</v>
      </c>
      <c r="I941" s="78">
        <v>3</v>
      </c>
      <c r="J941" s="78">
        <v>0</v>
      </c>
      <c r="K941" s="78">
        <v>3</v>
      </c>
      <c r="L941" s="78">
        <v>1</v>
      </c>
      <c r="M941" s="78">
        <v>8</v>
      </c>
      <c r="N941" s="78">
        <v>0</v>
      </c>
      <c r="O941" s="78">
        <v>9</v>
      </c>
      <c r="P941" s="78">
        <v>1</v>
      </c>
      <c r="Q941" s="78">
        <v>2</v>
      </c>
      <c r="R941" s="78">
        <v>1</v>
      </c>
      <c r="S941" s="78">
        <v>9</v>
      </c>
      <c r="T941" s="78">
        <v>0</v>
      </c>
      <c r="U941" s="78">
        <v>0</v>
      </c>
      <c r="V941" s="78">
        <v>0</v>
      </c>
      <c r="W941" s="78">
        <v>1</v>
      </c>
    </row>
    <row r="942" spans="1:23" ht="12.75" customHeight="1">
      <c r="A942" s="11"/>
      <c r="B942" s="11"/>
    </row>
    <row r="943" spans="1:23" ht="12.75" customHeight="1">
      <c r="A943" s="11"/>
      <c r="B943" s="152" t="s">
        <v>118</v>
      </c>
      <c r="C943" s="64" t="s">
        <v>785</v>
      </c>
      <c r="H943" s="78">
        <v>3</v>
      </c>
      <c r="I943" s="78">
        <v>3</v>
      </c>
      <c r="J943" s="78">
        <v>0</v>
      </c>
      <c r="K943" s="78">
        <v>3</v>
      </c>
      <c r="L943" s="78">
        <v>1</v>
      </c>
      <c r="M943" s="78">
        <v>8</v>
      </c>
      <c r="N943" s="78">
        <v>5</v>
      </c>
      <c r="O943" s="78">
        <v>7</v>
      </c>
      <c r="P943" s="78">
        <v>0</v>
      </c>
      <c r="Q943" s="78">
        <v>4</v>
      </c>
      <c r="R943" s="78">
        <v>0</v>
      </c>
      <c r="S943" s="78">
        <v>0</v>
      </c>
      <c r="T943" s="78">
        <v>0</v>
      </c>
      <c r="U943" s="78">
        <v>0</v>
      </c>
      <c r="V943" s="78">
        <v>2</v>
      </c>
      <c r="W943" s="78">
        <v>7</v>
      </c>
    </row>
    <row r="944" spans="1:23" ht="12.75" customHeight="1">
      <c r="A944" s="11"/>
      <c r="B944" s="11"/>
    </row>
    <row r="945" spans="1:23" ht="12.75" customHeight="1">
      <c r="A945" s="11"/>
      <c r="B945" s="152" t="s">
        <v>121</v>
      </c>
      <c r="C945" s="64" t="s">
        <v>385</v>
      </c>
      <c r="H945" s="246" t="s">
        <v>879</v>
      </c>
      <c r="I945" s="223"/>
      <c r="J945" s="223"/>
      <c r="K945" s="223"/>
      <c r="L945" s="223"/>
      <c r="M945" s="223"/>
      <c r="N945" s="223"/>
      <c r="O945" s="223"/>
      <c r="P945" s="223"/>
      <c r="Q945" s="223"/>
      <c r="R945" s="223"/>
      <c r="S945" s="223"/>
      <c r="T945" s="223"/>
      <c r="U945" s="223"/>
      <c r="V945" s="223"/>
      <c r="W945" s="224"/>
    </row>
    <row r="946" spans="1:23" ht="12.75" customHeight="1">
      <c r="A946" s="11"/>
      <c r="B946" s="11"/>
    </row>
    <row r="947" spans="1:23" ht="12.75" customHeight="1">
      <c r="A947" s="11"/>
      <c r="B947" s="152" t="s">
        <v>124</v>
      </c>
      <c r="C947" s="64" t="s">
        <v>786</v>
      </c>
      <c r="H947" s="78"/>
      <c r="I947" s="78"/>
      <c r="J947" s="11"/>
      <c r="K947" s="78"/>
      <c r="L947" s="78"/>
      <c r="M947" s="11"/>
      <c r="N947" s="78"/>
      <c r="O947" s="78"/>
      <c r="P947" s="78"/>
      <c r="Q947" s="78"/>
      <c r="R947" s="11"/>
    </row>
    <row r="948" spans="1:23" ht="12.75" customHeight="1">
      <c r="A948" s="11"/>
      <c r="B948" s="11"/>
    </row>
    <row r="949" spans="1:23" ht="12.75" customHeight="1">
      <c r="A949" s="11"/>
      <c r="B949" s="152" t="s">
        <v>127</v>
      </c>
      <c r="C949" s="64" t="s">
        <v>345</v>
      </c>
      <c r="F949" s="91"/>
      <c r="H949" s="246" t="s">
        <v>880</v>
      </c>
      <c r="I949" s="223"/>
      <c r="J949" s="223"/>
      <c r="K949" s="223"/>
      <c r="L949" s="223"/>
      <c r="M949" s="223"/>
      <c r="N949" s="224"/>
      <c r="P949" s="64" t="s">
        <v>675</v>
      </c>
      <c r="Q949" s="78">
        <v>0</v>
      </c>
      <c r="R949" s="78">
        <v>0</v>
      </c>
      <c r="S949" s="78">
        <v>4</v>
      </c>
      <c r="T949" s="11" t="s">
        <v>676</v>
      </c>
      <c r="U949" s="78">
        <v>0</v>
      </c>
      <c r="V949" s="78">
        <v>0</v>
      </c>
      <c r="W949" s="78">
        <v>4</v>
      </c>
    </row>
    <row r="950" spans="1:23" ht="12.75" customHeight="1">
      <c r="A950" s="11"/>
      <c r="B950" s="11"/>
    </row>
    <row r="951" spans="1:23" ht="12.75" customHeight="1">
      <c r="A951" s="11"/>
      <c r="B951" s="11"/>
      <c r="F951" s="91"/>
      <c r="H951" s="64" t="s">
        <v>881</v>
      </c>
      <c r="L951" s="246" t="s">
        <v>880</v>
      </c>
      <c r="M951" s="223"/>
      <c r="N951" s="223"/>
      <c r="O951" s="223"/>
      <c r="P951" s="223"/>
      <c r="Q951" s="223"/>
      <c r="R951" s="223"/>
      <c r="S951" s="223"/>
      <c r="T951" s="223"/>
      <c r="U951" s="223"/>
      <c r="V951" s="223"/>
      <c r="W951" s="224"/>
    </row>
    <row r="952" spans="1:23" ht="12.75" customHeight="1">
      <c r="A952" s="11"/>
      <c r="B952" s="11"/>
    </row>
    <row r="953" spans="1:23" ht="12.75" customHeight="1">
      <c r="A953" s="11"/>
      <c r="B953" s="11"/>
      <c r="C953" s="64" t="s">
        <v>414</v>
      </c>
      <c r="H953" s="246" t="s">
        <v>880</v>
      </c>
      <c r="I953" s="223"/>
      <c r="J953" s="223"/>
      <c r="K953" s="223"/>
      <c r="L953" s="223"/>
      <c r="M953" s="224"/>
      <c r="O953" s="64" t="s">
        <v>562</v>
      </c>
      <c r="R953" s="246" t="s">
        <v>860</v>
      </c>
      <c r="S953" s="223"/>
      <c r="T953" s="223"/>
      <c r="U953" s="223"/>
      <c r="V953" s="223"/>
      <c r="W953" s="224"/>
    </row>
    <row r="954" spans="1:23" ht="12.75" customHeight="1">
      <c r="A954" s="11"/>
      <c r="B954" s="11"/>
      <c r="H954" s="77"/>
      <c r="I954" s="77"/>
      <c r="J954" s="77"/>
      <c r="K954" s="77"/>
      <c r="L954" s="77"/>
      <c r="M954" s="77"/>
      <c r="R954" s="77"/>
      <c r="S954" s="77"/>
      <c r="T954" s="77"/>
      <c r="U954" s="77"/>
      <c r="V954" s="77"/>
      <c r="W954" s="77"/>
    </row>
    <row r="955" spans="1:23" ht="12.75" customHeight="1">
      <c r="A955" s="11"/>
      <c r="B955" s="11"/>
      <c r="C955" s="64" t="s">
        <v>563</v>
      </c>
      <c r="H955" s="246" t="s">
        <v>882</v>
      </c>
      <c r="I955" s="223"/>
      <c r="J955" s="223"/>
      <c r="K955" s="223"/>
      <c r="L955" s="223"/>
      <c r="M955" s="224"/>
      <c r="O955" s="64" t="s">
        <v>417</v>
      </c>
      <c r="R955" s="246" t="s">
        <v>418</v>
      </c>
      <c r="S955" s="223"/>
      <c r="T955" s="223"/>
      <c r="U955" s="223"/>
      <c r="V955" s="223"/>
      <c r="W955" s="224"/>
    </row>
    <row r="956" spans="1:23" ht="12.75" customHeight="1">
      <c r="A956" s="11"/>
      <c r="B956" s="11"/>
      <c r="H956" s="77"/>
      <c r="I956" s="77"/>
      <c r="J956" s="77"/>
      <c r="K956" s="77"/>
      <c r="L956" s="77"/>
      <c r="M956" s="77"/>
      <c r="R956" s="77"/>
      <c r="S956" s="77"/>
      <c r="T956" s="77"/>
      <c r="U956" s="77"/>
      <c r="V956" s="77"/>
      <c r="W956" s="77"/>
    </row>
    <row r="957" spans="1:23" ht="12.75" customHeight="1">
      <c r="A957" s="11"/>
      <c r="B957" s="152" t="s">
        <v>130</v>
      </c>
      <c r="C957" s="64" t="s">
        <v>790</v>
      </c>
    </row>
    <row r="958" spans="1:23" ht="12.75" customHeight="1"/>
    <row r="959" spans="1:23" ht="12.75" customHeight="1">
      <c r="B959" s="104" t="s">
        <v>684</v>
      </c>
      <c r="C959" s="275" t="s">
        <v>340</v>
      </c>
      <c r="D959" s="223"/>
      <c r="E959" s="223"/>
      <c r="F959" s="223"/>
      <c r="G959" s="223"/>
      <c r="H959" s="223"/>
      <c r="I959" s="223"/>
      <c r="J959" s="223"/>
      <c r="K959" s="224"/>
      <c r="L959" s="275" t="s">
        <v>791</v>
      </c>
      <c r="M959" s="223"/>
      <c r="N959" s="223"/>
      <c r="O959" s="223"/>
      <c r="P959" s="223"/>
      <c r="Q959" s="224"/>
      <c r="R959" s="286" t="s">
        <v>792</v>
      </c>
      <c r="S959" s="223"/>
      <c r="T959" s="224"/>
      <c r="U959" s="275" t="s">
        <v>793</v>
      </c>
      <c r="V959" s="223"/>
      <c r="W959" s="224"/>
    </row>
    <row r="960" spans="1:23" ht="12.75" customHeight="1">
      <c r="B960" s="78">
        <v>1</v>
      </c>
      <c r="C960" s="288" t="s">
        <v>883</v>
      </c>
      <c r="D960" s="223"/>
      <c r="E960" s="223"/>
      <c r="F960" s="223"/>
      <c r="G960" s="223"/>
      <c r="H960" s="223"/>
      <c r="I960" s="223"/>
      <c r="J960" s="223"/>
      <c r="K960" s="224"/>
      <c r="L960" s="246" t="s">
        <v>878</v>
      </c>
      <c r="M960" s="223"/>
      <c r="N960" s="223"/>
      <c r="O960" s="223"/>
      <c r="P960" s="223"/>
      <c r="Q960" s="224"/>
      <c r="R960" s="287">
        <v>36661</v>
      </c>
      <c r="S960" s="223"/>
      <c r="T960" s="224"/>
      <c r="U960" s="252" t="s">
        <v>814</v>
      </c>
      <c r="V960" s="223"/>
      <c r="W960" s="224"/>
    </row>
    <row r="961" spans="2:23" ht="12.75" customHeight="1">
      <c r="B961" s="78">
        <v>2</v>
      </c>
      <c r="C961" s="246"/>
      <c r="D961" s="223"/>
      <c r="E961" s="223"/>
      <c r="F961" s="223"/>
      <c r="G961" s="223"/>
      <c r="H961" s="223"/>
      <c r="I961" s="223"/>
      <c r="J961" s="223"/>
      <c r="K961" s="224"/>
      <c r="L961" s="246"/>
      <c r="M961" s="223"/>
      <c r="N961" s="223"/>
      <c r="O961" s="223"/>
      <c r="P961" s="223"/>
      <c r="Q961" s="224"/>
      <c r="R961" s="287"/>
      <c r="S961" s="223"/>
      <c r="T961" s="224"/>
      <c r="U961" s="252"/>
      <c r="V961" s="223"/>
      <c r="W961" s="224"/>
    </row>
    <row r="962" spans="2:23" ht="12.75" customHeight="1">
      <c r="B962" s="78">
        <v>3</v>
      </c>
      <c r="C962" s="246"/>
      <c r="D962" s="223"/>
      <c r="E962" s="223"/>
      <c r="F962" s="223"/>
      <c r="G962" s="223"/>
      <c r="H962" s="223"/>
      <c r="I962" s="223"/>
      <c r="J962" s="223"/>
      <c r="K962" s="224"/>
      <c r="L962" s="246"/>
      <c r="M962" s="223"/>
      <c r="N962" s="223"/>
      <c r="O962" s="223"/>
      <c r="P962" s="223"/>
      <c r="Q962" s="224"/>
      <c r="R962" s="287"/>
      <c r="S962" s="223"/>
      <c r="T962" s="224"/>
      <c r="U962" s="252"/>
      <c r="V962" s="223"/>
      <c r="W962" s="224"/>
    </row>
    <row r="963" spans="2:23" ht="12.75" customHeight="1">
      <c r="B963" s="78">
        <v>4</v>
      </c>
      <c r="C963" s="246"/>
      <c r="D963" s="223"/>
      <c r="E963" s="223"/>
      <c r="F963" s="223"/>
      <c r="G963" s="223"/>
      <c r="H963" s="223"/>
      <c r="I963" s="223"/>
      <c r="J963" s="223"/>
      <c r="K963" s="224"/>
      <c r="L963" s="246"/>
      <c r="M963" s="223"/>
      <c r="N963" s="223"/>
      <c r="O963" s="223"/>
      <c r="P963" s="223"/>
      <c r="Q963" s="224"/>
      <c r="R963" s="287"/>
      <c r="S963" s="223"/>
      <c r="T963" s="224"/>
      <c r="U963" s="252"/>
      <c r="V963" s="223"/>
      <c r="W963" s="224"/>
    </row>
    <row r="964" spans="2:23" ht="12.75" customHeight="1">
      <c r="B964" s="78">
        <v>5</v>
      </c>
      <c r="C964" s="246"/>
      <c r="D964" s="223"/>
      <c r="E964" s="223"/>
      <c r="F964" s="223"/>
      <c r="G964" s="223"/>
      <c r="H964" s="223"/>
      <c r="I964" s="223"/>
      <c r="J964" s="223"/>
      <c r="K964" s="224"/>
      <c r="L964" s="246"/>
      <c r="M964" s="223"/>
      <c r="N964" s="223"/>
      <c r="O964" s="223"/>
      <c r="P964" s="223"/>
      <c r="Q964" s="224"/>
      <c r="R964" s="287"/>
      <c r="S964" s="223"/>
      <c r="T964" s="224"/>
      <c r="U964" s="252"/>
      <c r="V964" s="223"/>
      <c r="W964" s="224"/>
    </row>
    <row r="965" spans="2:23" ht="12.75" customHeight="1">
      <c r="B965" s="78">
        <v>6</v>
      </c>
      <c r="C965" s="246"/>
      <c r="D965" s="223"/>
      <c r="E965" s="223"/>
      <c r="F965" s="223"/>
      <c r="G965" s="223"/>
      <c r="H965" s="223"/>
      <c r="I965" s="223"/>
      <c r="J965" s="223"/>
      <c r="K965" s="224"/>
      <c r="L965" s="252"/>
      <c r="M965" s="223"/>
      <c r="N965" s="223"/>
      <c r="O965" s="223"/>
      <c r="P965" s="223"/>
      <c r="Q965" s="224"/>
      <c r="R965" s="252"/>
      <c r="S965" s="223"/>
      <c r="T965" s="224"/>
      <c r="U965" s="252"/>
      <c r="V965" s="223"/>
      <c r="W965" s="224"/>
    </row>
    <row r="966" spans="2:23" ht="12.75" customHeight="1">
      <c r="B966" s="78">
        <v>7</v>
      </c>
      <c r="C966" s="252"/>
      <c r="D966" s="223"/>
      <c r="E966" s="223"/>
      <c r="F966" s="223"/>
      <c r="G966" s="223"/>
      <c r="H966" s="223"/>
      <c r="I966" s="223"/>
      <c r="J966" s="223"/>
      <c r="K966" s="224"/>
      <c r="L966" s="252"/>
      <c r="M966" s="223"/>
      <c r="N966" s="223"/>
      <c r="O966" s="223"/>
      <c r="P966" s="223"/>
      <c r="Q966" s="224"/>
      <c r="R966" s="252"/>
      <c r="S966" s="223"/>
      <c r="T966" s="224"/>
      <c r="U966" s="252"/>
      <c r="V966" s="223"/>
      <c r="W966" s="224"/>
    </row>
    <row r="967" spans="2:23" ht="12.75" customHeight="1"/>
    <row r="968" spans="2:23" ht="12.75" customHeight="1"/>
    <row r="969" spans="2:23" ht="12.75" customHeight="1">
      <c r="J969" s="225" t="s">
        <v>480</v>
      </c>
      <c r="K969" s="194"/>
      <c r="L969" s="194"/>
      <c r="M969" s="194"/>
      <c r="N969" s="194"/>
      <c r="O969" s="194"/>
      <c r="R969" s="3" t="s">
        <v>884</v>
      </c>
    </row>
    <row r="970" spans="2:23" ht="12.75" customHeight="1">
      <c r="D970" s="64" t="s">
        <v>797</v>
      </c>
      <c r="J970" s="225" t="s">
        <v>885</v>
      </c>
      <c r="K970" s="194"/>
      <c r="L970" s="194"/>
      <c r="M970" s="194"/>
      <c r="N970" s="194"/>
      <c r="O970" s="194"/>
      <c r="S970" s="64" t="s">
        <v>799</v>
      </c>
    </row>
    <row r="971" spans="2:23" ht="12.75" customHeight="1">
      <c r="J971" s="225" t="s">
        <v>365</v>
      </c>
      <c r="K971" s="194"/>
      <c r="L971" s="194"/>
      <c r="M971" s="194"/>
      <c r="N971" s="194"/>
      <c r="O971" s="194"/>
    </row>
    <row r="972" spans="2:23" ht="12.75" customHeight="1"/>
    <row r="973" spans="2:23" ht="12.75" customHeight="1"/>
    <row r="974" spans="2:23" ht="12.75" customHeight="1"/>
    <row r="975" spans="2:23" ht="12.75" customHeight="1">
      <c r="D975" s="3" t="s">
        <v>27</v>
      </c>
      <c r="K975" s="225" t="s">
        <v>366</v>
      </c>
      <c r="L975" s="194"/>
      <c r="M975" s="194"/>
      <c r="N975" s="194"/>
      <c r="Q975" s="225" t="s">
        <v>878</v>
      </c>
      <c r="R975" s="194"/>
      <c r="S975" s="194"/>
      <c r="T975" s="194"/>
      <c r="U975" s="194"/>
      <c r="V975" s="194"/>
    </row>
    <row r="976" spans="2:23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spans="2:23" ht="12.75" customHeight="1"/>
    <row r="994" spans="2:23" ht="12.75" customHeight="1">
      <c r="T994" s="252" t="s">
        <v>821</v>
      </c>
      <c r="U994" s="223"/>
      <c r="V994" s="224"/>
    </row>
    <row r="995" spans="2:23" ht="12.75" customHeight="1"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</row>
    <row r="996" spans="2:23" ht="12.75" customHeight="1"/>
    <row r="997" spans="2:23" ht="12.75" customHeight="1">
      <c r="B997" s="64" t="s">
        <v>770</v>
      </c>
      <c r="G997" s="11" t="s">
        <v>10</v>
      </c>
      <c r="H997" s="78">
        <v>3</v>
      </c>
      <c r="I997" s="78">
        <v>3</v>
      </c>
      <c r="J997" s="11"/>
      <c r="M997" s="246" t="s">
        <v>418</v>
      </c>
      <c r="N997" s="223"/>
      <c r="O997" s="223"/>
      <c r="P997" s="223"/>
      <c r="Q997" s="223"/>
      <c r="R997" s="223"/>
      <c r="S997" s="223"/>
      <c r="T997" s="223"/>
      <c r="U997" s="223"/>
      <c r="V997" s="223"/>
      <c r="W997" s="224"/>
    </row>
    <row r="998" spans="2:23" ht="12.75" customHeight="1">
      <c r="G998" s="11"/>
      <c r="H998" s="11"/>
      <c r="I998" s="11"/>
      <c r="J998" s="11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</row>
    <row r="999" spans="2:23" ht="12.75" customHeight="1">
      <c r="B999" s="64" t="s">
        <v>105</v>
      </c>
      <c r="G999" s="11" t="s">
        <v>10</v>
      </c>
      <c r="H999" s="78">
        <v>2</v>
      </c>
      <c r="I999" s="78">
        <v>7</v>
      </c>
      <c r="J999" s="11"/>
      <c r="M999" s="246" t="s">
        <v>106</v>
      </c>
      <c r="N999" s="223"/>
      <c r="O999" s="223"/>
      <c r="P999" s="223"/>
      <c r="Q999" s="223"/>
      <c r="R999" s="223"/>
      <c r="S999" s="223"/>
      <c r="T999" s="223"/>
      <c r="U999" s="223"/>
      <c r="V999" s="223"/>
      <c r="W999" s="224"/>
    </row>
    <row r="1000" spans="2:23" ht="12.75" customHeight="1">
      <c r="G1000" s="11"/>
      <c r="H1000" s="11"/>
      <c r="I1000" s="11"/>
      <c r="J1000" s="11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</row>
    <row r="1001" spans="2:23" ht="12.75" customHeight="1">
      <c r="B1001" s="64" t="s">
        <v>103</v>
      </c>
      <c r="G1001" s="11" t="s">
        <v>10</v>
      </c>
      <c r="H1001" s="78">
        <v>4</v>
      </c>
      <c r="I1001" s="78">
        <v>0</v>
      </c>
      <c r="J1001" s="11"/>
      <c r="M1001" s="246" t="s">
        <v>104</v>
      </c>
      <c r="N1001" s="223"/>
      <c r="O1001" s="223"/>
      <c r="P1001" s="223"/>
      <c r="Q1001" s="223"/>
      <c r="R1001" s="223"/>
      <c r="S1001" s="223"/>
      <c r="T1001" s="223"/>
      <c r="U1001" s="223"/>
      <c r="V1001" s="223"/>
      <c r="W1001" s="224"/>
    </row>
    <row r="1002" spans="2:23" ht="12.75" customHeight="1">
      <c r="G1002" s="11"/>
      <c r="H1002" s="11"/>
      <c r="I1002" s="11"/>
      <c r="J1002" s="11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</row>
    <row r="1003" spans="2:23" ht="12.75" customHeight="1">
      <c r="B1003" s="64" t="s">
        <v>771</v>
      </c>
      <c r="G1003" s="11" t="s">
        <v>10</v>
      </c>
      <c r="H1003" s="78">
        <v>0</v>
      </c>
      <c r="I1003" s="78">
        <v>1</v>
      </c>
      <c r="J1003" s="78">
        <v>1</v>
      </c>
      <c r="K1003" s="91"/>
      <c r="M1003" s="246" t="s">
        <v>102</v>
      </c>
      <c r="N1003" s="223"/>
      <c r="O1003" s="223"/>
      <c r="P1003" s="223"/>
      <c r="Q1003" s="223"/>
      <c r="R1003" s="223"/>
      <c r="S1003" s="223"/>
      <c r="T1003" s="223"/>
      <c r="U1003" s="223"/>
      <c r="V1003" s="223"/>
      <c r="W1003" s="224"/>
    </row>
    <row r="1004" spans="2:23" ht="12.75" customHeight="1">
      <c r="G1004" s="11"/>
    </row>
    <row r="1005" spans="2:23" ht="12.75" customHeight="1">
      <c r="B1005" s="64" t="s">
        <v>772</v>
      </c>
      <c r="G1005" s="11" t="s">
        <v>10</v>
      </c>
      <c r="H1005" s="246" t="s">
        <v>773</v>
      </c>
      <c r="I1005" s="223"/>
      <c r="J1005" s="223"/>
      <c r="K1005" s="223"/>
      <c r="L1005" s="223"/>
      <c r="M1005" s="223"/>
      <c r="N1005" s="223"/>
      <c r="O1005" s="223"/>
      <c r="P1005" s="223"/>
      <c r="Q1005" s="223"/>
      <c r="R1005" s="223"/>
      <c r="S1005" s="223"/>
      <c r="T1005" s="223"/>
      <c r="U1005" s="223"/>
      <c r="V1005" s="223"/>
      <c r="W1005" s="224"/>
    </row>
    <row r="1006" spans="2:23" ht="12.75" customHeight="1"/>
    <row r="1007" spans="2:23" ht="12.75" customHeight="1">
      <c r="B1007" s="196" t="s">
        <v>886</v>
      </c>
      <c r="C1007" s="194"/>
      <c r="D1007" s="194"/>
      <c r="E1007" s="194"/>
      <c r="F1007" s="194"/>
      <c r="G1007" s="194"/>
      <c r="H1007" s="194"/>
      <c r="I1007" s="194"/>
      <c r="J1007" s="194"/>
      <c r="K1007" s="194"/>
      <c r="L1007" s="194"/>
      <c r="M1007" s="194"/>
      <c r="N1007" s="194"/>
      <c r="O1007" s="194"/>
      <c r="P1007" s="194"/>
      <c r="Q1007" s="194"/>
      <c r="R1007" s="194"/>
      <c r="S1007" s="194"/>
      <c r="T1007" s="194"/>
      <c r="U1007" s="194"/>
      <c r="V1007" s="194"/>
      <c r="W1007" s="194"/>
    </row>
    <row r="1008" spans="2:23" ht="12.75" customHeight="1">
      <c r="B1008" s="225" t="s">
        <v>775</v>
      </c>
      <c r="C1008" s="194"/>
      <c r="D1008" s="194"/>
      <c r="E1008" s="194"/>
      <c r="F1008" s="194"/>
      <c r="G1008" s="194"/>
      <c r="H1008" s="194"/>
      <c r="I1008" s="194"/>
      <c r="J1008" s="194"/>
      <c r="K1008" s="194"/>
      <c r="L1008" s="194"/>
      <c r="M1008" s="194"/>
      <c r="N1008" s="194"/>
      <c r="O1008" s="194"/>
      <c r="P1008" s="194"/>
      <c r="Q1008" s="194"/>
      <c r="R1008" s="194"/>
      <c r="S1008" s="194"/>
      <c r="T1008" s="194"/>
      <c r="U1008" s="194"/>
      <c r="V1008" s="194"/>
      <c r="W1008" s="194"/>
    </row>
    <row r="1009" spans="1:23" ht="12.75" customHeight="1">
      <c r="B1009" s="225" t="s">
        <v>887</v>
      </c>
      <c r="C1009" s="194"/>
      <c r="D1009" s="194"/>
      <c r="E1009" s="194"/>
      <c r="F1009" s="194"/>
      <c r="G1009" s="194"/>
      <c r="H1009" s="194"/>
      <c r="I1009" s="194"/>
      <c r="J1009" s="194"/>
      <c r="K1009" s="194"/>
      <c r="L1009" s="194"/>
      <c r="M1009" s="194"/>
      <c r="N1009" s="194"/>
      <c r="O1009" s="194"/>
      <c r="P1009" s="194"/>
      <c r="Q1009" s="194"/>
      <c r="R1009" s="194"/>
      <c r="S1009" s="194"/>
      <c r="T1009" s="194"/>
      <c r="U1009" s="194"/>
      <c r="V1009" s="194"/>
      <c r="W1009" s="194"/>
    </row>
    <row r="1010" spans="1:23" ht="12.75" customHeight="1">
      <c r="A1010" s="11"/>
      <c r="B1010" s="38" t="s">
        <v>777</v>
      </c>
    </row>
    <row r="1011" spans="1:23" ht="12.75" customHeight="1"/>
    <row r="1012" spans="1:23" ht="12.75" customHeight="1">
      <c r="B1012" s="152" t="s">
        <v>111</v>
      </c>
      <c r="C1012" s="64" t="s">
        <v>387</v>
      </c>
      <c r="H1012" s="78">
        <v>3</v>
      </c>
      <c r="I1012" s="78">
        <v>3</v>
      </c>
      <c r="J1012" s="78">
        <v>2</v>
      </c>
      <c r="K1012" s="78">
        <v>7</v>
      </c>
      <c r="L1012" s="78">
        <v>0</v>
      </c>
      <c r="M1012" s="78">
        <v>4</v>
      </c>
      <c r="N1012" s="78">
        <v>1</v>
      </c>
      <c r="O1012" s="78">
        <v>9</v>
      </c>
      <c r="P1012" s="78">
        <v>0</v>
      </c>
      <c r="Q1012" s="78">
        <v>8</v>
      </c>
      <c r="R1012" s="78">
        <v>0</v>
      </c>
      <c r="S1012" s="78">
        <v>7</v>
      </c>
      <c r="T1012" s="78">
        <v>0</v>
      </c>
      <c r="U1012" s="78">
        <v>0</v>
      </c>
      <c r="V1012" s="78">
        <v>3</v>
      </c>
      <c r="W1012" s="78">
        <v>2</v>
      </c>
    </row>
    <row r="1013" spans="1:23" ht="12.75" customHeight="1">
      <c r="B1013" s="11"/>
    </row>
    <row r="1014" spans="1:23" ht="12.75" customHeight="1">
      <c r="B1014" s="152" t="s">
        <v>115</v>
      </c>
      <c r="C1014" s="64" t="s">
        <v>385</v>
      </c>
      <c r="H1014" s="246" t="s">
        <v>888</v>
      </c>
      <c r="I1014" s="223"/>
      <c r="J1014" s="223"/>
      <c r="K1014" s="223"/>
      <c r="L1014" s="223"/>
      <c r="M1014" s="223"/>
      <c r="N1014" s="223"/>
      <c r="O1014" s="223"/>
      <c r="P1014" s="223"/>
      <c r="Q1014" s="223"/>
      <c r="R1014" s="223"/>
      <c r="S1014" s="223"/>
      <c r="T1014" s="223"/>
      <c r="U1014" s="223"/>
      <c r="V1014" s="223"/>
      <c r="W1014" s="224"/>
    </row>
    <row r="1015" spans="1:23" ht="12.75" customHeight="1">
      <c r="B1015" s="11"/>
    </row>
    <row r="1016" spans="1:23" ht="12.75" customHeight="1">
      <c r="B1016" s="152" t="s">
        <v>118</v>
      </c>
      <c r="C1016" s="64" t="s">
        <v>345</v>
      </c>
      <c r="H1016" s="246" t="s">
        <v>102</v>
      </c>
      <c r="I1016" s="223"/>
      <c r="J1016" s="223"/>
      <c r="K1016" s="223"/>
      <c r="L1016" s="223"/>
      <c r="M1016" s="223"/>
      <c r="N1016" s="223"/>
      <c r="O1016" s="224"/>
      <c r="P1016" s="64" t="s">
        <v>675</v>
      </c>
      <c r="Q1016" s="78">
        <v>0</v>
      </c>
      <c r="R1016" s="78">
        <v>0</v>
      </c>
      <c r="S1016" s="78">
        <v>5</v>
      </c>
      <c r="T1016" s="11" t="s">
        <v>676</v>
      </c>
      <c r="U1016" s="78">
        <v>0</v>
      </c>
      <c r="V1016" s="78">
        <v>0</v>
      </c>
      <c r="W1016" s="78">
        <v>1</v>
      </c>
    </row>
    <row r="1017" spans="1:23" ht="12.75" customHeight="1">
      <c r="B1017" s="11"/>
    </row>
    <row r="1018" spans="1:23" ht="12.75" customHeight="1">
      <c r="B1018" s="11"/>
      <c r="H1018" s="64" t="s">
        <v>779</v>
      </c>
      <c r="L1018" s="246" t="s">
        <v>773</v>
      </c>
      <c r="M1018" s="223"/>
      <c r="N1018" s="223"/>
      <c r="O1018" s="223"/>
      <c r="P1018" s="223"/>
      <c r="Q1018" s="223"/>
      <c r="R1018" s="223"/>
      <c r="S1018" s="223"/>
      <c r="T1018" s="223"/>
      <c r="U1018" s="223"/>
      <c r="V1018" s="223"/>
      <c r="W1018" s="224"/>
    </row>
    <row r="1019" spans="1:23" ht="12.75" customHeight="1">
      <c r="B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</row>
    <row r="1020" spans="1:23" ht="12.75" customHeight="1">
      <c r="B1020" s="11"/>
      <c r="C1020" s="64" t="s">
        <v>414</v>
      </c>
      <c r="H1020" s="246" t="s">
        <v>102</v>
      </c>
      <c r="I1020" s="223"/>
      <c r="J1020" s="223"/>
      <c r="K1020" s="223"/>
      <c r="L1020" s="223"/>
      <c r="M1020" s="224"/>
      <c r="O1020" s="64" t="s">
        <v>562</v>
      </c>
      <c r="R1020" s="246" t="s">
        <v>106</v>
      </c>
      <c r="S1020" s="223"/>
      <c r="T1020" s="223"/>
      <c r="U1020" s="223"/>
      <c r="V1020" s="223"/>
      <c r="W1020" s="224"/>
    </row>
    <row r="1021" spans="1:23" ht="12.75" customHeight="1">
      <c r="B1021" s="11"/>
      <c r="H1021" s="77"/>
      <c r="I1021" s="77"/>
      <c r="J1021" s="77"/>
      <c r="K1021" s="77"/>
      <c r="L1021" s="77"/>
      <c r="M1021" s="77"/>
      <c r="R1021" s="77"/>
      <c r="S1021" s="77"/>
      <c r="T1021" s="77"/>
      <c r="U1021" s="77"/>
      <c r="V1021" s="77"/>
      <c r="W1021" s="77"/>
    </row>
    <row r="1022" spans="1:23" ht="12.75" customHeight="1">
      <c r="B1022" s="11"/>
      <c r="C1022" s="64" t="s">
        <v>416</v>
      </c>
      <c r="H1022" s="246" t="s">
        <v>104</v>
      </c>
      <c r="I1022" s="223"/>
      <c r="J1022" s="223"/>
      <c r="K1022" s="223"/>
      <c r="L1022" s="223"/>
      <c r="M1022" s="224"/>
      <c r="O1022" s="64" t="s">
        <v>417</v>
      </c>
      <c r="R1022" s="246" t="s">
        <v>418</v>
      </c>
      <c r="S1022" s="223"/>
      <c r="T1022" s="223"/>
      <c r="U1022" s="223"/>
      <c r="V1022" s="223"/>
      <c r="W1022" s="224"/>
    </row>
    <row r="1023" spans="1:23" ht="12.75" customHeight="1">
      <c r="B1023" s="11"/>
      <c r="H1023" s="77"/>
      <c r="I1023" s="77"/>
      <c r="J1023" s="77"/>
      <c r="K1023" s="77"/>
      <c r="L1023" s="77"/>
      <c r="M1023" s="77"/>
      <c r="R1023" s="11"/>
      <c r="S1023" s="11"/>
      <c r="T1023" s="11"/>
      <c r="U1023" s="11"/>
      <c r="V1023" s="11"/>
      <c r="W1023" s="11"/>
    </row>
    <row r="1024" spans="1:23" ht="12.75" customHeight="1">
      <c r="B1024" s="11"/>
      <c r="H1024" s="11" t="s">
        <v>674</v>
      </c>
      <c r="I1024" s="11"/>
      <c r="J1024" s="78">
        <v>5</v>
      </c>
      <c r="K1024" s="78">
        <v>2</v>
      </c>
      <c r="L1024" s="78">
        <v>3</v>
      </c>
      <c r="M1024" s="78">
        <v>5</v>
      </c>
      <c r="N1024" s="78">
        <v>7</v>
      </c>
      <c r="P1024" s="64" t="s">
        <v>680</v>
      </c>
      <c r="R1024" s="78"/>
      <c r="S1024" s="78"/>
      <c r="T1024" s="78"/>
      <c r="U1024" s="78"/>
      <c r="V1024" s="78"/>
      <c r="W1024" s="78"/>
    </row>
    <row r="1025" spans="1:23" ht="12.75" customHeight="1">
      <c r="B1025" s="11"/>
    </row>
    <row r="1026" spans="1:23" ht="12.75" customHeight="1">
      <c r="B1026" s="152" t="s">
        <v>121</v>
      </c>
      <c r="C1026" s="64" t="s">
        <v>780</v>
      </c>
      <c r="H1026" s="78">
        <v>3</v>
      </c>
      <c r="I1026" s="78">
        <v>3</v>
      </c>
      <c r="J1026" s="78">
        <v>2</v>
      </c>
      <c r="K1026" s="78">
        <v>7</v>
      </c>
      <c r="L1026" s="78">
        <v>0</v>
      </c>
      <c r="M1026" s="78">
        <v>4</v>
      </c>
      <c r="N1026" s="78">
        <v>0</v>
      </c>
      <c r="O1026" s="78">
        <v>3</v>
      </c>
      <c r="P1026" s="78">
        <v>0</v>
      </c>
      <c r="Q1026" s="78">
        <v>9</v>
      </c>
      <c r="R1026" s="78">
        <v>9</v>
      </c>
      <c r="S1026" s="78">
        <v>8</v>
      </c>
      <c r="T1026" s="78">
        <v>0</v>
      </c>
      <c r="U1026" s="78">
        <v>0</v>
      </c>
      <c r="V1026" s="78">
        <v>0</v>
      </c>
      <c r="W1026" s="78">
        <v>2</v>
      </c>
    </row>
    <row r="1027" spans="1:23" ht="12.75" customHeight="1">
      <c r="B1027" s="11"/>
    </row>
    <row r="1028" spans="1:23" ht="12.75" customHeight="1">
      <c r="B1028" s="152" t="s">
        <v>124</v>
      </c>
      <c r="C1028" s="64" t="s">
        <v>391</v>
      </c>
      <c r="H1028" s="246" t="s">
        <v>889</v>
      </c>
      <c r="I1028" s="223"/>
      <c r="J1028" s="223"/>
      <c r="K1028" s="223"/>
      <c r="L1028" s="223"/>
      <c r="M1028" s="223"/>
      <c r="N1028" s="223"/>
      <c r="O1028" s="223"/>
      <c r="P1028" s="223"/>
      <c r="Q1028" s="223"/>
      <c r="R1028" s="223"/>
      <c r="S1028" s="223"/>
      <c r="T1028" s="223"/>
      <c r="U1028" s="223"/>
      <c r="V1028" s="223"/>
      <c r="W1028" s="224"/>
    </row>
    <row r="1029" spans="1:23" ht="12.75" customHeight="1"/>
    <row r="1030" spans="1:23" ht="12.75" customHeight="1"/>
    <row r="1031" spans="1:23" ht="12.75" customHeight="1">
      <c r="B1031" s="38" t="s">
        <v>782</v>
      </c>
    </row>
    <row r="1032" spans="1:23" ht="12.75" customHeight="1"/>
    <row r="1033" spans="1:23" ht="12.75" customHeight="1">
      <c r="A1033" s="11"/>
      <c r="B1033" s="152" t="s">
        <v>111</v>
      </c>
      <c r="C1033" s="64" t="s">
        <v>783</v>
      </c>
      <c r="H1033" s="78">
        <v>2</v>
      </c>
      <c r="I1033" s="64" t="s">
        <v>784</v>
      </c>
    </row>
    <row r="1034" spans="1:23" ht="12.75" customHeight="1">
      <c r="A1034" s="11"/>
      <c r="B1034" s="11"/>
    </row>
    <row r="1035" spans="1:23" ht="12.75" customHeight="1">
      <c r="A1035" s="11"/>
      <c r="B1035" s="152" t="s">
        <v>115</v>
      </c>
      <c r="C1035" s="64" t="s">
        <v>387</v>
      </c>
      <c r="H1035" s="78"/>
      <c r="I1035" s="78"/>
      <c r="J1035" s="78"/>
      <c r="K1035" s="78"/>
      <c r="L1035" s="78"/>
      <c r="M1035" s="78"/>
      <c r="N1035" s="78"/>
      <c r="O1035" s="78"/>
      <c r="P1035" s="78"/>
      <c r="Q1035" s="78"/>
      <c r="R1035" s="78"/>
      <c r="S1035" s="78"/>
      <c r="T1035" s="78"/>
      <c r="U1035" s="78"/>
      <c r="V1035" s="78"/>
      <c r="W1035" s="78"/>
    </row>
    <row r="1036" spans="1:23" ht="12.75" customHeight="1">
      <c r="A1036" s="11"/>
      <c r="B1036" s="11"/>
    </row>
    <row r="1037" spans="1:23" ht="12.75" customHeight="1">
      <c r="A1037" s="11"/>
      <c r="B1037" s="152" t="s">
        <v>118</v>
      </c>
      <c r="C1037" s="64" t="s">
        <v>785</v>
      </c>
      <c r="H1037" s="78">
        <v>3</v>
      </c>
      <c r="I1037" s="78">
        <v>3</v>
      </c>
      <c r="J1037" s="78">
        <v>2</v>
      </c>
      <c r="K1037" s="78">
        <v>7</v>
      </c>
      <c r="L1037" s="78">
        <v>0</v>
      </c>
      <c r="M1037" s="78">
        <v>4</v>
      </c>
      <c r="N1037" s="78">
        <v>0</v>
      </c>
      <c r="O1037" s="78">
        <v>3</v>
      </c>
      <c r="P1037" s="78">
        <v>0</v>
      </c>
      <c r="Q1037" s="78">
        <v>9</v>
      </c>
      <c r="R1037" s="78">
        <v>9</v>
      </c>
      <c r="S1037" s="78">
        <v>8</v>
      </c>
      <c r="T1037" s="78">
        <v>0</v>
      </c>
      <c r="U1037" s="78">
        <v>0</v>
      </c>
      <c r="V1037" s="78">
        <v>0</v>
      </c>
      <c r="W1037" s="78">
        <v>2</v>
      </c>
    </row>
    <row r="1038" spans="1:23" ht="12.75" customHeight="1">
      <c r="A1038" s="11"/>
      <c r="B1038" s="11"/>
    </row>
    <row r="1039" spans="1:23" ht="12.75" customHeight="1">
      <c r="A1039" s="11"/>
      <c r="B1039" s="152" t="s">
        <v>121</v>
      </c>
      <c r="C1039" s="64" t="s">
        <v>385</v>
      </c>
      <c r="H1039" s="246" t="str">
        <f>H1028</f>
        <v>MUHAMMAD ILHAM DWI ATMAJA</v>
      </c>
      <c r="I1039" s="223"/>
      <c r="J1039" s="223"/>
      <c r="K1039" s="223"/>
      <c r="L1039" s="223"/>
      <c r="M1039" s="223"/>
      <c r="N1039" s="223"/>
      <c r="O1039" s="223"/>
      <c r="P1039" s="223"/>
      <c r="Q1039" s="223"/>
      <c r="R1039" s="223"/>
      <c r="S1039" s="223"/>
      <c r="T1039" s="223"/>
      <c r="U1039" s="223"/>
      <c r="V1039" s="223"/>
      <c r="W1039" s="224"/>
    </row>
    <row r="1040" spans="1:23" ht="12.75" customHeight="1">
      <c r="A1040" s="11"/>
      <c r="B1040" s="11"/>
    </row>
    <row r="1041" spans="1:23" ht="12.75" customHeight="1">
      <c r="A1041" s="11"/>
      <c r="B1041" s="152" t="s">
        <v>124</v>
      </c>
      <c r="C1041" s="64" t="s">
        <v>786</v>
      </c>
      <c r="H1041" s="78"/>
      <c r="I1041" s="78"/>
      <c r="J1041" s="11"/>
      <c r="K1041" s="78"/>
      <c r="L1041" s="78"/>
      <c r="M1041" s="11"/>
      <c r="N1041" s="78">
        <v>2</v>
      </c>
      <c r="O1041" s="78">
        <v>0</v>
      </c>
      <c r="P1041" s="78">
        <v>2</v>
      </c>
      <c r="Q1041" s="78">
        <v>4</v>
      </c>
      <c r="R1041" s="11"/>
    </row>
    <row r="1042" spans="1:23" ht="12.75" customHeight="1">
      <c r="A1042" s="11"/>
      <c r="B1042" s="11"/>
    </row>
    <row r="1043" spans="1:23" ht="12.75" customHeight="1">
      <c r="A1043" s="11"/>
      <c r="B1043" s="152" t="s">
        <v>127</v>
      </c>
      <c r="C1043" s="64" t="s">
        <v>345</v>
      </c>
      <c r="F1043" s="91"/>
      <c r="H1043" s="246" t="s">
        <v>102</v>
      </c>
      <c r="I1043" s="223"/>
      <c r="J1043" s="223"/>
      <c r="K1043" s="223"/>
      <c r="L1043" s="223"/>
      <c r="M1043" s="223"/>
      <c r="N1043" s="224"/>
      <c r="P1043" s="64" t="s">
        <v>675</v>
      </c>
      <c r="Q1043" s="78">
        <v>0</v>
      </c>
      <c r="R1043" s="78">
        <v>0</v>
      </c>
      <c r="S1043" s="78">
        <v>2</v>
      </c>
      <c r="T1043" s="11" t="s">
        <v>676</v>
      </c>
      <c r="U1043" s="78">
        <v>0</v>
      </c>
      <c r="V1043" s="78">
        <v>0</v>
      </c>
      <c r="W1043" s="78">
        <v>1</v>
      </c>
    </row>
    <row r="1044" spans="1:23" ht="12.75" customHeight="1">
      <c r="A1044" s="11"/>
      <c r="B1044" s="11"/>
    </row>
    <row r="1045" spans="1:23" ht="12.75" customHeight="1">
      <c r="A1045" s="11"/>
      <c r="B1045" s="11"/>
      <c r="F1045" s="91"/>
      <c r="H1045" s="64" t="s">
        <v>779</v>
      </c>
      <c r="L1045" s="246" t="s">
        <v>102</v>
      </c>
      <c r="M1045" s="223"/>
      <c r="N1045" s="223"/>
      <c r="O1045" s="223"/>
      <c r="P1045" s="223"/>
      <c r="Q1045" s="223"/>
      <c r="R1045" s="223"/>
      <c r="S1045" s="223"/>
      <c r="T1045" s="223"/>
      <c r="U1045" s="223"/>
      <c r="V1045" s="223"/>
      <c r="W1045" s="224"/>
    </row>
    <row r="1046" spans="1:23" ht="12.75" customHeight="1">
      <c r="A1046" s="11"/>
      <c r="B1046" s="11"/>
    </row>
    <row r="1047" spans="1:23" ht="12.75" customHeight="1">
      <c r="A1047" s="11"/>
      <c r="B1047" s="11"/>
      <c r="C1047" s="64" t="s">
        <v>414</v>
      </c>
      <c r="H1047" s="246" t="s">
        <v>102</v>
      </c>
      <c r="I1047" s="223"/>
      <c r="J1047" s="223"/>
      <c r="K1047" s="223"/>
      <c r="L1047" s="223"/>
      <c r="M1047" s="224"/>
      <c r="O1047" s="64" t="s">
        <v>562</v>
      </c>
      <c r="R1047" s="246" t="s">
        <v>106</v>
      </c>
      <c r="S1047" s="223"/>
      <c r="T1047" s="223"/>
      <c r="U1047" s="223"/>
      <c r="V1047" s="223"/>
      <c r="W1047" s="224"/>
    </row>
    <row r="1048" spans="1:23" ht="12.75" customHeight="1">
      <c r="A1048" s="11"/>
      <c r="B1048" s="11"/>
      <c r="H1048" s="77"/>
      <c r="I1048" s="77"/>
      <c r="J1048" s="77"/>
      <c r="K1048" s="77"/>
      <c r="L1048" s="77"/>
      <c r="M1048" s="77"/>
      <c r="R1048" s="77"/>
      <c r="S1048" s="77"/>
      <c r="T1048" s="77"/>
      <c r="U1048" s="77"/>
      <c r="V1048" s="77"/>
      <c r="W1048" s="77"/>
    </row>
    <row r="1049" spans="1:23" ht="12.75" customHeight="1">
      <c r="A1049" s="11"/>
      <c r="B1049" s="11"/>
      <c r="C1049" s="64" t="s">
        <v>563</v>
      </c>
      <c r="H1049" s="246" t="s">
        <v>104</v>
      </c>
      <c r="I1049" s="223"/>
      <c r="J1049" s="223"/>
      <c r="K1049" s="223"/>
      <c r="L1049" s="223"/>
      <c r="M1049" s="224"/>
      <c r="O1049" s="64" t="s">
        <v>417</v>
      </c>
      <c r="R1049" s="246" t="s">
        <v>418</v>
      </c>
      <c r="S1049" s="223"/>
      <c r="T1049" s="223"/>
      <c r="U1049" s="223"/>
      <c r="V1049" s="223"/>
      <c r="W1049" s="224"/>
    </row>
    <row r="1050" spans="1:23" ht="12.75" customHeight="1">
      <c r="A1050" s="11"/>
      <c r="B1050" s="11"/>
      <c r="H1050" s="77"/>
      <c r="I1050" s="77"/>
      <c r="J1050" s="77"/>
      <c r="K1050" s="77"/>
      <c r="L1050" s="77"/>
      <c r="M1050" s="77"/>
      <c r="R1050" s="77"/>
      <c r="S1050" s="77"/>
      <c r="T1050" s="77"/>
      <c r="U1050" s="77"/>
      <c r="V1050" s="77"/>
      <c r="W1050" s="77"/>
    </row>
    <row r="1051" spans="1:23" ht="12.75" customHeight="1">
      <c r="A1051" s="11"/>
      <c r="B1051" s="152" t="s">
        <v>130</v>
      </c>
      <c r="C1051" s="64" t="s">
        <v>790</v>
      </c>
    </row>
    <row r="1052" spans="1:23" ht="12.75" customHeight="1"/>
    <row r="1053" spans="1:23" ht="12.75" customHeight="1">
      <c r="B1053" s="104" t="s">
        <v>684</v>
      </c>
      <c r="C1053" s="275" t="s">
        <v>340</v>
      </c>
      <c r="D1053" s="223"/>
      <c r="E1053" s="223"/>
      <c r="F1053" s="223"/>
      <c r="G1053" s="223"/>
      <c r="H1053" s="223"/>
      <c r="I1053" s="223"/>
      <c r="J1053" s="223"/>
      <c r="K1053" s="224"/>
      <c r="L1053" s="275" t="s">
        <v>791</v>
      </c>
      <c r="M1053" s="223"/>
      <c r="N1053" s="223"/>
      <c r="O1053" s="223"/>
      <c r="P1053" s="223"/>
      <c r="Q1053" s="224"/>
      <c r="R1053" s="286" t="s">
        <v>792</v>
      </c>
      <c r="S1053" s="223"/>
      <c r="T1053" s="224"/>
      <c r="U1053" s="275" t="s">
        <v>793</v>
      </c>
      <c r="V1053" s="223"/>
      <c r="W1053" s="224"/>
    </row>
    <row r="1054" spans="1:23" ht="12.75" customHeight="1">
      <c r="B1054" s="78">
        <v>1</v>
      </c>
      <c r="C1054" s="288" t="s">
        <v>828</v>
      </c>
      <c r="D1054" s="223"/>
      <c r="E1054" s="223"/>
      <c r="F1054" s="223"/>
      <c r="G1054" s="223"/>
      <c r="H1054" s="223"/>
      <c r="I1054" s="223"/>
      <c r="J1054" s="223"/>
      <c r="K1054" s="224"/>
      <c r="L1054" s="246" t="s">
        <v>824</v>
      </c>
      <c r="M1054" s="223"/>
      <c r="N1054" s="223"/>
      <c r="O1054" s="223"/>
      <c r="P1054" s="223"/>
      <c r="Q1054" s="224"/>
      <c r="R1054" s="287">
        <v>37592</v>
      </c>
      <c r="S1054" s="223"/>
      <c r="T1054" s="224"/>
      <c r="U1054" s="252" t="s">
        <v>814</v>
      </c>
      <c r="V1054" s="223"/>
      <c r="W1054" s="224"/>
    </row>
    <row r="1055" spans="1:23" ht="12.75" customHeight="1">
      <c r="B1055" s="78">
        <v>2</v>
      </c>
      <c r="C1055" s="288" t="s">
        <v>829</v>
      </c>
      <c r="D1055" s="223"/>
      <c r="E1055" s="223"/>
      <c r="F1055" s="223"/>
      <c r="G1055" s="223"/>
      <c r="H1055" s="223"/>
      <c r="I1055" s="223"/>
      <c r="J1055" s="223"/>
      <c r="K1055" s="224"/>
      <c r="L1055" s="246" t="s">
        <v>830</v>
      </c>
      <c r="M1055" s="223"/>
      <c r="N1055" s="223"/>
      <c r="O1055" s="223"/>
      <c r="P1055" s="223"/>
      <c r="Q1055" s="224"/>
      <c r="R1055" s="287"/>
      <c r="S1055" s="223"/>
      <c r="T1055" s="224"/>
      <c r="U1055" s="252" t="s">
        <v>817</v>
      </c>
      <c r="V1055" s="223"/>
      <c r="W1055" s="224"/>
    </row>
    <row r="1056" spans="1:23" ht="12.75" customHeight="1">
      <c r="B1056" s="78">
        <v>3</v>
      </c>
      <c r="C1056" s="288" t="s">
        <v>831</v>
      </c>
      <c r="D1056" s="223"/>
      <c r="E1056" s="223"/>
      <c r="F1056" s="223"/>
      <c r="G1056" s="223"/>
      <c r="H1056" s="223"/>
      <c r="I1056" s="223"/>
      <c r="J1056" s="223"/>
      <c r="K1056" s="224"/>
      <c r="L1056" s="246" t="s">
        <v>832</v>
      </c>
      <c r="M1056" s="223"/>
      <c r="N1056" s="223"/>
      <c r="O1056" s="223"/>
      <c r="P1056" s="223"/>
      <c r="Q1056" s="224"/>
      <c r="R1056" s="287"/>
      <c r="S1056" s="223"/>
      <c r="T1056" s="224"/>
      <c r="U1056" s="252" t="s">
        <v>795</v>
      </c>
      <c r="V1056" s="223"/>
      <c r="W1056" s="224"/>
    </row>
    <row r="1057" spans="2:23" ht="12.75" customHeight="1">
      <c r="B1057" s="78">
        <v>4</v>
      </c>
      <c r="C1057" s="288" t="s">
        <v>833</v>
      </c>
      <c r="D1057" s="223"/>
      <c r="E1057" s="223"/>
      <c r="F1057" s="223"/>
      <c r="G1057" s="223"/>
      <c r="H1057" s="223"/>
      <c r="I1057" s="223"/>
      <c r="J1057" s="223"/>
      <c r="K1057" s="224"/>
      <c r="L1057" s="246" t="s">
        <v>834</v>
      </c>
      <c r="M1057" s="223"/>
      <c r="N1057" s="223"/>
      <c r="O1057" s="223"/>
      <c r="P1057" s="223"/>
      <c r="Q1057" s="224"/>
      <c r="R1057" s="287"/>
      <c r="S1057" s="223"/>
      <c r="T1057" s="224"/>
      <c r="U1057" s="252" t="s">
        <v>795</v>
      </c>
      <c r="V1057" s="223"/>
      <c r="W1057" s="224"/>
    </row>
    <row r="1058" spans="2:23" ht="12.75" customHeight="1">
      <c r="B1058" s="78">
        <v>5</v>
      </c>
      <c r="C1058" s="246"/>
      <c r="D1058" s="223"/>
      <c r="E1058" s="223"/>
      <c r="F1058" s="223"/>
      <c r="G1058" s="223"/>
      <c r="H1058" s="223"/>
      <c r="I1058" s="223"/>
      <c r="J1058" s="223"/>
      <c r="K1058" s="224"/>
      <c r="L1058" s="246"/>
      <c r="M1058" s="223"/>
      <c r="N1058" s="223"/>
      <c r="O1058" s="223"/>
      <c r="P1058" s="223"/>
      <c r="Q1058" s="224"/>
      <c r="R1058" s="287"/>
      <c r="S1058" s="223"/>
      <c r="T1058" s="224"/>
      <c r="U1058" s="252"/>
      <c r="V1058" s="223"/>
      <c r="W1058" s="224"/>
    </row>
    <row r="1059" spans="2:23" ht="12.75" customHeight="1">
      <c r="B1059" s="78">
        <v>6</v>
      </c>
      <c r="C1059" s="246"/>
      <c r="D1059" s="223"/>
      <c r="E1059" s="223"/>
      <c r="F1059" s="223"/>
      <c r="G1059" s="223"/>
      <c r="H1059" s="223"/>
      <c r="I1059" s="223"/>
      <c r="J1059" s="223"/>
      <c r="K1059" s="224"/>
      <c r="L1059" s="252"/>
      <c r="M1059" s="223"/>
      <c r="N1059" s="223"/>
      <c r="O1059" s="223"/>
      <c r="P1059" s="223"/>
      <c r="Q1059" s="224"/>
      <c r="R1059" s="252"/>
      <c r="S1059" s="223"/>
      <c r="T1059" s="224"/>
      <c r="U1059" s="252"/>
      <c r="V1059" s="223"/>
      <c r="W1059" s="224"/>
    </row>
    <row r="1060" spans="2:23" ht="12.75" customHeight="1">
      <c r="B1060" s="78">
        <v>7</v>
      </c>
      <c r="C1060" s="252"/>
      <c r="D1060" s="223"/>
      <c r="E1060" s="223"/>
      <c r="F1060" s="223"/>
      <c r="G1060" s="223"/>
      <c r="H1060" s="223"/>
      <c r="I1060" s="223"/>
      <c r="J1060" s="223"/>
      <c r="K1060" s="224"/>
      <c r="L1060" s="252"/>
      <c r="M1060" s="223"/>
      <c r="N1060" s="223"/>
      <c r="O1060" s="223"/>
      <c r="P1060" s="223"/>
      <c r="Q1060" s="224"/>
      <c r="R1060" s="252"/>
      <c r="S1060" s="223"/>
      <c r="T1060" s="224"/>
      <c r="U1060" s="252"/>
      <c r="V1060" s="223"/>
      <c r="W1060" s="224"/>
    </row>
    <row r="1061" spans="2:23" ht="12.75" customHeight="1"/>
    <row r="1062" spans="2:23" ht="12.75" customHeight="1"/>
    <row r="1063" spans="2:23" ht="12.75" customHeight="1">
      <c r="J1063" s="225" t="s">
        <v>480</v>
      </c>
      <c r="K1063" s="194"/>
      <c r="L1063" s="194"/>
      <c r="M1063" s="194"/>
      <c r="N1063" s="194"/>
      <c r="O1063" s="194"/>
      <c r="R1063" s="3" t="s">
        <v>835</v>
      </c>
    </row>
    <row r="1064" spans="2:23" ht="12.75" customHeight="1">
      <c r="D1064" s="64" t="s">
        <v>797</v>
      </c>
      <c r="J1064" s="225" t="s">
        <v>808</v>
      </c>
      <c r="K1064" s="194"/>
      <c r="L1064" s="194"/>
      <c r="M1064" s="194"/>
      <c r="N1064" s="194"/>
      <c r="O1064" s="194"/>
      <c r="S1064" s="64" t="s">
        <v>799</v>
      </c>
    </row>
    <row r="1065" spans="2:23" ht="12.75" customHeight="1">
      <c r="J1065" s="225" t="s">
        <v>365</v>
      </c>
      <c r="K1065" s="194"/>
      <c r="L1065" s="194"/>
      <c r="M1065" s="194"/>
      <c r="N1065" s="194"/>
      <c r="O1065" s="194"/>
    </row>
    <row r="1066" spans="2:23" ht="12.75" customHeight="1"/>
    <row r="1067" spans="2:23" ht="12.75" customHeight="1"/>
    <row r="1068" spans="2:23" ht="12.75" customHeight="1"/>
    <row r="1069" spans="2:23" ht="12.75" customHeight="1">
      <c r="D1069" s="3" t="s">
        <v>27</v>
      </c>
      <c r="K1069" s="225" t="s">
        <v>366</v>
      </c>
      <c r="L1069" s="194"/>
      <c r="M1069" s="194"/>
      <c r="N1069" s="194"/>
      <c r="Q1069" s="225" t="str">
        <f>L1054</f>
        <v>SOIM</v>
      </c>
      <c r="R1069" s="194"/>
      <c r="S1069" s="194"/>
      <c r="T1069" s="194"/>
      <c r="U1069" s="194"/>
      <c r="V1069" s="194"/>
    </row>
    <row r="1070" spans="2:23" ht="12.75" customHeight="1"/>
    <row r="1071" spans="2:23" ht="12.75" customHeight="1"/>
    <row r="1072" spans="2:23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spans="2:23" ht="12.75" customHeight="1"/>
    <row r="1090" spans="2:23" ht="12.75" customHeight="1">
      <c r="T1090" s="252" t="s">
        <v>800</v>
      </c>
      <c r="U1090" s="223"/>
      <c r="V1090" s="224"/>
    </row>
    <row r="1091" spans="2:23" ht="12.75" customHeight="1">
      <c r="B1091" s="151"/>
      <c r="C1091" s="151"/>
      <c r="D1091" s="151"/>
      <c r="E1091" s="151"/>
      <c r="F1091" s="151"/>
      <c r="G1091" s="151"/>
      <c r="H1091" s="151"/>
      <c r="I1091" s="151"/>
      <c r="J1091" s="151"/>
      <c r="K1091" s="151"/>
      <c r="L1091" s="151"/>
      <c r="M1091" s="151"/>
      <c r="N1091" s="151"/>
      <c r="O1091" s="151"/>
      <c r="P1091" s="151"/>
      <c r="Q1091" s="151"/>
      <c r="R1091" s="151"/>
      <c r="S1091" s="151"/>
      <c r="T1091" s="151"/>
      <c r="U1091" s="151"/>
      <c r="V1091" s="151"/>
      <c r="W1091" s="151"/>
    </row>
    <row r="1092" spans="2:23" ht="12.75" customHeight="1"/>
    <row r="1093" spans="2:23" ht="12.75" customHeight="1">
      <c r="B1093" s="64" t="s">
        <v>770</v>
      </c>
      <c r="G1093" s="11" t="s">
        <v>10</v>
      </c>
      <c r="H1093" s="78">
        <v>3</v>
      </c>
      <c r="I1093" s="78">
        <v>3</v>
      </c>
      <c r="J1093" s="11"/>
      <c r="M1093" s="246" t="s">
        <v>418</v>
      </c>
      <c r="N1093" s="223"/>
      <c r="O1093" s="223"/>
      <c r="P1093" s="223"/>
      <c r="Q1093" s="223"/>
      <c r="R1093" s="223"/>
      <c r="S1093" s="223"/>
      <c r="T1093" s="223"/>
      <c r="U1093" s="223"/>
      <c r="V1093" s="223"/>
      <c r="W1093" s="224"/>
    </row>
    <row r="1094" spans="2:23" ht="12.75" customHeight="1">
      <c r="G1094" s="11"/>
      <c r="H1094" s="11"/>
      <c r="I1094" s="11"/>
      <c r="J1094" s="11"/>
      <c r="M1094" s="77"/>
      <c r="N1094" s="77"/>
      <c r="O1094" s="77"/>
      <c r="P1094" s="77"/>
      <c r="Q1094" s="77"/>
      <c r="R1094" s="77"/>
      <c r="S1094" s="77"/>
      <c r="T1094" s="77"/>
      <c r="U1094" s="77"/>
      <c r="V1094" s="77"/>
      <c r="W1094" s="77"/>
    </row>
    <row r="1095" spans="2:23" ht="12.75" customHeight="1">
      <c r="B1095" s="64" t="s">
        <v>105</v>
      </c>
      <c r="G1095" s="11" t="s">
        <v>10</v>
      </c>
      <c r="H1095" s="78">
        <v>2</v>
      </c>
      <c r="I1095" s="78">
        <v>7</v>
      </c>
      <c r="J1095" s="11"/>
      <c r="M1095" s="246" t="s">
        <v>106</v>
      </c>
      <c r="N1095" s="223"/>
      <c r="O1095" s="223"/>
      <c r="P1095" s="223"/>
      <c r="Q1095" s="223"/>
      <c r="R1095" s="223"/>
      <c r="S1095" s="223"/>
      <c r="T1095" s="223"/>
      <c r="U1095" s="223"/>
      <c r="V1095" s="223"/>
      <c r="W1095" s="224"/>
    </row>
    <row r="1096" spans="2:23" ht="12.75" customHeight="1">
      <c r="G1096" s="11"/>
      <c r="H1096" s="11"/>
      <c r="I1096" s="11"/>
      <c r="J1096" s="11"/>
      <c r="M1096" s="77"/>
      <c r="N1096" s="77"/>
      <c r="O1096" s="77"/>
      <c r="P1096" s="77"/>
      <c r="Q1096" s="77"/>
      <c r="R1096" s="77"/>
      <c r="S1096" s="77"/>
      <c r="T1096" s="77"/>
      <c r="U1096" s="77"/>
      <c r="V1096" s="77"/>
      <c r="W1096" s="77"/>
    </row>
    <row r="1097" spans="2:23" ht="12.75" customHeight="1">
      <c r="B1097" s="64" t="s">
        <v>103</v>
      </c>
      <c r="G1097" s="11" t="s">
        <v>10</v>
      </c>
      <c r="H1097" s="78">
        <v>4</v>
      </c>
      <c r="I1097" s="78">
        <v>0</v>
      </c>
      <c r="J1097" s="11"/>
      <c r="M1097" s="246" t="s">
        <v>104</v>
      </c>
      <c r="N1097" s="223"/>
      <c r="O1097" s="223"/>
      <c r="P1097" s="223"/>
      <c r="Q1097" s="223"/>
      <c r="R1097" s="223"/>
      <c r="S1097" s="223"/>
      <c r="T1097" s="223"/>
      <c r="U1097" s="223"/>
      <c r="V1097" s="223"/>
      <c r="W1097" s="224"/>
    </row>
    <row r="1098" spans="2:23" ht="12.75" customHeight="1">
      <c r="G1098" s="11"/>
      <c r="H1098" s="11"/>
      <c r="I1098" s="11"/>
      <c r="J1098" s="11"/>
      <c r="M1098" s="77"/>
      <c r="N1098" s="77"/>
      <c r="O1098" s="77"/>
      <c r="P1098" s="77"/>
      <c r="Q1098" s="77"/>
      <c r="R1098" s="77"/>
      <c r="S1098" s="77"/>
      <c r="T1098" s="77"/>
      <c r="U1098" s="77"/>
      <c r="V1098" s="77"/>
      <c r="W1098" s="77"/>
    </row>
    <row r="1099" spans="2:23" ht="12.75" customHeight="1">
      <c r="B1099" s="64" t="s">
        <v>771</v>
      </c>
      <c r="G1099" s="11" t="s">
        <v>10</v>
      </c>
      <c r="H1099" s="78">
        <v>0</v>
      </c>
      <c r="I1099" s="78">
        <v>1</v>
      </c>
      <c r="J1099" s="78">
        <v>1</v>
      </c>
      <c r="K1099" s="91"/>
      <c r="M1099" s="246" t="s">
        <v>102</v>
      </c>
      <c r="N1099" s="223"/>
      <c r="O1099" s="223"/>
      <c r="P1099" s="223"/>
      <c r="Q1099" s="223"/>
      <c r="R1099" s="223"/>
      <c r="S1099" s="223"/>
      <c r="T1099" s="223"/>
      <c r="U1099" s="223"/>
      <c r="V1099" s="223"/>
      <c r="W1099" s="224"/>
    </row>
    <row r="1100" spans="2:23" ht="12.75" customHeight="1">
      <c r="G1100" s="11"/>
    </row>
    <row r="1101" spans="2:23" ht="12.75" customHeight="1">
      <c r="B1101" s="64" t="s">
        <v>772</v>
      </c>
      <c r="G1101" s="11" t="s">
        <v>10</v>
      </c>
      <c r="H1101" s="246" t="s">
        <v>890</v>
      </c>
      <c r="I1101" s="223"/>
      <c r="J1101" s="223"/>
      <c r="K1101" s="223"/>
      <c r="L1101" s="223"/>
      <c r="M1101" s="223"/>
      <c r="N1101" s="223"/>
      <c r="O1101" s="223"/>
      <c r="P1101" s="223"/>
      <c r="Q1101" s="223"/>
      <c r="R1101" s="223"/>
      <c r="S1101" s="223"/>
      <c r="T1101" s="223"/>
      <c r="U1101" s="223"/>
      <c r="V1101" s="223"/>
      <c r="W1101" s="224"/>
    </row>
    <row r="1102" spans="2:23" ht="12.75" customHeight="1"/>
    <row r="1103" spans="2:23" ht="12.75" customHeight="1">
      <c r="B1103" s="196" t="s">
        <v>774</v>
      </c>
      <c r="C1103" s="194"/>
      <c r="D1103" s="194"/>
      <c r="E1103" s="194"/>
      <c r="F1103" s="194"/>
      <c r="G1103" s="194"/>
      <c r="H1103" s="194"/>
      <c r="I1103" s="194"/>
      <c r="J1103" s="194"/>
      <c r="K1103" s="194"/>
      <c r="L1103" s="194"/>
      <c r="M1103" s="194"/>
      <c r="N1103" s="194"/>
      <c r="O1103" s="194"/>
      <c r="P1103" s="194"/>
      <c r="Q1103" s="194"/>
      <c r="R1103" s="194"/>
      <c r="S1103" s="194"/>
      <c r="T1103" s="194"/>
      <c r="U1103" s="194"/>
      <c r="V1103" s="194"/>
      <c r="W1103" s="194"/>
    </row>
    <row r="1104" spans="2:23" ht="12.75" customHeight="1">
      <c r="B1104" s="225" t="s">
        <v>853</v>
      </c>
      <c r="C1104" s="194"/>
      <c r="D1104" s="194"/>
      <c r="E1104" s="194"/>
      <c r="F1104" s="194"/>
      <c r="G1104" s="194"/>
      <c r="H1104" s="194"/>
      <c r="I1104" s="194"/>
      <c r="J1104" s="194"/>
      <c r="K1104" s="194"/>
      <c r="L1104" s="194"/>
      <c r="M1104" s="194"/>
      <c r="N1104" s="194"/>
      <c r="O1104" s="194"/>
      <c r="P1104" s="194"/>
      <c r="Q1104" s="194"/>
      <c r="R1104" s="194"/>
      <c r="S1104" s="194"/>
      <c r="T1104" s="194"/>
      <c r="U1104" s="194"/>
      <c r="V1104" s="194"/>
      <c r="W1104" s="194"/>
    </row>
    <row r="1105" spans="1:23" ht="12.75" customHeight="1">
      <c r="B1105" s="225" t="s">
        <v>891</v>
      </c>
      <c r="C1105" s="194"/>
      <c r="D1105" s="194"/>
      <c r="E1105" s="194"/>
      <c r="F1105" s="194"/>
      <c r="G1105" s="194"/>
      <c r="H1105" s="194"/>
      <c r="I1105" s="194"/>
      <c r="J1105" s="194"/>
      <c r="K1105" s="194"/>
      <c r="L1105" s="194"/>
      <c r="M1105" s="194"/>
      <c r="N1105" s="194"/>
      <c r="O1105" s="194"/>
      <c r="P1105" s="194"/>
      <c r="Q1105" s="194"/>
      <c r="R1105" s="194"/>
      <c r="S1105" s="194"/>
      <c r="T1105" s="194"/>
      <c r="U1105" s="194"/>
      <c r="V1105" s="194"/>
      <c r="W1105" s="194"/>
    </row>
    <row r="1106" spans="1:23" ht="12.75" customHeight="1">
      <c r="A1106" s="11"/>
      <c r="B1106" s="38" t="s">
        <v>777</v>
      </c>
    </row>
    <row r="1107" spans="1:23" ht="12.75" customHeight="1"/>
    <row r="1108" spans="1:23" ht="12.75" customHeight="1">
      <c r="B1108" s="152" t="s">
        <v>111</v>
      </c>
      <c r="C1108" s="64" t="s">
        <v>387</v>
      </c>
      <c r="H1108" s="78">
        <v>3</v>
      </c>
      <c r="I1108" s="78">
        <v>3</v>
      </c>
      <c r="J1108" s="78">
        <v>2</v>
      </c>
      <c r="K1108" s="78">
        <v>6</v>
      </c>
      <c r="L1108" s="78">
        <v>0</v>
      </c>
      <c r="M1108" s="78">
        <v>1</v>
      </c>
      <c r="N1108" s="78">
        <v>0</v>
      </c>
      <c r="O1108" s="78">
        <v>6</v>
      </c>
      <c r="P1108" s="78">
        <v>1</v>
      </c>
      <c r="Q1108" s="78">
        <v>1</v>
      </c>
      <c r="R1108" s="78">
        <v>1</v>
      </c>
      <c r="S1108" s="78">
        <v>9</v>
      </c>
      <c r="T1108" s="78">
        <v>0</v>
      </c>
      <c r="U1108" s="78">
        <v>0</v>
      </c>
      <c r="V1108" s="78">
        <v>0</v>
      </c>
      <c r="W1108" s="78">
        <v>3</v>
      </c>
    </row>
    <row r="1109" spans="1:23" ht="12.75" customHeight="1">
      <c r="B1109" s="11"/>
    </row>
    <row r="1110" spans="1:23" ht="12.75" customHeight="1">
      <c r="B1110" s="152" t="s">
        <v>115</v>
      </c>
      <c r="C1110" s="64" t="s">
        <v>385</v>
      </c>
      <c r="H1110" s="246" t="s">
        <v>892</v>
      </c>
      <c r="I1110" s="223"/>
      <c r="J1110" s="223"/>
      <c r="K1110" s="223"/>
      <c r="L1110" s="223"/>
      <c r="M1110" s="223"/>
      <c r="N1110" s="223"/>
      <c r="O1110" s="223"/>
      <c r="P1110" s="223"/>
      <c r="Q1110" s="223"/>
      <c r="R1110" s="223"/>
      <c r="S1110" s="223"/>
      <c r="T1110" s="223"/>
      <c r="U1110" s="223"/>
      <c r="V1110" s="223"/>
      <c r="W1110" s="224"/>
    </row>
    <row r="1111" spans="1:23" ht="12.75" customHeight="1">
      <c r="B1111" s="11"/>
    </row>
    <row r="1112" spans="1:23" ht="12.75" customHeight="1">
      <c r="B1112" s="152" t="s">
        <v>118</v>
      </c>
      <c r="C1112" s="64" t="s">
        <v>345</v>
      </c>
      <c r="H1112" s="246" t="s">
        <v>893</v>
      </c>
      <c r="I1112" s="223"/>
      <c r="J1112" s="223"/>
      <c r="K1112" s="223"/>
      <c r="L1112" s="223"/>
      <c r="M1112" s="223"/>
      <c r="N1112" s="223"/>
      <c r="O1112" s="224"/>
      <c r="P1112" s="64" t="s">
        <v>675</v>
      </c>
      <c r="Q1112" s="78">
        <v>0</v>
      </c>
      <c r="R1112" s="78">
        <v>0</v>
      </c>
      <c r="S1112" s="78">
        <v>7</v>
      </c>
      <c r="T1112" s="11" t="s">
        <v>676</v>
      </c>
      <c r="U1112" s="78">
        <v>0</v>
      </c>
      <c r="V1112" s="78">
        <v>0</v>
      </c>
      <c r="W1112" s="78">
        <v>4</v>
      </c>
    </row>
    <row r="1113" spans="1:23" ht="12.75" customHeight="1">
      <c r="B1113" s="11"/>
    </row>
    <row r="1114" spans="1:23" ht="12.75" customHeight="1">
      <c r="B1114" s="11"/>
      <c r="H1114" s="64" t="s">
        <v>779</v>
      </c>
      <c r="L1114" s="246" t="s">
        <v>893</v>
      </c>
      <c r="M1114" s="223"/>
      <c r="N1114" s="223"/>
      <c r="O1114" s="223"/>
      <c r="P1114" s="223"/>
      <c r="Q1114" s="223"/>
      <c r="R1114" s="223"/>
      <c r="S1114" s="223"/>
      <c r="T1114" s="223"/>
      <c r="U1114" s="223"/>
      <c r="V1114" s="223"/>
      <c r="W1114" s="224"/>
    </row>
    <row r="1115" spans="1:23" ht="12.75" customHeight="1">
      <c r="B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</row>
    <row r="1116" spans="1:23" ht="12.75" customHeight="1">
      <c r="B1116" s="11"/>
      <c r="C1116" s="64" t="s">
        <v>414</v>
      </c>
      <c r="H1116" s="246" t="s">
        <v>894</v>
      </c>
      <c r="I1116" s="223"/>
      <c r="J1116" s="223"/>
      <c r="K1116" s="223"/>
      <c r="L1116" s="223"/>
      <c r="M1116" s="224"/>
      <c r="O1116" s="64" t="s">
        <v>562</v>
      </c>
      <c r="R1116" s="246" t="s">
        <v>895</v>
      </c>
      <c r="S1116" s="223"/>
      <c r="T1116" s="223"/>
      <c r="U1116" s="223"/>
      <c r="V1116" s="223"/>
      <c r="W1116" s="224"/>
    </row>
    <row r="1117" spans="1:23" ht="12.75" customHeight="1">
      <c r="B1117" s="11"/>
      <c r="H1117" s="77"/>
      <c r="I1117" s="77"/>
      <c r="J1117" s="77"/>
      <c r="K1117" s="77"/>
      <c r="L1117" s="77"/>
      <c r="M1117" s="77"/>
      <c r="R1117" s="77"/>
      <c r="S1117" s="77"/>
      <c r="T1117" s="77"/>
      <c r="U1117" s="77"/>
      <c r="V1117" s="77"/>
      <c r="W1117" s="77"/>
    </row>
    <row r="1118" spans="1:23" ht="12.75" customHeight="1">
      <c r="B1118" s="11"/>
      <c r="C1118" s="64" t="s">
        <v>416</v>
      </c>
      <c r="H1118" s="246" t="s">
        <v>896</v>
      </c>
      <c r="I1118" s="223"/>
      <c r="J1118" s="223"/>
      <c r="K1118" s="223"/>
      <c r="L1118" s="223"/>
      <c r="M1118" s="224"/>
      <c r="O1118" s="64" t="s">
        <v>417</v>
      </c>
      <c r="R1118" s="246" t="s">
        <v>418</v>
      </c>
      <c r="S1118" s="223"/>
      <c r="T1118" s="223"/>
      <c r="U1118" s="223"/>
      <c r="V1118" s="223"/>
      <c r="W1118" s="224"/>
    </row>
    <row r="1119" spans="1:23" ht="12.75" customHeight="1">
      <c r="B1119" s="11"/>
      <c r="H1119" s="77"/>
      <c r="I1119" s="77"/>
      <c r="J1119" s="77"/>
      <c r="K1119" s="77"/>
      <c r="L1119" s="77"/>
      <c r="M1119" s="77"/>
      <c r="R1119" s="11"/>
      <c r="S1119" s="11"/>
      <c r="T1119" s="11"/>
      <c r="U1119" s="11"/>
      <c r="V1119" s="11"/>
      <c r="W1119" s="11"/>
    </row>
    <row r="1120" spans="1:23" ht="12.75" customHeight="1">
      <c r="B1120" s="11"/>
      <c r="H1120" s="11" t="s">
        <v>674</v>
      </c>
      <c r="I1120" s="11"/>
      <c r="J1120" s="78">
        <v>5</v>
      </c>
      <c r="K1120" s="78">
        <v>1</v>
      </c>
      <c r="L1120" s="78">
        <v>1</v>
      </c>
      <c r="M1120" s="78">
        <v>6</v>
      </c>
      <c r="N1120" s="78">
        <v>3</v>
      </c>
      <c r="P1120" s="64" t="s">
        <v>680</v>
      </c>
      <c r="R1120" s="78"/>
      <c r="S1120" s="78"/>
      <c r="T1120" s="78"/>
      <c r="U1120" s="78"/>
      <c r="V1120" s="78"/>
      <c r="W1120" s="78"/>
    </row>
    <row r="1121" spans="1:23" ht="12.75" customHeight="1">
      <c r="B1121" s="11"/>
    </row>
    <row r="1122" spans="1:23" ht="12.75" customHeight="1">
      <c r="B1122" s="152" t="s">
        <v>121</v>
      </c>
      <c r="C1122" s="64" t="s">
        <v>780</v>
      </c>
      <c r="H1122" s="78">
        <v>3</v>
      </c>
      <c r="I1122" s="78">
        <v>3</v>
      </c>
      <c r="J1122" s="78">
        <v>2</v>
      </c>
      <c r="K1122" s="78">
        <v>6</v>
      </c>
      <c r="L1122" s="78">
        <v>0</v>
      </c>
      <c r="M1122" s="78">
        <v>1</v>
      </c>
      <c r="N1122" s="78">
        <v>0</v>
      </c>
      <c r="O1122" s="78">
        <v>7</v>
      </c>
      <c r="P1122" s="78">
        <v>0</v>
      </c>
      <c r="Q1122" s="78">
        <v>5</v>
      </c>
      <c r="R1122" s="78">
        <v>9</v>
      </c>
      <c r="S1122" s="78">
        <v>1</v>
      </c>
      <c r="T1122" s="78">
        <v>0</v>
      </c>
      <c r="U1122" s="78">
        <v>0</v>
      </c>
      <c r="V1122" s="78">
        <v>0</v>
      </c>
      <c r="W1122" s="78">
        <v>1</v>
      </c>
    </row>
    <row r="1123" spans="1:23" ht="12.75" customHeight="1">
      <c r="B1123" s="11"/>
    </row>
    <row r="1124" spans="1:23" ht="12.75" customHeight="1">
      <c r="B1124" s="152" t="s">
        <v>124</v>
      </c>
      <c r="C1124" s="64" t="s">
        <v>391</v>
      </c>
      <c r="H1124" s="246" t="s">
        <v>892</v>
      </c>
      <c r="I1124" s="223"/>
      <c r="J1124" s="223"/>
      <c r="K1124" s="223"/>
      <c r="L1124" s="223"/>
      <c r="M1124" s="223"/>
      <c r="N1124" s="223"/>
      <c r="O1124" s="223"/>
      <c r="P1124" s="223"/>
      <c r="Q1124" s="223"/>
      <c r="R1124" s="223"/>
      <c r="S1124" s="223"/>
      <c r="T1124" s="223"/>
      <c r="U1124" s="223"/>
      <c r="V1124" s="223"/>
      <c r="W1124" s="224"/>
    </row>
    <row r="1125" spans="1:23" ht="12.75" customHeight="1"/>
    <row r="1126" spans="1:23" ht="12.75" customHeight="1"/>
    <row r="1127" spans="1:23" ht="12.75" customHeight="1">
      <c r="B1127" s="38" t="s">
        <v>782</v>
      </c>
    </row>
    <row r="1128" spans="1:23" ht="12.75" customHeight="1"/>
    <row r="1129" spans="1:23" ht="12.75" customHeight="1">
      <c r="A1129" s="11"/>
      <c r="B1129" s="152" t="s">
        <v>111</v>
      </c>
      <c r="C1129" s="64" t="s">
        <v>783</v>
      </c>
      <c r="H1129" s="78">
        <v>2</v>
      </c>
      <c r="I1129" s="64" t="s">
        <v>784</v>
      </c>
    </row>
    <row r="1130" spans="1:23" ht="12.75" customHeight="1">
      <c r="A1130" s="11"/>
      <c r="B1130" s="11"/>
    </row>
    <row r="1131" spans="1:23" ht="12.75" customHeight="1">
      <c r="A1131" s="11"/>
      <c r="B1131" s="152" t="s">
        <v>115</v>
      </c>
      <c r="C1131" s="64" t="s">
        <v>387</v>
      </c>
      <c r="H1131" s="78"/>
      <c r="I1131" s="78"/>
      <c r="J1131" s="78"/>
      <c r="K1131" s="78"/>
      <c r="L1131" s="78"/>
      <c r="M1131" s="78"/>
      <c r="N1131" s="78"/>
      <c r="O1131" s="78"/>
      <c r="P1131" s="78"/>
      <c r="Q1131" s="78"/>
      <c r="R1131" s="78"/>
      <c r="S1131" s="78"/>
      <c r="T1131" s="78"/>
      <c r="U1131" s="78"/>
      <c r="V1131" s="78"/>
      <c r="W1131" s="78"/>
    </row>
    <row r="1132" spans="1:23" ht="12.75" customHeight="1">
      <c r="A1132" s="11"/>
      <c r="B1132" s="11"/>
    </row>
    <row r="1133" spans="1:23" ht="12.75" customHeight="1">
      <c r="A1133" s="11"/>
      <c r="B1133" s="152" t="s">
        <v>118</v>
      </c>
      <c r="C1133" s="64" t="s">
        <v>785</v>
      </c>
      <c r="H1133" s="78">
        <v>3</v>
      </c>
      <c r="I1133" s="78">
        <v>3</v>
      </c>
      <c r="J1133" s="78">
        <v>2</v>
      </c>
      <c r="K1133" s="78">
        <v>6</v>
      </c>
      <c r="L1133" s="78">
        <v>0</v>
      </c>
      <c r="M1133" s="78">
        <v>1</v>
      </c>
      <c r="N1133" s="78">
        <v>0</v>
      </c>
      <c r="O1133" s="78">
        <v>7</v>
      </c>
      <c r="P1133" s="78">
        <v>0</v>
      </c>
      <c r="Q1133" s="78">
        <v>5</v>
      </c>
      <c r="R1133" s="78">
        <v>9</v>
      </c>
      <c r="S1133" s="78">
        <v>1</v>
      </c>
      <c r="T1133" s="78">
        <v>0</v>
      </c>
      <c r="U1133" s="78">
        <v>0</v>
      </c>
      <c r="V1133" s="78">
        <v>0</v>
      </c>
      <c r="W1133" s="78">
        <v>1</v>
      </c>
    </row>
    <row r="1134" spans="1:23" ht="12.75" customHeight="1">
      <c r="A1134" s="11"/>
      <c r="B1134" s="11"/>
    </row>
    <row r="1135" spans="1:23" ht="12.75" customHeight="1">
      <c r="A1135" s="11"/>
      <c r="B1135" s="152" t="s">
        <v>121</v>
      </c>
      <c r="C1135" s="64" t="s">
        <v>385</v>
      </c>
      <c r="H1135" s="246" t="s">
        <v>892</v>
      </c>
      <c r="I1135" s="223"/>
      <c r="J1135" s="223"/>
      <c r="K1135" s="223"/>
      <c r="L1135" s="223"/>
      <c r="M1135" s="223"/>
      <c r="N1135" s="223"/>
      <c r="O1135" s="223"/>
      <c r="P1135" s="223"/>
      <c r="Q1135" s="223"/>
      <c r="R1135" s="223"/>
      <c r="S1135" s="223"/>
      <c r="T1135" s="223"/>
      <c r="U1135" s="223"/>
      <c r="V1135" s="223"/>
      <c r="W1135" s="224"/>
    </row>
    <row r="1136" spans="1:23" ht="12.75" customHeight="1">
      <c r="A1136" s="11"/>
      <c r="B1136" s="11"/>
    </row>
    <row r="1137" spans="1:23" ht="12.75" customHeight="1">
      <c r="A1137" s="11"/>
      <c r="B1137" s="152" t="s">
        <v>124</v>
      </c>
      <c r="C1137" s="64" t="s">
        <v>786</v>
      </c>
      <c r="H1137" s="78">
        <v>0</v>
      </c>
      <c r="I1137" s="78">
        <v>8</v>
      </c>
      <c r="J1137" s="11"/>
      <c r="K1137" s="78">
        <v>1</v>
      </c>
      <c r="L1137" s="78">
        <v>2</v>
      </c>
      <c r="M1137" s="11"/>
      <c r="N1137" s="78">
        <v>2</v>
      </c>
      <c r="O1137" s="78">
        <v>0</v>
      </c>
      <c r="P1137" s="78">
        <v>2</v>
      </c>
      <c r="Q1137" s="78">
        <v>3</v>
      </c>
      <c r="R1137" s="11"/>
    </row>
    <row r="1138" spans="1:23" ht="12.75" customHeight="1">
      <c r="A1138" s="11"/>
      <c r="B1138" s="11"/>
    </row>
    <row r="1139" spans="1:23" ht="12.75" customHeight="1">
      <c r="A1139" s="11"/>
      <c r="B1139" s="152" t="s">
        <v>127</v>
      </c>
      <c r="C1139" s="64" t="s">
        <v>345</v>
      </c>
      <c r="F1139" s="91"/>
      <c r="H1139" s="246" t="s">
        <v>897</v>
      </c>
      <c r="I1139" s="223"/>
      <c r="J1139" s="223"/>
      <c r="K1139" s="223"/>
      <c r="L1139" s="223"/>
      <c r="M1139" s="223"/>
      <c r="N1139" s="224"/>
      <c r="P1139" s="64" t="s">
        <v>675</v>
      </c>
      <c r="Q1139" s="78">
        <v>0</v>
      </c>
      <c r="R1139" s="78">
        <v>1</v>
      </c>
      <c r="S1139" s="78">
        <v>1</v>
      </c>
      <c r="T1139" s="11" t="s">
        <v>676</v>
      </c>
      <c r="U1139" s="78">
        <v>0</v>
      </c>
      <c r="V1139" s="78">
        <v>0</v>
      </c>
      <c r="W1139" s="78">
        <v>7</v>
      </c>
    </row>
    <row r="1140" spans="1:23" ht="12.75" customHeight="1">
      <c r="A1140" s="11"/>
      <c r="B1140" s="11"/>
    </row>
    <row r="1141" spans="1:23" ht="12.75" customHeight="1">
      <c r="A1141" s="11"/>
      <c r="B1141" s="11"/>
      <c r="F1141" s="91"/>
      <c r="H1141" s="64" t="s">
        <v>779</v>
      </c>
      <c r="L1141" s="246"/>
      <c r="M1141" s="223"/>
      <c r="N1141" s="223"/>
      <c r="O1141" s="223"/>
      <c r="P1141" s="223"/>
      <c r="Q1141" s="223"/>
      <c r="R1141" s="223"/>
      <c r="S1141" s="223"/>
      <c r="T1141" s="223"/>
      <c r="U1141" s="223"/>
      <c r="V1141" s="223"/>
      <c r="W1141" s="224"/>
    </row>
    <row r="1142" spans="1:23" ht="12.75" customHeight="1">
      <c r="A1142" s="11"/>
      <c r="B1142" s="11"/>
    </row>
    <row r="1143" spans="1:23" ht="12.75" customHeight="1">
      <c r="A1143" s="11"/>
      <c r="B1143" s="11"/>
      <c r="C1143" s="64" t="s">
        <v>414</v>
      </c>
      <c r="H1143" s="246" t="s">
        <v>102</v>
      </c>
      <c r="I1143" s="223"/>
      <c r="J1143" s="223"/>
      <c r="K1143" s="223"/>
      <c r="L1143" s="223"/>
      <c r="M1143" s="224"/>
      <c r="O1143" s="64" t="s">
        <v>562</v>
      </c>
      <c r="R1143" s="246" t="s">
        <v>106</v>
      </c>
      <c r="S1143" s="223"/>
      <c r="T1143" s="223"/>
      <c r="U1143" s="223"/>
      <c r="V1143" s="223"/>
      <c r="W1143" s="224"/>
    </row>
    <row r="1144" spans="1:23" ht="12.75" customHeight="1">
      <c r="A1144" s="11"/>
      <c r="B1144" s="11"/>
      <c r="H1144" s="77"/>
      <c r="I1144" s="77"/>
      <c r="J1144" s="77"/>
      <c r="K1144" s="77"/>
      <c r="L1144" s="77"/>
      <c r="M1144" s="77"/>
      <c r="R1144" s="77"/>
      <c r="S1144" s="77"/>
      <c r="T1144" s="77"/>
      <c r="U1144" s="77"/>
      <c r="V1144" s="77"/>
      <c r="W1144" s="77"/>
    </row>
    <row r="1145" spans="1:23" ht="12.75" customHeight="1">
      <c r="A1145" s="11"/>
      <c r="B1145" s="11"/>
      <c r="C1145" s="64" t="s">
        <v>563</v>
      </c>
      <c r="H1145" s="246" t="s">
        <v>104</v>
      </c>
      <c r="I1145" s="223"/>
      <c r="J1145" s="223"/>
      <c r="K1145" s="223"/>
      <c r="L1145" s="223"/>
      <c r="M1145" s="224"/>
      <c r="O1145" s="64" t="s">
        <v>417</v>
      </c>
      <c r="R1145" s="246" t="s">
        <v>418</v>
      </c>
      <c r="S1145" s="223"/>
      <c r="T1145" s="223"/>
      <c r="U1145" s="223"/>
      <c r="V1145" s="223"/>
      <c r="W1145" s="224"/>
    </row>
    <row r="1146" spans="1:23" ht="12.75" customHeight="1">
      <c r="A1146" s="11"/>
      <c r="B1146" s="11"/>
      <c r="H1146" s="77"/>
      <c r="I1146" s="77"/>
      <c r="J1146" s="77"/>
      <c r="K1146" s="77"/>
      <c r="L1146" s="77"/>
      <c r="M1146" s="77"/>
      <c r="R1146" s="77"/>
      <c r="S1146" s="77"/>
      <c r="T1146" s="77"/>
      <c r="U1146" s="77"/>
      <c r="V1146" s="77"/>
      <c r="W1146" s="77"/>
    </row>
    <row r="1147" spans="1:23" ht="12.75" customHeight="1">
      <c r="A1147" s="11"/>
      <c r="B1147" s="152" t="s">
        <v>130</v>
      </c>
      <c r="C1147" s="64" t="s">
        <v>790</v>
      </c>
    </row>
    <row r="1148" spans="1:23" ht="12.75" customHeight="1"/>
    <row r="1149" spans="1:23" ht="12.75" customHeight="1">
      <c r="B1149" s="104" t="s">
        <v>684</v>
      </c>
      <c r="C1149" s="275" t="s">
        <v>340</v>
      </c>
      <c r="D1149" s="223"/>
      <c r="E1149" s="223"/>
      <c r="F1149" s="223"/>
      <c r="G1149" s="223"/>
      <c r="H1149" s="223"/>
      <c r="I1149" s="223"/>
      <c r="J1149" s="223"/>
      <c r="K1149" s="224"/>
      <c r="L1149" s="275" t="s">
        <v>791</v>
      </c>
      <c r="M1149" s="223"/>
      <c r="N1149" s="223"/>
      <c r="O1149" s="223"/>
      <c r="P1149" s="223"/>
      <c r="Q1149" s="224"/>
      <c r="R1149" s="286" t="s">
        <v>792</v>
      </c>
      <c r="S1149" s="223"/>
      <c r="T1149" s="224"/>
      <c r="U1149" s="275" t="s">
        <v>793</v>
      </c>
      <c r="V1149" s="223"/>
      <c r="W1149" s="224"/>
    </row>
    <row r="1150" spans="1:23" ht="12.75" customHeight="1">
      <c r="B1150" s="78">
        <v>1</v>
      </c>
      <c r="C1150" s="288" t="s">
        <v>898</v>
      </c>
      <c r="D1150" s="223"/>
      <c r="E1150" s="223"/>
      <c r="F1150" s="223"/>
      <c r="G1150" s="223"/>
      <c r="H1150" s="223"/>
      <c r="I1150" s="223"/>
      <c r="J1150" s="223"/>
      <c r="K1150" s="224"/>
      <c r="L1150" s="246" t="s">
        <v>892</v>
      </c>
      <c r="M1150" s="223"/>
      <c r="N1150" s="223"/>
      <c r="O1150" s="223"/>
      <c r="P1150" s="223"/>
      <c r="Q1150" s="224"/>
      <c r="R1150" s="287">
        <v>33365</v>
      </c>
      <c r="S1150" s="223"/>
      <c r="T1150" s="224"/>
      <c r="U1150" s="252" t="s">
        <v>814</v>
      </c>
      <c r="V1150" s="223"/>
      <c r="W1150" s="224"/>
    </row>
    <row r="1151" spans="1:23" ht="12.75" customHeight="1">
      <c r="B1151" s="78">
        <v>2</v>
      </c>
      <c r="C1151" s="288" t="s">
        <v>899</v>
      </c>
      <c r="D1151" s="223"/>
      <c r="E1151" s="223"/>
      <c r="F1151" s="223"/>
      <c r="G1151" s="223"/>
      <c r="H1151" s="223"/>
      <c r="I1151" s="223"/>
      <c r="J1151" s="223"/>
      <c r="K1151" s="224"/>
      <c r="L1151" s="246" t="s">
        <v>900</v>
      </c>
      <c r="M1151" s="223"/>
      <c r="N1151" s="223"/>
      <c r="O1151" s="223"/>
      <c r="P1151" s="223"/>
      <c r="Q1151" s="224"/>
      <c r="R1151" s="287">
        <v>34009</v>
      </c>
      <c r="S1151" s="223"/>
      <c r="T1151" s="224"/>
      <c r="U1151" s="252" t="s">
        <v>901</v>
      </c>
      <c r="V1151" s="223"/>
      <c r="W1151" s="224"/>
    </row>
    <row r="1152" spans="1:23" ht="12.75" customHeight="1">
      <c r="B1152" s="78">
        <v>3</v>
      </c>
      <c r="C1152" s="288" t="s">
        <v>902</v>
      </c>
      <c r="D1152" s="223"/>
      <c r="E1152" s="223"/>
      <c r="F1152" s="223"/>
      <c r="G1152" s="223"/>
      <c r="H1152" s="223"/>
      <c r="I1152" s="223"/>
      <c r="J1152" s="223"/>
      <c r="K1152" s="224"/>
      <c r="L1152" s="246" t="s">
        <v>903</v>
      </c>
      <c r="M1152" s="223"/>
      <c r="N1152" s="223"/>
      <c r="O1152" s="223"/>
      <c r="P1152" s="223"/>
      <c r="Q1152" s="224"/>
      <c r="R1152" s="287">
        <v>41763</v>
      </c>
      <c r="S1152" s="223"/>
      <c r="T1152" s="224"/>
      <c r="U1152" s="252" t="s">
        <v>795</v>
      </c>
      <c r="V1152" s="223"/>
      <c r="W1152" s="224"/>
    </row>
    <row r="1153" spans="2:23" ht="12.75" customHeight="1">
      <c r="B1153" s="78">
        <v>4</v>
      </c>
      <c r="C1153" s="288" t="s">
        <v>904</v>
      </c>
      <c r="D1153" s="223"/>
      <c r="E1153" s="223"/>
      <c r="F1153" s="223"/>
      <c r="G1153" s="223"/>
      <c r="H1153" s="223"/>
      <c r="I1153" s="223"/>
      <c r="J1153" s="223"/>
      <c r="K1153" s="224"/>
      <c r="L1153" s="246" t="s">
        <v>905</v>
      </c>
      <c r="M1153" s="223"/>
      <c r="N1153" s="223"/>
      <c r="O1153" s="223"/>
      <c r="P1153" s="223"/>
      <c r="Q1153" s="224"/>
      <c r="R1153" s="287">
        <v>43546</v>
      </c>
      <c r="S1153" s="223"/>
      <c r="T1153" s="224"/>
      <c r="U1153" s="252" t="s">
        <v>795</v>
      </c>
      <c r="V1153" s="223"/>
      <c r="W1153" s="224"/>
    </row>
    <row r="1154" spans="2:23" ht="12.75" customHeight="1">
      <c r="B1154" s="78">
        <v>5</v>
      </c>
      <c r="C1154" s="246"/>
      <c r="D1154" s="223"/>
      <c r="E1154" s="223"/>
      <c r="F1154" s="223"/>
      <c r="G1154" s="223"/>
      <c r="H1154" s="223"/>
      <c r="I1154" s="223"/>
      <c r="J1154" s="223"/>
      <c r="K1154" s="224"/>
      <c r="L1154" s="246"/>
      <c r="M1154" s="223"/>
      <c r="N1154" s="223"/>
      <c r="O1154" s="223"/>
      <c r="P1154" s="223"/>
      <c r="Q1154" s="224"/>
      <c r="R1154" s="287"/>
      <c r="S1154" s="223"/>
      <c r="T1154" s="224"/>
      <c r="U1154" s="252"/>
      <c r="V1154" s="223"/>
      <c r="W1154" s="224"/>
    </row>
    <row r="1155" spans="2:23" ht="12.75" customHeight="1">
      <c r="B1155" s="78">
        <v>6</v>
      </c>
      <c r="C1155" s="246"/>
      <c r="D1155" s="223"/>
      <c r="E1155" s="223"/>
      <c r="F1155" s="223"/>
      <c r="G1155" s="223"/>
      <c r="H1155" s="223"/>
      <c r="I1155" s="223"/>
      <c r="J1155" s="223"/>
      <c r="K1155" s="224"/>
      <c r="L1155" s="252"/>
      <c r="M1155" s="223"/>
      <c r="N1155" s="223"/>
      <c r="O1155" s="223"/>
      <c r="P1155" s="223"/>
      <c r="Q1155" s="224"/>
      <c r="R1155" s="252"/>
      <c r="S1155" s="223"/>
      <c r="T1155" s="224"/>
      <c r="U1155" s="252"/>
      <c r="V1155" s="223"/>
      <c r="W1155" s="224"/>
    </row>
    <row r="1156" spans="2:23" ht="12.75" customHeight="1">
      <c r="B1156" s="78">
        <v>7</v>
      </c>
      <c r="C1156" s="252"/>
      <c r="D1156" s="223"/>
      <c r="E1156" s="223"/>
      <c r="F1156" s="223"/>
      <c r="G1156" s="223"/>
      <c r="H1156" s="223"/>
      <c r="I1156" s="223"/>
      <c r="J1156" s="223"/>
      <c r="K1156" s="224"/>
      <c r="L1156" s="252"/>
      <c r="M1156" s="223"/>
      <c r="N1156" s="223"/>
      <c r="O1156" s="223"/>
      <c r="P1156" s="223"/>
      <c r="Q1156" s="224"/>
      <c r="R1156" s="252"/>
      <c r="S1156" s="223"/>
      <c r="T1156" s="224"/>
      <c r="U1156" s="252"/>
      <c r="V1156" s="223"/>
      <c r="W1156" s="224"/>
    </row>
    <row r="1157" spans="2:23" ht="12.75" customHeight="1"/>
    <row r="1158" spans="2:23" ht="12.75" customHeight="1"/>
    <row r="1159" spans="2:23" ht="12.75" customHeight="1">
      <c r="J1159" s="225" t="s">
        <v>480</v>
      </c>
      <c r="K1159" s="194"/>
      <c r="L1159" s="194"/>
      <c r="M1159" s="194"/>
      <c r="N1159" s="194"/>
      <c r="O1159" s="194"/>
      <c r="R1159" s="3" t="s">
        <v>906</v>
      </c>
    </row>
    <row r="1160" spans="2:23" ht="12.75" customHeight="1">
      <c r="D1160" s="64" t="s">
        <v>797</v>
      </c>
      <c r="J1160" s="225" t="s">
        <v>808</v>
      </c>
      <c r="K1160" s="194"/>
      <c r="L1160" s="194"/>
      <c r="M1160" s="194"/>
      <c r="N1160" s="194"/>
      <c r="O1160" s="194"/>
      <c r="S1160" s="64" t="s">
        <v>799</v>
      </c>
    </row>
    <row r="1161" spans="2:23" ht="12.75" customHeight="1">
      <c r="J1161" s="225" t="s">
        <v>365</v>
      </c>
      <c r="K1161" s="194"/>
      <c r="L1161" s="194"/>
      <c r="M1161" s="194"/>
      <c r="N1161" s="194"/>
      <c r="O1161" s="194"/>
    </row>
    <row r="1162" spans="2:23" ht="12.75" customHeight="1"/>
    <row r="1163" spans="2:23" ht="12.75" customHeight="1"/>
    <row r="1164" spans="2:23" ht="12.75" customHeight="1"/>
    <row r="1165" spans="2:23" ht="12.75" customHeight="1">
      <c r="D1165" s="3" t="s">
        <v>27</v>
      </c>
      <c r="K1165" s="225" t="s">
        <v>366</v>
      </c>
      <c r="L1165" s="194"/>
      <c r="M1165" s="194"/>
      <c r="N1165" s="194"/>
      <c r="Q1165" s="225" t="s">
        <v>892</v>
      </c>
      <c r="R1165" s="194"/>
      <c r="S1165" s="194"/>
      <c r="T1165" s="194"/>
      <c r="U1165" s="194"/>
      <c r="V1165" s="194"/>
    </row>
    <row r="1166" spans="2:23" ht="12.75" customHeight="1"/>
    <row r="1167" spans="2:23" ht="12.75" customHeight="1"/>
    <row r="1168" spans="2:23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spans="2:23" ht="12.75" customHeight="1"/>
    <row r="1186" spans="2:23" ht="12.75" customHeight="1"/>
    <row r="1187" spans="2:23" ht="12.75" customHeight="1"/>
    <row r="1188" spans="2:23" ht="12.75" customHeight="1"/>
    <row r="1189" spans="2:23" ht="12.75" customHeight="1"/>
    <row r="1190" spans="2:23" ht="12.75" customHeight="1"/>
    <row r="1191" spans="2:23" ht="12.75" customHeight="1"/>
    <row r="1192" spans="2:23" ht="12.75" customHeight="1"/>
    <row r="1193" spans="2:23" ht="12.75" customHeight="1"/>
    <row r="1194" spans="2:23" ht="12.75" customHeight="1"/>
    <row r="1195" spans="2:23" ht="12.75" customHeight="1"/>
    <row r="1196" spans="2:23" ht="12.75" customHeight="1"/>
    <row r="1197" spans="2:23" ht="12.75" customHeight="1">
      <c r="T1197" s="252" t="s">
        <v>800</v>
      </c>
      <c r="U1197" s="223"/>
      <c r="V1197" s="224"/>
    </row>
    <row r="1198" spans="2:23" ht="12.75" customHeight="1">
      <c r="B1198" s="151"/>
      <c r="C1198" s="151"/>
      <c r="D1198" s="151"/>
      <c r="E1198" s="151"/>
      <c r="F1198" s="151"/>
      <c r="G1198" s="151"/>
      <c r="H1198" s="151"/>
      <c r="I1198" s="151"/>
      <c r="J1198" s="151"/>
      <c r="K1198" s="151"/>
      <c r="L1198" s="151"/>
      <c r="M1198" s="151"/>
      <c r="N1198" s="151"/>
      <c r="O1198" s="151"/>
      <c r="P1198" s="151"/>
      <c r="Q1198" s="151"/>
      <c r="R1198" s="151"/>
      <c r="S1198" s="151"/>
      <c r="T1198" s="151"/>
      <c r="U1198" s="151"/>
      <c r="V1198" s="151"/>
      <c r="W1198" s="151"/>
    </row>
    <row r="1199" spans="2:23" ht="12.75" customHeight="1"/>
    <row r="1200" spans="2:23" ht="12.75" customHeight="1">
      <c r="B1200" s="64" t="s">
        <v>770</v>
      </c>
      <c r="G1200" s="11" t="s">
        <v>10</v>
      </c>
      <c r="H1200" s="78">
        <v>3</v>
      </c>
      <c r="I1200" s="78">
        <v>3</v>
      </c>
      <c r="J1200" s="11"/>
      <c r="M1200" s="246" t="s">
        <v>418</v>
      </c>
      <c r="N1200" s="223"/>
      <c r="O1200" s="223"/>
      <c r="P1200" s="223"/>
      <c r="Q1200" s="223"/>
      <c r="R1200" s="223"/>
      <c r="S1200" s="223"/>
      <c r="T1200" s="223"/>
      <c r="U1200" s="223"/>
      <c r="V1200" s="223"/>
      <c r="W1200" s="224"/>
    </row>
    <row r="1201" spans="1:23" ht="12.75" customHeight="1">
      <c r="G1201" s="11"/>
      <c r="H1201" s="11"/>
      <c r="I1201" s="11"/>
      <c r="J1201" s="11"/>
      <c r="M1201" s="77"/>
      <c r="N1201" s="77"/>
      <c r="O1201" s="77"/>
      <c r="P1201" s="77"/>
      <c r="Q1201" s="77"/>
      <c r="R1201" s="77"/>
      <c r="S1201" s="77"/>
      <c r="T1201" s="77"/>
      <c r="U1201" s="77"/>
      <c r="V1201" s="77"/>
      <c r="W1201" s="77"/>
    </row>
    <row r="1202" spans="1:23" ht="12.75" customHeight="1">
      <c r="B1202" s="64" t="s">
        <v>105</v>
      </c>
      <c r="G1202" s="11" t="s">
        <v>10</v>
      </c>
      <c r="H1202" s="78">
        <v>2</v>
      </c>
      <c r="I1202" s="78">
        <v>7</v>
      </c>
      <c r="J1202" s="11"/>
      <c r="M1202" s="246" t="s">
        <v>106</v>
      </c>
      <c r="N1202" s="223"/>
      <c r="O1202" s="223"/>
      <c r="P1202" s="223"/>
      <c r="Q1202" s="223"/>
      <c r="R1202" s="223"/>
      <c r="S1202" s="223"/>
      <c r="T1202" s="223"/>
      <c r="U1202" s="223"/>
      <c r="V1202" s="223"/>
      <c r="W1202" s="224"/>
    </row>
    <row r="1203" spans="1:23" ht="12.75" customHeight="1">
      <c r="G1203" s="11"/>
      <c r="H1203" s="11"/>
      <c r="I1203" s="11"/>
      <c r="J1203" s="11"/>
      <c r="M1203" s="77"/>
      <c r="N1203" s="77"/>
      <c r="O1203" s="77"/>
      <c r="P1203" s="77"/>
      <c r="Q1203" s="77"/>
      <c r="R1203" s="77"/>
      <c r="S1203" s="77"/>
      <c r="T1203" s="77"/>
      <c r="U1203" s="77"/>
      <c r="V1203" s="77"/>
      <c r="W1203" s="77"/>
    </row>
    <row r="1204" spans="1:23" ht="12.75" customHeight="1">
      <c r="B1204" s="64" t="s">
        <v>103</v>
      </c>
      <c r="G1204" s="11" t="s">
        <v>10</v>
      </c>
      <c r="H1204" s="78">
        <v>4</v>
      </c>
      <c r="I1204" s="78">
        <v>0</v>
      </c>
      <c r="J1204" s="11"/>
      <c r="M1204" s="246" t="s">
        <v>104</v>
      </c>
      <c r="N1204" s="223"/>
      <c r="O1204" s="223"/>
      <c r="P1204" s="223"/>
      <c r="Q1204" s="223"/>
      <c r="R1204" s="223"/>
      <c r="S1204" s="223"/>
      <c r="T1204" s="223"/>
      <c r="U1204" s="223"/>
      <c r="V1204" s="223"/>
      <c r="W1204" s="224"/>
    </row>
    <row r="1205" spans="1:23" ht="12.75" customHeight="1">
      <c r="G1205" s="11"/>
      <c r="H1205" s="11"/>
      <c r="I1205" s="11"/>
      <c r="J1205" s="11"/>
      <c r="M1205" s="77"/>
      <c r="N1205" s="77"/>
      <c r="O1205" s="77"/>
      <c r="P1205" s="77"/>
      <c r="Q1205" s="77"/>
      <c r="R1205" s="77"/>
      <c r="S1205" s="77"/>
      <c r="T1205" s="77"/>
      <c r="U1205" s="77"/>
      <c r="V1205" s="77"/>
      <c r="W1205" s="77"/>
    </row>
    <row r="1206" spans="1:23" ht="12.75" customHeight="1">
      <c r="B1206" s="64" t="s">
        <v>771</v>
      </c>
      <c r="G1206" s="11" t="s">
        <v>10</v>
      </c>
      <c r="H1206" s="78">
        <v>0</v>
      </c>
      <c r="I1206" s="78">
        <v>1</v>
      </c>
      <c r="J1206" s="78">
        <v>1</v>
      </c>
      <c r="K1206" s="91"/>
      <c r="M1206" s="246" t="s">
        <v>102</v>
      </c>
      <c r="N1206" s="223"/>
      <c r="O1206" s="223"/>
      <c r="P1206" s="223"/>
      <c r="Q1206" s="223"/>
      <c r="R1206" s="223"/>
      <c r="S1206" s="223"/>
      <c r="T1206" s="223"/>
      <c r="U1206" s="223"/>
      <c r="V1206" s="223"/>
      <c r="W1206" s="224"/>
    </row>
    <row r="1207" spans="1:23" ht="12.75" customHeight="1">
      <c r="G1207" s="11"/>
    </row>
    <row r="1208" spans="1:23" ht="12.75" customHeight="1">
      <c r="B1208" s="64" t="s">
        <v>772</v>
      </c>
      <c r="G1208" s="11" t="s">
        <v>10</v>
      </c>
      <c r="H1208" s="246" t="s">
        <v>773</v>
      </c>
      <c r="I1208" s="223"/>
      <c r="J1208" s="223"/>
      <c r="K1208" s="223"/>
      <c r="L1208" s="223"/>
      <c r="M1208" s="223"/>
      <c r="N1208" s="223"/>
      <c r="O1208" s="223"/>
      <c r="P1208" s="223"/>
      <c r="Q1208" s="223"/>
      <c r="R1208" s="223"/>
      <c r="S1208" s="223"/>
      <c r="T1208" s="223"/>
      <c r="U1208" s="223"/>
      <c r="V1208" s="223"/>
      <c r="W1208" s="224"/>
    </row>
    <row r="1209" spans="1:23" ht="12.75" customHeight="1"/>
    <row r="1210" spans="1:23" ht="12.75" customHeight="1">
      <c r="B1210" s="196" t="s">
        <v>774</v>
      </c>
      <c r="C1210" s="194"/>
      <c r="D1210" s="194"/>
      <c r="E1210" s="194"/>
      <c r="F1210" s="194"/>
      <c r="G1210" s="194"/>
      <c r="H1210" s="194"/>
      <c r="I1210" s="194"/>
      <c r="J1210" s="194"/>
      <c r="K1210" s="194"/>
      <c r="L1210" s="194"/>
      <c r="M1210" s="194"/>
      <c r="N1210" s="194"/>
      <c r="O1210" s="194"/>
      <c r="P1210" s="194"/>
      <c r="Q1210" s="194"/>
      <c r="R1210" s="194"/>
      <c r="S1210" s="194"/>
      <c r="T1210" s="194"/>
      <c r="U1210" s="194"/>
      <c r="V1210" s="194"/>
      <c r="W1210" s="194"/>
    </row>
    <row r="1211" spans="1:23" ht="12.75" customHeight="1">
      <c r="B1211" s="225" t="s">
        <v>853</v>
      </c>
      <c r="C1211" s="194"/>
      <c r="D1211" s="194"/>
      <c r="E1211" s="194"/>
      <c r="F1211" s="194"/>
      <c r="G1211" s="194"/>
      <c r="H1211" s="194"/>
      <c r="I1211" s="194"/>
      <c r="J1211" s="194"/>
      <c r="K1211" s="194"/>
      <c r="L1211" s="194"/>
      <c r="M1211" s="194"/>
      <c r="N1211" s="194"/>
      <c r="O1211" s="194"/>
      <c r="P1211" s="194"/>
      <c r="Q1211" s="194"/>
      <c r="R1211" s="194"/>
      <c r="S1211" s="194"/>
      <c r="T1211" s="194"/>
      <c r="U1211" s="194"/>
      <c r="V1211" s="194"/>
      <c r="W1211" s="194"/>
    </row>
    <row r="1212" spans="1:23" ht="12.75" customHeight="1">
      <c r="B1212" s="225" t="s">
        <v>907</v>
      </c>
      <c r="C1212" s="194"/>
      <c r="D1212" s="194"/>
      <c r="E1212" s="194"/>
      <c r="F1212" s="194"/>
      <c r="G1212" s="194"/>
      <c r="H1212" s="194"/>
      <c r="I1212" s="194"/>
      <c r="J1212" s="194"/>
      <c r="K1212" s="194"/>
      <c r="L1212" s="194"/>
      <c r="M1212" s="194"/>
      <c r="N1212" s="194"/>
      <c r="O1212" s="194"/>
      <c r="P1212" s="194"/>
      <c r="Q1212" s="194"/>
      <c r="R1212" s="194"/>
      <c r="S1212" s="194"/>
      <c r="T1212" s="194"/>
      <c r="U1212" s="194"/>
      <c r="V1212" s="194"/>
      <c r="W1212" s="194"/>
    </row>
    <row r="1213" spans="1:23" ht="12.75" customHeight="1">
      <c r="A1213" s="11"/>
      <c r="B1213" s="38" t="s">
        <v>777</v>
      </c>
    </row>
    <row r="1214" spans="1:23" ht="12.75" customHeight="1"/>
    <row r="1215" spans="1:23" ht="12.75" customHeight="1">
      <c r="B1215" s="152" t="s">
        <v>111</v>
      </c>
      <c r="C1215" s="64" t="s">
        <v>387</v>
      </c>
      <c r="H1215" s="78">
        <v>3</v>
      </c>
      <c r="I1215" s="78">
        <v>3</v>
      </c>
      <c r="J1215" s="78">
        <v>2</v>
      </c>
      <c r="K1215" s="78">
        <v>7</v>
      </c>
      <c r="L1215" s="78">
        <v>0</v>
      </c>
      <c r="M1215" s="78">
        <v>4</v>
      </c>
      <c r="N1215" s="78">
        <v>1</v>
      </c>
      <c r="O1215" s="78">
        <v>1</v>
      </c>
      <c r="P1215" s="78">
        <v>0</v>
      </c>
      <c r="Q1215" s="78">
        <v>8</v>
      </c>
      <c r="R1215" s="78">
        <v>0</v>
      </c>
      <c r="S1215" s="78">
        <v>8</v>
      </c>
      <c r="T1215" s="78">
        <v>0</v>
      </c>
      <c r="U1215" s="78">
        <v>0</v>
      </c>
      <c r="V1215" s="78">
        <v>0</v>
      </c>
      <c r="W1215" s="78">
        <v>5</v>
      </c>
    </row>
    <row r="1216" spans="1:23" ht="12.75" customHeight="1">
      <c r="B1216" s="11"/>
    </row>
    <row r="1217" spans="2:23" ht="12.75" customHeight="1">
      <c r="B1217" s="152" t="s">
        <v>115</v>
      </c>
      <c r="C1217" s="64" t="s">
        <v>385</v>
      </c>
      <c r="H1217" s="246" t="s">
        <v>908</v>
      </c>
      <c r="I1217" s="223"/>
      <c r="J1217" s="223"/>
      <c r="K1217" s="223"/>
      <c r="L1217" s="223"/>
      <c r="M1217" s="223"/>
      <c r="N1217" s="223"/>
      <c r="O1217" s="223"/>
      <c r="P1217" s="223"/>
      <c r="Q1217" s="223"/>
      <c r="R1217" s="223"/>
      <c r="S1217" s="223"/>
      <c r="T1217" s="223"/>
      <c r="U1217" s="223"/>
      <c r="V1217" s="223"/>
      <c r="W1217" s="224"/>
    </row>
    <row r="1218" spans="2:23" ht="12.75" customHeight="1">
      <c r="B1218" s="11"/>
    </row>
    <row r="1219" spans="2:23" ht="12.75" customHeight="1">
      <c r="B1219" s="152" t="s">
        <v>118</v>
      </c>
      <c r="C1219" s="64" t="s">
        <v>345</v>
      </c>
      <c r="H1219" s="246" t="s">
        <v>102</v>
      </c>
      <c r="I1219" s="223"/>
      <c r="J1219" s="223"/>
      <c r="K1219" s="223"/>
      <c r="L1219" s="223"/>
      <c r="M1219" s="223"/>
      <c r="N1219" s="223"/>
      <c r="O1219" s="224"/>
      <c r="P1219" s="64" t="s">
        <v>675</v>
      </c>
      <c r="Q1219" s="78">
        <v>0</v>
      </c>
      <c r="R1219" s="78">
        <v>0</v>
      </c>
      <c r="S1219" s="78">
        <v>7</v>
      </c>
      <c r="T1219" s="11" t="s">
        <v>676</v>
      </c>
      <c r="U1219" s="78">
        <v>0</v>
      </c>
      <c r="V1219" s="78">
        <v>0</v>
      </c>
      <c r="W1219" s="78">
        <v>2</v>
      </c>
    </row>
    <row r="1220" spans="2:23" ht="12.75" customHeight="1">
      <c r="B1220" s="11"/>
    </row>
    <row r="1221" spans="2:23" ht="12.75" customHeight="1">
      <c r="B1221" s="11"/>
      <c r="H1221" s="64" t="s">
        <v>779</v>
      </c>
      <c r="L1221" s="246" t="s">
        <v>909</v>
      </c>
      <c r="M1221" s="223"/>
      <c r="N1221" s="223"/>
      <c r="O1221" s="223"/>
      <c r="P1221" s="223"/>
      <c r="Q1221" s="223"/>
      <c r="R1221" s="223"/>
      <c r="S1221" s="223"/>
      <c r="T1221" s="223"/>
      <c r="U1221" s="223"/>
      <c r="V1221" s="223"/>
      <c r="W1221" s="224"/>
    </row>
    <row r="1222" spans="2:23" ht="12.75" customHeight="1">
      <c r="B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</row>
    <row r="1223" spans="2:23" ht="12.75" customHeight="1">
      <c r="B1223" s="11"/>
      <c r="C1223" s="64" t="s">
        <v>414</v>
      </c>
      <c r="H1223" s="246" t="s">
        <v>102</v>
      </c>
      <c r="I1223" s="223"/>
      <c r="J1223" s="223"/>
      <c r="K1223" s="223"/>
      <c r="L1223" s="223"/>
      <c r="M1223" s="224"/>
      <c r="O1223" s="64" t="s">
        <v>562</v>
      </c>
      <c r="R1223" s="246" t="s">
        <v>106</v>
      </c>
      <c r="S1223" s="223"/>
      <c r="T1223" s="223"/>
      <c r="U1223" s="223"/>
      <c r="V1223" s="223"/>
      <c r="W1223" s="224"/>
    </row>
    <row r="1224" spans="2:23" ht="12.75" customHeight="1">
      <c r="B1224" s="11"/>
      <c r="H1224" s="77"/>
      <c r="I1224" s="77"/>
      <c r="J1224" s="77"/>
      <c r="K1224" s="77"/>
      <c r="L1224" s="77"/>
      <c r="M1224" s="77"/>
      <c r="R1224" s="77"/>
      <c r="S1224" s="77"/>
      <c r="T1224" s="77"/>
      <c r="U1224" s="77"/>
      <c r="V1224" s="77"/>
      <c r="W1224" s="77"/>
    </row>
    <row r="1225" spans="2:23" ht="12.75" customHeight="1">
      <c r="B1225" s="11"/>
      <c r="C1225" s="64" t="s">
        <v>416</v>
      </c>
      <c r="H1225" s="246" t="s">
        <v>104</v>
      </c>
      <c r="I1225" s="223"/>
      <c r="J1225" s="223"/>
      <c r="K1225" s="223"/>
      <c r="L1225" s="223"/>
      <c r="M1225" s="224"/>
      <c r="O1225" s="64" t="s">
        <v>417</v>
      </c>
      <c r="R1225" s="246" t="s">
        <v>418</v>
      </c>
      <c r="S1225" s="223"/>
      <c r="T1225" s="223"/>
      <c r="U1225" s="223"/>
      <c r="V1225" s="223"/>
      <c r="W1225" s="224"/>
    </row>
    <row r="1226" spans="2:23" ht="12.75" customHeight="1">
      <c r="B1226" s="11"/>
      <c r="H1226" s="77"/>
      <c r="I1226" s="77"/>
      <c r="J1226" s="77"/>
      <c r="K1226" s="77"/>
      <c r="L1226" s="77"/>
      <c r="M1226" s="77"/>
      <c r="R1226" s="11"/>
      <c r="S1226" s="11"/>
      <c r="T1226" s="11"/>
      <c r="U1226" s="11"/>
      <c r="V1226" s="11"/>
      <c r="W1226" s="11"/>
    </row>
    <row r="1227" spans="2:23" ht="12.75" customHeight="1">
      <c r="B1227" s="11"/>
      <c r="H1227" s="11" t="s">
        <v>674</v>
      </c>
      <c r="I1227" s="11"/>
      <c r="J1227" s="78">
        <v>5</v>
      </c>
      <c r="K1227" s="78">
        <v>2</v>
      </c>
      <c r="L1227" s="78">
        <v>3</v>
      </c>
      <c r="M1227" s="78">
        <v>5</v>
      </c>
      <c r="N1227" s="78">
        <v>7</v>
      </c>
      <c r="P1227" s="64" t="s">
        <v>680</v>
      </c>
      <c r="R1227" s="78"/>
      <c r="S1227" s="78"/>
      <c r="T1227" s="78"/>
      <c r="U1227" s="78"/>
      <c r="V1227" s="78"/>
      <c r="W1227" s="78"/>
    </row>
    <row r="1228" spans="2:23" ht="12.75" customHeight="1">
      <c r="B1228" s="11"/>
    </row>
    <row r="1229" spans="2:23" ht="12.75" customHeight="1">
      <c r="B1229" s="152" t="s">
        <v>121</v>
      </c>
      <c r="C1229" s="64" t="s">
        <v>780</v>
      </c>
      <c r="H1229" s="78">
        <v>3</v>
      </c>
      <c r="I1229" s="78">
        <v>3</v>
      </c>
      <c r="J1229" s="78">
        <v>2</v>
      </c>
      <c r="K1229" s="78">
        <v>7</v>
      </c>
      <c r="L1229" s="78">
        <v>0</v>
      </c>
      <c r="M1229" s="78">
        <v>4</v>
      </c>
      <c r="N1229" s="78">
        <v>5</v>
      </c>
      <c r="O1229" s="78">
        <v>8</v>
      </c>
      <c r="P1229" s="78">
        <v>1</v>
      </c>
      <c r="Q1229" s="78">
        <v>1</v>
      </c>
      <c r="R1229" s="78">
        <v>0</v>
      </c>
      <c r="S1229" s="78">
        <v>3</v>
      </c>
      <c r="T1229" s="78">
        <v>0</v>
      </c>
      <c r="U1229" s="78">
        <v>0</v>
      </c>
      <c r="V1229" s="78">
        <v>0</v>
      </c>
      <c r="W1229" s="78">
        <v>3</v>
      </c>
    </row>
    <row r="1230" spans="2:23" ht="12.75" customHeight="1">
      <c r="B1230" s="11"/>
    </row>
    <row r="1231" spans="2:23" ht="12.75" customHeight="1">
      <c r="B1231" s="152" t="s">
        <v>124</v>
      </c>
      <c r="C1231" s="64" t="s">
        <v>391</v>
      </c>
      <c r="H1231" s="246" t="s">
        <v>910</v>
      </c>
      <c r="I1231" s="223"/>
      <c r="J1231" s="223"/>
      <c r="K1231" s="223"/>
      <c r="L1231" s="223"/>
      <c r="M1231" s="223"/>
      <c r="N1231" s="223"/>
      <c r="O1231" s="223"/>
      <c r="P1231" s="223"/>
      <c r="Q1231" s="223"/>
      <c r="R1231" s="223"/>
      <c r="S1231" s="223"/>
      <c r="T1231" s="223"/>
      <c r="U1231" s="223"/>
      <c r="V1231" s="223"/>
      <c r="W1231" s="224"/>
    </row>
    <row r="1232" spans="2:23" ht="12.75" customHeight="1"/>
    <row r="1233" spans="1:23" ht="12.75" customHeight="1"/>
    <row r="1234" spans="1:23" ht="12.75" customHeight="1">
      <c r="B1234" s="38" t="s">
        <v>782</v>
      </c>
    </row>
    <row r="1235" spans="1:23" ht="12.75" customHeight="1"/>
    <row r="1236" spans="1:23" ht="12.75" customHeight="1">
      <c r="A1236" s="11"/>
      <c r="B1236" s="152" t="s">
        <v>111</v>
      </c>
      <c r="C1236" s="64" t="s">
        <v>783</v>
      </c>
      <c r="H1236" s="78">
        <v>2</v>
      </c>
      <c r="I1236" s="64" t="s">
        <v>784</v>
      </c>
    </row>
    <row r="1237" spans="1:23" ht="12.75" customHeight="1">
      <c r="A1237" s="11"/>
      <c r="B1237" s="11"/>
    </row>
    <row r="1238" spans="1:23" ht="12.75" customHeight="1">
      <c r="A1238" s="11"/>
      <c r="B1238" s="152" t="s">
        <v>115</v>
      </c>
      <c r="C1238" s="64" t="s">
        <v>387</v>
      </c>
      <c r="H1238" s="78"/>
      <c r="I1238" s="78"/>
      <c r="J1238" s="78"/>
      <c r="K1238" s="78"/>
      <c r="L1238" s="78"/>
      <c r="M1238" s="78"/>
      <c r="N1238" s="78"/>
      <c r="O1238" s="78"/>
      <c r="P1238" s="78"/>
      <c r="Q1238" s="78"/>
      <c r="R1238" s="78"/>
      <c r="S1238" s="78"/>
      <c r="T1238" s="78"/>
      <c r="U1238" s="78"/>
      <c r="V1238" s="78"/>
      <c r="W1238" s="78"/>
    </row>
    <row r="1239" spans="1:23" ht="12.75" customHeight="1">
      <c r="A1239" s="11"/>
      <c r="B1239" s="11"/>
    </row>
    <row r="1240" spans="1:23" ht="12.75" customHeight="1">
      <c r="A1240" s="11"/>
      <c r="B1240" s="152" t="s">
        <v>118</v>
      </c>
      <c r="C1240" s="64" t="s">
        <v>785</v>
      </c>
      <c r="H1240" s="78">
        <v>3</v>
      </c>
      <c r="I1240" s="78">
        <v>3</v>
      </c>
      <c r="J1240" s="78">
        <v>0</v>
      </c>
      <c r="K1240" s="78">
        <v>3</v>
      </c>
      <c r="L1240" s="78">
        <v>1</v>
      </c>
      <c r="M1240" s="78">
        <v>2</v>
      </c>
      <c r="N1240" s="78">
        <v>2</v>
      </c>
      <c r="O1240" s="78">
        <v>9</v>
      </c>
      <c r="P1240" s="78">
        <v>0</v>
      </c>
      <c r="Q1240" s="78">
        <v>4</v>
      </c>
      <c r="R1240" s="78">
        <v>9</v>
      </c>
      <c r="S1240" s="78">
        <v>4</v>
      </c>
      <c r="T1240" s="78">
        <v>0</v>
      </c>
      <c r="U1240" s="78">
        <v>0</v>
      </c>
      <c r="V1240" s="78">
        <v>0</v>
      </c>
      <c r="W1240" s="78">
        <v>2</v>
      </c>
    </row>
    <row r="1241" spans="1:23" ht="12.75" customHeight="1">
      <c r="A1241" s="11"/>
      <c r="B1241" s="11"/>
    </row>
    <row r="1242" spans="1:23" ht="12.75" customHeight="1">
      <c r="A1242" s="11"/>
      <c r="B1242" s="152" t="s">
        <v>121</v>
      </c>
      <c r="C1242" s="64" t="s">
        <v>385</v>
      </c>
      <c r="H1242" s="246" t="s">
        <v>911</v>
      </c>
      <c r="I1242" s="223"/>
      <c r="J1242" s="223"/>
      <c r="K1242" s="223"/>
      <c r="L1242" s="223"/>
      <c r="M1242" s="223"/>
      <c r="N1242" s="223"/>
      <c r="O1242" s="223"/>
      <c r="P1242" s="223"/>
      <c r="Q1242" s="223"/>
      <c r="R1242" s="223"/>
      <c r="S1242" s="223"/>
      <c r="T1242" s="223"/>
      <c r="U1242" s="223"/>
      <c r="V1242" s="223"/>
      <c r="W1242" s="224"/>
    </row>
    <row r="1243" spans="1:23" ht="12.75" customHeight="1">
      <c r="A1243" s="11"/>
      <c r="B1243" s="11"/>
    </row>
    <row r="1244" spans="1:23" ht="12.75" customHeight="1">
      <c r="A1244" s="11"/>
      <c r="B1244" s="152" t="s">
        <v>124</v>
      </c>
      <c r="C1244" s="64" t="s">
        <v>786</v>
      </c>
      <c r="H1244" s="78"/>
      <c r="I1244" s="78"/>
      <c r="J1244" s="11"/>
      <c r="K1244" s="78"/>
      <c r="L1244" s="78"/>
      <c r="M1244" s="11"/>
      <c r="N1244" s="78"/>
      <c r="O1244" s="78"/>
      <c r="P1244" s="78"/>
      <c r="Q1244" s="78"/>
      <c r="R1244" s="11"/>
    </row>
    <row r="1245" spans="1:23" ht="12.75" customHeight="1">
      <c r="A1245" s="11"/>
      <c r="B1245" s="11"/>
    </row>
    <row r="1246" spans="1:23" ht="12.75" customHeight="1">
      <c r="A1246" s="11"/>
      <c r="B1246" s="152" t="s">
        <v>127</v>
      </c>
      <c r="C1246" s="64" t="s">
        <v>345</v>
      </c>
      <c r="F1246" s="91"/>
      <c r="H1246" s="246" t="s">
        <v>912</v>
      </c>
      <c r="I1246" s="223"/>
      <c r="J1246" s="223"/>
      <c r="K1246" s="223"/>
      <c r="L1246" s="223"/>
      <c r="M1246" s="223"/>
      <c r="N1246" s="224"/>
      <c r="P1246" s="64" t="s">
        <v>675</v>
      </c>
      <c r="Q1246" s="78">
        <v>0</v>
      </c>
      <c r="R1246" s="78">
        <v>0</v>
      </c>
      <c r="S1246" s="78">
        <v>8</v>
      </c>
      <c r="T1246" s="11" t="s">
        <v>676</v>
      </c>
      <c r="U1246" s="78">
        <v>0</v>
      </c>
      <c r="V1246" s="78">
        <v>0</v>
      </c>
      <c r="W1246" s="78">
        <v>3</v>
      </c>
    </row>
    <row r="1247" spans="1:23" ht="12.75" customHeight="1">
      <c r="A1247" s="11"/>
      <c r="B1247" s="11"/>
    </row>
    <row r="1248" spans="1:23" ht="12.75" customHeight="1">
      <c r="A1248" s="11"/>
      <c r="B1248" s="11"/>
      <c r="F1248" s="91"/>
      <c r="H1248" s="64" t="s">
        <v>779</v>
      </c>
      <c r="L1248" s="246" t="s">
        <v>912</v>
      </c>
      <c r="M1248" s="223"/>
      <c r="N1248" s="223"/>
      <c r="O1248" s="223"/>
      <c r="P1248" s="223"/>
      <c r="Q1248" s="223"/>
      <c r="R1248" s="223"/>
      <c r="S1248" s="223"/>
      <c r="T1248" s="223"/>
      <c r="U1248" s="223"/>
      <c r="V1248" s="223"/>
      <c r="W1248" s="224"/>
    </row>
    <row r="1249" spans="1:23" ht="12.75" customHeight="1">
      <c r="A1249" s="11"/>
      <c r="B1249" s="11"/>
    </row>
    <row r="1250" spans="1:23" ht="12.75" customHeight="1">
      <c r="A1250" s="11"/>
      <c r="B1250" s="11"/>
      <c r="C1250" s="64" t="s">
        <v>414</v>
      </c>
      <c r="H1250" s="246" t="s">
        <v>912</v>
      </c>
      <c r="I1250" s="223"/>
      <c r="J1250" s="223"/>
      <c r="K1250" s="223"/>
      <c r="L1250" s="223"/>
      <c r="M1250" s="224"/>
      <c r="O1250" s="64" t="s">
        <v>562</v>
      </c>
      <c r="R1250" s="246" t="s">
        <v>860</v>
      </c>
      <c r="S1250" s="223"/>
      <c r="T1250" s="223"/>
      <c r="U1250" s="223"/>
      <c r="V1250" s="223"/>
      <c r="W1250" s="224"/>
    </row>
    <row r="1251" spans="1:23" ht="12.75" customHeight="1">
      <c r="A1251" s="11"/>
      <c r="B1251" s="11"/>
      <c r="H1251" s="77"/>
      <c r="I1251" s="77"/>
      <c r="J1251" s="77"/>
      <c r="K1251" s="77"/>
      <c r="L1251" s="77"/>
      <c r="M1251" s="77"/>
      <c r="R1251" s="77"/>
      <c r="S1251" s="77"/>
      <c r="T1251" s="77"/>
      <c r="U1251" s="77"/>
      <c r="V1251" s="77"/>
      <c r="W1251" s="77"/>
    </row>
    <row r="1252" spans="1:23" ht="12.75" customHeight="1">
      <c r="A1252" s="11"/>
      <c r="B1252" s="11"/>
      <c r="C1252" s="64" t="s">
        <v>563</v>
      </c>
      <c r="H1252" s="246" t="s">
        <v>913</v>
      </c>
      <c r="I1252" s="223"/>
      <c r="J1252" s="223"/>
      <c r="K1252" s="223"/>
      <c r="L1252" s="223"/>
      <c r="M1252" s="224"/>
      <c r="O1252" s="64" t="s">
        <v>417</v>
      </c>
      <c r="R1252" s="246" t="s">
        <v>418</v>
      </c>
      <c r="S1252" s="223"/>
      <c r="T1252" s="223"/>
      <c r="U1252" s="223"/>
      <c r="V1252" s="223"/>
      <c r="W1252" s="224"/>
    </row>
    <row r="1253" spans="1:23" ht="12.75" customHeight="1">
      <c r="A1253" s="11"/>
      <c r="B1253" s="11"/>
      <c r="H1253" s="77"/>
      <c r="I1253" s="77"/>
      <c r="J1253" s="77"/>
      <c r="K1253" s="77"/>
      <c r="L1253" s="77"/>
      <c r="M1253" s="77"/>
      <c r="R1253" s="77"/>
      <c r="S1253" s="77"/>
      <c r="T1253" s="77"/>
      <c r="U1253" s="77"/>
      <c r="V1253" s="77"/>
      <c r="W1253" s="77"/>
    </row>
    <row r="1254" spans="1:23" ht="12.75" customHeight="1">
      <c r="A1254" s="11"/>
      <c r="B1254" s="152" t="s">
        <v>130</v>
      </c>
      <c r="C1254" s="64" t="s">
        <v>790</v>
      </c>
    </row>
    <row r="1255" spans="1:23" ht="12.75" customHeight="1"/>
    <row r="1256" spans="1:23" ht="12.75" customHeight="1">
      <c r="B1256" s="104" t="s">
        <v>684</v>
      </c>
      <c r="C1256" s="275" t="s">
        <v>340</v>
      </c>
      <c r="D1256" s="223"/>
      <c r="E1256" s="223"/>
      <c r="F1256" s="223"/>
      <c r="G1256" s="223"/>
      <c r="H1256" s="223"/>
      <c r="I1256" s="223"/>
      <c r="J1256" s="223"/>
      <c r="K1256" s="224"/>
      <c r="L1256" s="275" t="s">
        <v>791</v>
      </c>
      <c r="M1256" s="223"/>
      <c r="N1256" s="223"/>
      <c r="O1256" s="223"/>
      <c r="P1256" s="223"/>
      <c r="Q1256" s="224"/>
      <c r="R1256" s="286" t="s">
        <v>792</v>
      </c>
      <c r="S1256" s="223"/>
      <c r="T1256" s="224"/>
      <c r="U1256" s="275" t="s">
        <v>793</v>
      </c>
      <c r="V1256" s="223"/>
      <c r="W1256" s="224"/>
    </row>
    <row r="1257" spans="1:23" ht="12.75" customHeight="1">
      <c r="B1257" s="78">
        <v>1</v>
      </c>
      <c r="C1257" s="288" t="s">
        <v>914</v>
      </c>
      <c r="D1257" s="223"/>
      <c r="E1257" s="223"/>
      <c r="F1257" s="223"/>
      <c r="G1257" s="223"/>
      <c r="H1257" s="223"/>
      <c r="I1257" s="223"/>
      <c r="J1257" s="223"/>
      <c r="K1257" s="224"/>
      <c r="L1257" s="246" t="s">
        <v>910</v>
      </c>
      <c r="M1257" s="223"/>
      <c r="N1257" s="223"/>
      <c r="O1257" s="223"/>
      <c r="P1257" s="223"/>
      <c r="Q1257" s="224"/>
      <c r="R1257" s="287">
        <v>37943</v>
      </c>
      <c r="S1257" s="223"/>
      <c r="T1257" s="224"/>
      <c r="U1257" s="252" t="s">
        <v>795</v>
      </c>
      <c r="V1257" s="223"/>
      <c r="W1257" s="224"/>
    </row>
    <row r="1258" spans="1:23" ht="12.75" customHeight="1">
      <c r="B1258" s="78">
        <v>2</v>
      </c>
      <c r="C1258" s="246"/>
      <c r="D1258" s="223"/>
      <c r="E1258" s="223"/>
      <c r="F1258" s="223"/>
      <c r="G1258" s="223"/>
      <c r="H1258" s="223"/>
      <c r="I1258" s="223"/>
      <c r="J1258" s="223"/>
      <c r="K1258" s="224"/>
      <c r="L1258" s="246"/>
      <c r="M1258" s="223"/>
      <c r="N1258" s="223"/>
      <c r="O1258" s="223"/>
      <c r="P1258" s="223"/>
      <c r="Q1258" s="224"/>
      <c r="R1258" s="287"/>
      <c r="S1258" s="223"/>
      <c r="T1258" s="224"/>
      <c r="U1258" s="252"/>
      <c r="V1258" s="223"/>
      <c r="W1258" s="224"/>
    </row>
    <row r="1259" spans="1:23" ht="12.75" customHeight="1">
      <c r="B1259" s="78">
        <v>3</v>
      </c>
      <c r="C1259" s="246"/>
      <c r="D1259" s="223"/>
      <c r="E1259" s="223"/>
      <c r="F1259" s="223"/>
      <c r="G1259" s="223"/>
      <c r="H1259" s="223"/>
      <c r="I1259" s="223"/>
      <c r="J1259" s="223"/>
      <c r="K1259" s="224"/>
      <c r="L1259" s="246"/>
      <c r="M1259" s="223"/>
      <c r="N1259" s="223"/>
      <c r="O1259" s="223"/>
      <c r="P1259" s="223"/>
      <c r="Q1259" s="224"/>
      <c r="R1259" s="287"/>
      <c r="S1259" s="223"/>
      <c r="T1259" s="224"/>
      <c r="U1259" s="252"/>
      <c r="V1259" s="223"/>
      <c r="W1259" s="224"/>
    </row>
    <row r="1260" spans="1:23" ht="12.75" customHeight="1">
      <c r="B1260" s="78">
        <v>4</v>
      </c>
      <c r="C1260" s="246"/>
      <c r="D1260" s="223"/>
      <c r="E1260" s="223"/>
      <c r="F1260" s="223"/>
      <c r="G1260" s="223"/>
      <c r="H1260" s="223"/>
      <c r="I1260" s="223"/>
      <c r="J1260" s="223"/>
      <c r="K1260" s="224"/>
      <c r="L1260" s="246"/>
      <c r="M1260" s="223"/>
      <c r="N1260" s="223"/>
      <c r="O1260" s="223"/>
      <c r="P1260" s="223"/>
      <c r="Q1260" s="224"/>
      <c r="R1260" s="287"/>
      <c r="S1260" s="223"/>
      <c r="T1260" s="224"/>
      <c r="U1260" s="252"/>
      <c r="V1260" s="223"/>
      <c r="W1260" s="224"/>
    </row>
    <row r="1261" spans="1:23" ht="12.75" customHeight="1">
      <c r="B1261" s="78">
        <v>5</v>
      </c>
      <c r="C1261" s="246"/>
      <c r="D1261" s="223"/>
      <c r="E1261" s="223"/>
      <c r="F1261" s="223"/>
      <c r="G1261" s="223"/>
      <c r="H1261" s="223"/>
      <c r="I1261" s="223"/>
      <c r="J1261" s="223"/>
      <c r="K1261" s="224"/>
      <c r="L1261" s="246"/>
      <c r="M1261" s="223"/>
      <c r="N1261" s="223"/>
      <c r="O1261" s="223"/>
      <c r="P1261" s="223"/>
      <c r="Q1261" s="224"/>
      <c r="R1261" s="287"/>
      <c r="S1261" s="223"/>
      <c r="T1261" s="224"/>
      <c r="U1261" s="252"/>
      <c r="V1261" s="223"/>
      <c r="W1261" s="224"/>
    </row>
    <row r="1262" spans="1:23" ht="12.75" customHeight="1">
      <c r="B1262" s="78">
        <v>6</v>
      </c>
      <c r="C1262" s="246"/>
      <c r="D1262" s="223"/>
      <c r="E1262" s="223"/>
      <c r="F1262" s="223"/>
      <c r="G1262" s="223"/>
      <c r="H1262" s="223"/>
      <c r="I1262" s="223"/>
      <c r="J1262" s="223"/>
      <c r="K1262" s="224"/>
      <c r="L1262" s="252"/>
      <c r="M1262" s="223"/>
      <c r="N1262" s="223"/>
      <c r="O1262" s="223"/>
      <c r="P1262" s="223"/>
      <c r="Q1262" s="224"/>
      <c r="R1262" s="252"/>
      <c r="S1262" s="223"/>
      <c r="T1262" s="224"/>
      <c r="U1262" s="252"/>
      <c r="V1262" s="223"/>
      <c r="W1262" s="224"/>
    </row>
    <row r="1263" spans="1:23" ht="12.75" customHeight="1">
      <c r="B1263" s="78">
        <v>7</v>
      </c>
      <c r="C1263" s="252"/>
      <c r="D1263" s="223"/>
      <c r="E1263" s="223"/>
      <c r="F1263" s="223"/>
      <c r="G1263" s="223"/>
      <c r="H1263" s="223"/>
      <c r="I1263" s="223"/>
      <c r="J1263" s="223"/>
      <c r="K1263" s="224"/>
      <c r="L1263" s="252"/>
      <c r="M1263" s="223"/>
      <c r="N1263" s="223"/>
      <c r="O1263" s="223"/>
      <c r="P1263" s="223"/>
      <c r="Q1263" s="224"/>
      <c r="R1263" s="252"/>
      <c r="S1263" s="223"/>
      <c r="T1263" s="224"/>
      <c r="U1263" s="252"/>
      <c r="V1263" s="223"/>
      <c r="W1263" s="224"/>
    </row>
    <row r="1264" spans="1:23" ht="12.75" customHeight="1"/>
    <row r="1265" spans="4:22" ht="12.75" customHeight="1"/>
    <row r="1266" spans="4:22" ht="12.75" customHeight="1">
      <c r="J1266" s="225" t="s">
        <v>480</v>
      </c>
      <c r="K1266" s="194"/>
      <c r="L1266" s="194"/>
      <c r="M1266" s="194"/>
      <c r="N1266" s="194"/>
      <c r="O1266" s="194"/>
      <c r="R1266" s="3" t="s">
        <v>915</v>
      </c>
    </row>
    <row r="1267" spans="4:22" ht="12.75" customHeight="1">
      <c r="D1267" s="64" t="s">
        <v>797</v>
      </c>
      <c r="J1267" s="225" t="s">
        <v>808</v>
      </c>
      <c r="K1267" s="194"/>
      <c r="L1267" s="194"/>
      <c r="M1267" s="194"/>
      <c r="N1267" s="194"/>
      <c r="O1267" s="194"/>
      <c r="S1267" s="64" t="s">
        <v>799</v>
      </c>
    </row>
    <row r="1268" spans="4:22" ht="12.75" customHeight="1">
      <c r="J1268" s="225" t="s">
        <v>365</v>
      </c>
      <c r="K1268" s="194"/>
      <c r="L1268" s="194"/>
      <c r="M1268" s="194"/>
      <c r="N1268" s="194"/>
      <c r="O1268" s="194"/>
    </row>
    <row r="1269" spans="4:22" ht="12.75" customHeight="1"/>
    <row r="1270" spans="4:22" ht="12.75" customHeight="1"/>
    <row r="1271" spans="4:22" ht="12.75" customHeight="1"/>
    <row r="1272" spans="4:22" ht="12.75" customHeight="1">
      <c r="D1272" s="3" t="s">
        <v>27</v>
      </c>
      <c r="K1272" s="225" t="s">
        <v>366</v>
      </c>
      <c r="L1272" s="194"/>
      <c r="M1272" s="194"/>
      <c r="N1272" s="194"/>
      <c r="Q1272" s="225" t="s">
        <v>910</v>
      </c>
      <c r="R1272" s="194"/>
      <c r="S1272" s="194"/>
      <c r="T1272" s="194"/>
      <c r="U1272" s="194"/>
      <c r="V1272" s="194"/>
    </row>
    <row r="1273" spans="4:22" ht="12.75" customHeight="1"/>
    <row r="1274" spans="4:22" ht="12.75" customHeight="1"/>
    <row r="1275" spans="4:22" ht="12.75" customHeight="1"/>
    <row r="1276" spans="4:22" ht="12.75" customHeight="1"/>
    <row r="1277" spans="4:22" ht="12.75" customHeight="1"/>
    <row r="1278" spans="4:22" ht="12.75" customHeight="1"/>
    <row r="1279" spans="4:22" ht="12.75" customHeight="1"/>
    <row r="1280" spans="4:22" ht="12.75" customHeight="1"/>
    <row r="1281" spans="2:23" ht="12.75" customHeight="1"/>
    <row r="1282" spans="2:23" ht="12.75" customHeight="1"/>
    <row r="1283" spans="2:23" ht="12.75" customHeight="1"/>
    <row r="1284" spans="2:23" ht="12.75" customHeight="1"/>
    <row r="1285" spans="2:23" ht="12.75" customHeight="1"/>
    <row r="1286" spans="2:23" ht="12.75" customHeight="1"/>
    <row r="1287" spans="2:23" ht="12.75" customHeight="1"/>
    <row r="1288" spans="2:23" ht="12.75" customHeight="1"/>
    <row r="1289" spans="2:23" ht="12.75" customHeight="1"/>
    <row r="1290" spans="2:23" ht="12.75" customHeight="1"/>
    <row r="1291" spans="2:23" ht="12.75" customHeight="1"/>
    <row r="1292" spans="2:23" ht="12.75" customHeight="1">
      <c r="T1292" s="252" t="s">
        <v>916</v>
      </c>
      <c r="U1292" s="223"/>
      <c r="V1292" s="224"/>
    </row>
    <row r="1293" spans="2:23" ht="12.75" customHeight="1">
      <c r="B1293" s="151"/>
      <c r="C1293" s="151"/>
      <c r="D1293" s="151"/>
      <c r="E1293" s="151"/>
      <c r="F1293" s="151"/>
      <c r="G1293" s="151"/>
      <c r="H1293" s="151"/>
      <c r="I1293" s="151"/>
      <c r="J1293" s="151"/>
      <c r="K1293" s="151"/>
      <c r="L1293" s="151"/>
      <c r="M1293" s="151"/>
      <c r="N1293" s="151"/>
      <c r="O1293" s="151"/>
      <c r="P1293" s="151"/>
      <c r="Q1293" s="151"/>
      <c r="R1293" s="151"/>
      <c r="S1293" s="151"/>
      <c r="T1293" s="151"/>
      <c r="U1293" s="151"/>
      <c r="V1293" s="151"/>
      <c r="W1293" s="151"/>
    </row>
    <row r="1294" spans="2:23" ht="12.75" customHeight="1"/>
    <row r="1295" spans="2:23" ht="12.75" customHeight="1">
      <c r="B1295" s="64" t="s">
        <v>770</v>
      </c>
      <c r="G1295" s="11" t="s">
        <v>10</v>
      </c>
      <c r="H1295" s="78">
        <v>3</v>
      </c>
      <c r="I1295" s="78">
        <v>3</v>
      </c>
      <c r="J1295" s="11"/>
      <c r="M1295" s="246" t="s">
        <v>418</v>
      </c>
      <c r="N1295" s="223"/>
      <c r="O1295" s="223"/>
      <c r="P1295" s="223"/>
      <c r="Q1295" s="223"/>
      <c r="R1295" s="223"/>
      <c r="S1295" s="223"/>
      <c r="T1295" s="223"/>
      <c r="U1295" s="223"/>
      <c r="V1295" s="223"/>
      <c r="W1295" s="224"/>
    </row>
    <row r="1296" spans="2:23" ht="12.75" customHeight="1">
      <c r="G1296" s="11"/>
      <c r="H1296" s="11"/>
      <c r="I1296" s="11"/>
      <c r="J1296" s="11"/>
      <c r="M1296" s="77"/>
      <c r="N1296" s="77"/>
      <c r="O1296" s="77"/>
      <c r="P1296" s="77"/>
      <c r="Q1296" s="77"/>
      <c r="R1296" s="77"/>
      <c r="S1296" s="77"/>
      <c r="T1296" s="77"/>
      <c r="U1296" s="77"/>
      <c r="V1296" s="77"/>
      <c r="W1296" s="77"/>
    </row>
    <row r="1297" spans="1:23" ht="12.75" customHeight="1">
      <c r="B1297" s="64" t="s">
        <v>105</v>
      </c>
      <c r="G1297" s="11" t="s">
        <v>10</v>
      </c>
      <c r="H1297" s="78">
        <v>2</v>
      </c>
      <c r="I1297" s="78">
        <v>7</v>
      </c>
      <c r="J1297" s="11"/>
      <c r="M1297" s="246" t="s">
        <v>106</v>
      </c>
      <c r="N1297" s="223"/>
      <c r="O1297" s="223"/>
      <c r="P1297" s="223"/>
      <c r="Q1297" s="223"/>
      <c r="R1297" s="223"/>
      <c r="S1297" s="223"/>
      <c r="T1297" s="223"/>
      <c r="U1297" s="223"/>
      <c r="V1297" s="223"/>
      <c r="W1297" s="224"/>
    </row>
    <row r="1298" spans="1:23" ht="12.75" customHeight="1">
      <c r="G1298" s="11"/>
      <c r="H1298" s="11"/>
      <c r="I1298" s="11"/>
      <c r="J1298" s="11"/>
      <c r="M1298" s="77"/>
      <c r="N1298" s="77"/>
      <c r="O1298" s="77"/>
      <c r="P1298" s="77"/>
      <c r="Q1298" s="77"/>
      <c r="R1298" s="77"/>
      <c r="S1298" s="77"/>
      <c r="T1298" s="77"/>
      <c r="U1298" s="77"/>
      <c r="V1298" s="77"/>
      <c r="W1298" s="77"/>
    </row>
    <row r="1299" spans="1:23" ht="12.75" customHeight="1">
      <c r="B1299" s="64" t="s">
        <v>103</v>
      </c>
      <c r="G1299" s="11" t="s">
        <v>10</v>
      </c>
      <c r="H1299" s="78">
        <v>4</v>
      </c>
      <c r="I1299" s="78">
        <v>0</v>
      </c>
      <c r="J1299" s="11"/>
      <c r="M1299" s="246" t="s">
        <v>104</v>
      </c>
      <c r="N1299" s="223"/>
      <c r="O1299" s="223"/>
      <c r="P1299" s="223"/>
      <c r="Q1299" s="223"/>
      <c r="R1299" s="223"/>
      <c r="S1299" s="223"/>
      <c r="T1299" s="223"/>
      <c r="U1299" s="223"/>
      <c r="V1299" s="223"/>
      <c r="W1299" s="224"/>
    </row>
    <row r="1300" spans="1:23" ht="12.75" customHeight="1">
      <c r="G1300" s="11"/>
      <c r="H1300" s="11"/>
      <c r="I1300" s="11"/>
      <c r="J1300" s="11"/>
      <c r="M1300" s="77"/>
      <c r="N1300" s="77"/>
      <c r="O1300" s="77"/>
      <c r="P1300" s="77"/>
      <c r="Q1300" s="77"/>
      <c r="R1300" s="77"/>
      <c r="S1300" s="77"/>
      <c r="T1300" s="77"/>
      <c r="U1300" s="77"/>
      <c r="V1300" s="77"/>
      <c r="W1300" s="77"/>
    </row>
    <row r="1301" spans="1:23" ht="12.75" customHeight="1">
      <c r="B1301" s="64" t="s">
        <v>771</v>
      </c>
      <c r="G1301" s="11" t="s">
        <v>10</v>
      </c>
      <c r="H1301" s="78">
        <v>2</v>
      </c>
      <c r="I1301" s="78">
        <v>0</v>
      </c>
      <c r="J1301" s="78">
        <v>1</v>
      </c>
      <c r="K1301" s="91">
        <v>1</v>
      </c>
      <c r="M1301" s="246" t="s">
        <v>102</v>
      </c>
      <c r="N1301" s="223"/>
      <c r="O1301" s="223"/>
      <c r="P1301" s="223"/>
      <c r="Q1301" s="223"/>
      <c r="R1301" s="223"/>
      <c r="S1301" s="223"/>
      <c r="T1301" s="223"/>
      <c r="U1301" s="223"/>
      <c r="V1301" s="223"/>
      <c r="W1301" s="224"/>
    </row>
    <row r="1302" spans="1:23" ht="12.75" customHeight="1">
      <c r="G1302" s="11"/>
    </row>
    <row r="1303" spans="1:23" ht="12.75" customHeight="1">
      <c r="B1303" s="64" t="s">
        <v>772</v>
      </c>
      <c r="G1303" s="11" t="s">
        <v>10</v>
      </c>
      <c r="H1303" s="246" t="s">
        <v>102</v>
      </c>
      <c r="I1303" s="223"/>
      <c r="J1303" s="223"/>
      <c r="K1303" s="223"/>
      <c r="L1303" s="223"/>
      <c r="M1303" s="223"/>
      <c r="N1303" s="223"/>
      <c r="O1303" s="223"/>
      <c r="P1303" s="223"/>
      <c r="Q1303" s="223"/>
      <c r="R1303" s="223"/>
      <c r="S1303" s="223"/>
      <c r="T1303" s="223"/>
      <c r="U1303" s="223"/>
      <c r="V1303" s="223"/>
      <c r="W1303" s="224"/>
    </row>
    <row r="1304" spans="1:23" ht="12.75" customHeight="1"/>
    <row r="1305" spans="1:23" ht="12.75" customHeight="1">
      <c r="B1305" s="196" t="s">
        <v>917</v>
      </c>
      <c r="C1305" s="194"/>
      <c r="D1305" s="194"/>
      <c r="E1305" s="194"/>
      <c r="F1305" s="194"/>
      <c r="G1305" s="194"/>
      <c r="H1305" s="194"/>
      <c r="I1305" s="194"/>
      <c r="J1305" s="194"/>
      <c r="K1305" s="194"/>
      <c r="L1305" s="194"/>
      <c r="M1305" s="194"/>
      <c r="N1305" s="194"/>
      <c r="O1305" s="194"/>
      <c r="P1305" s="194"/>
      <c r="Q1305" s="194"/>
      <c r="R1305" s="194"/>
      <c r="S1305" s="194"/>
      <c r="T1305" s="194"/>
      <c r="U1305" s="194"/>
      <c r="V1305" s="194"/>
      <c r="W1305" s="194"/>
    </row>
    <row r="1306" spans="1:23" ht="12.75" customHeight="1">
      <c r="B1306" s="225" t="s">
        <v>853</v>
      </c>
      <c r="C1306" s="194"/>
      <c r="D1306" s="194"/>
      <c r="E1306" s="194"/>
      <c r="F1306" s="194"/>
      <c r="G1306" s="194"/>
      <c r="H1306" s="194"/>
      <c r="I1306" s="194"/>
      <c r="J1306" s="194"/>
      <c r="K1306" s="194"/>
      <c r="L1306" s="194"/>
      <c r="M1306" s="194"/>
      <c r="N1306" s="194"/>
      <c r="O1306" s="194"/>
      <c r="P1306" s="194"/>
      <c r="Q1306" s="194"/>
      <c r="R1306" s="194"/>
      <c r="S1306" s="194"/>
      <c r="T1306" s="194"/>
      <c r="U1306" s="194"/>
      <c r="V1306" s="194"/>
      <c r="W1306" s="194"/>
    </row>
    <row r="1307" spans="1:23" ht="12.75" customHeight="1">
      <c r="B1307" s="225" t="s">
        <v>918</v>
      </c>
      <c r="C1307" s="194"/>
      <c r="D1307" s="194"/>
      <c r="E1307" s="194"/>
      <c r="F1307" s="194"/>
      <c r="G1307" s="194"/>
      <c r="H1307" s="194"/>
      <c r="I1307" s="194"/>
      <c r="J1307" s="194"/>
      <c r="K1307" s="194"/>
      <c r="L1307" s="194"/>
      <c r="M1307" s="194"/>
      <c r="N1307" s="194"/>
      <c r="O1307" s="194"/>
      <c r="P1307" s="194"/>
      <c r="Q1307" s="194"/>
      <c r="R1307" s="194"/>
      <c r="S1307" s="194"/>
      <c r="T1307" s="194"/>
      <c r="U1307" s="194"/>
      <c r="V1307" s="194"/>
      <c r="W1307" s="194"/>
    </row>
    <row r="1308" spans="1:23" ht="12.75" customHeight="1">
      <c r="A1308" s="11"/>
      <c r="B1308" s="38" t="s">
        <v>777</v>
      </c>
    </row>
    <row r="1309" spans="1:23" ht="12.75" customHeight="1"/>
    <row r="1310" spans="1:23" ht="12.75" customHeight="1">
      <c r="B1310" s="152" t="s">
        <v>111</v>
      </c>
      <c r="C1310" s="64" t="s">
        <v>387</v>
      </c>
      <c r="H1310" s="78">
        <v>3</v>
      </c>
      <c r="I1310" s="78">
        <v>1</v>
      </c>
      <c r="J1310" s="78">
        <v>7</v>
      </c>
      <c r="K1310" s="78">
        <v>5</v>
      </c>
      <c r="L1310" s="78">
        <v>0</v>
      </c>
      <c r="M1310" s="78">
        <v>3</v>
      </c>
      <c r="N1310" s="78">
        <v>1</v>
      </c>
      <c r="O1310" s="78">
        <v>3</v>
      </c>
      <c r="P1310" s="78">
        <v>0</v>
      </c>
      <c r="Q1310" s="78">
        <v>6</v>
      </c>
      <c r="R1310" s="78">
        <v>2</v>
      </c>
      <c r="S1310" s="78">
        <v>2</v>
      </c>
      <c r="T1310" s="78">
        <v>0</v>
      </c>
      <c r="U1310" s="78">
        <v>0</v>
      </c>
      <c r="V1310" s="78">
        <v>1</v>
      </c>
      <c r="W1310" s="78">
        <v>6</v>
      </c>
    </row>
    <row r="1311" spans="1:23" ht="12.75" customHeight="1">
      <c r="B1311" s="11"/>
    </row>
    <row r="1312" spans="1:23" ht="12.75" customHeight="1">
      <c r="B1312" s="152" t="s">
        <v>115</v>
      </c>
      <c r="C1312" s="64" t="s">
        <v>385</v>
      </c>
      <c r="H1312" s="246" t="s">
        <v>919</v>
      </c>
      <c r="I1312" s="223"/>
      <c r="J1312" s="223"/>
      <c r="K1312" s="223"/>
      <c r="L1312" s="223"/>
      <c r="M1312" s="223"/>
      <c r="N1312" s="223"/>
      <c r="O1312" s="223"/>
      <c r="P1312" s="223"/>
      <c r="Q1312" s="223"/>
      <c r="R1312" s="223"/>
      <c r="S1312" s="223"/>
      <c r="T1312" s="223"/>
      <c r="U1312" s="223"/>
      <c r="V1312" s="223"/>
      <c r="W1312" s="224"/>
    </row>
    <row r="1313" spans="2:23" ht="12.75" customHeight="1">
      <c r="B1313" s="11"/>
    </row>
    <row r="1314" spans="2:23" ht="12.75" customHeight="1">
      <c r="B1314" s="152" t="s">
        <v>118</v>
      </c>
      <c r="C1314" s="64" t="s">
        <v>345</v>
      </c>
      <c r="H1314" s="246" t="s">
        <v>920</v>
      </c>
      <c r="I1314" s="223"/>
      <c r="J1314" s="223"/>
      <c r="K1314" s="223"/>
      <c r="L1314" s="223"/>
      <c r="M1314" s="223"/>
      <c r="N1314" s="223"/>
      <c r="O1314" s="224"/>
      <c r="P1314" s="64" t="s">
        <v>675</v>
      </c>
      <c r="Q1314" s="78">
        <v>0</v>
      </c>
      <c r="R1314" s="78">
        <v>0</v>
      </c>
      <c r="S1314" s="78">
        <v>3</v>
      </c>
      <c r="T1314" s="11" t="s">
        <v>676</v>
      </c>
      <c r="U1314" s="78">
        <v>0</v>
      </c>
      <c r="V1314" s="78">
        <v>0</v>
      </c>
      <c r="W1314" s="78">
        <v>3</v>
      </c>
    </row>
    <row r="1315" spans="2:23" ht="12.75" customHeight="1">
      <c r="B1315" s="11"/>
    </row>
    <row r="1316" spans="2:23" ht="12.75" customHeight="1">
      <c r="B1316" s="11"/>
      <c r="H1316" s="64" t="s">
        <v>779</v>
      </c>
      <c r="L1316" s="248"/>
      <c r="M1316" s="223"/>
      <c r="N1316" s="223"/>
      <c r="O1316" s="223"/>
      <c r="P1316" s="223"/>
      <c r="Q1316" s="223"/>
      <c r="R1316" s="223"/>
      <c r="S1316" s="223"/>
      <c r="T1316" s="223"/>
      <c r="U1316" s="223"/>
      <c r="V1316" s="223"/>
      <c r="W1316" s="224"/>
    </row>
    <row r="1317" spans="2:23" ht="12.75" customHeight="1">
      <c r="B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</row>
    <row r="1318" spans="2:23" ht="12.75" customHeight="1">
      <c r="B1318" s="11"/>
      <c r="C1318" s="64" t="s">
        <v>414</v>
      </c>
      <c r="H1318" s="246" t="s">
        <v>921</v>
      </c>
      <c r="I1318" s="223"/>
      <c r="J1318" s="223"/>
      <c r="K1318" s="223"/>
      <c r="L1318" s="223"/>
      <c r="M1318" s="224"/>
      <c r="O1318" s="64" t="s">
        <v>562</v>
      </c>
      <c r="R1318" s="246" t="s">
        <v>922</v>
      </c>
      <c r="S1318" s="223"/>
      <c r="T1318" s="223"/>
      <c r="U1318" s="223"/>
      <c r="V1318" s="223"/>
      <c r="W1318" s="224"/>
    </row>
    <row r="1319" spans="2:23" ht="12.75" customHeight="1">
      <c r="B1319" s="11"/>
      <c r="R1319" s="77"/>
      <c r="S1319" s="77"/>
      <c r="T1319" s="77"/>
      <c r="U1319" s="77"/>
      <c r="V1319" s="77"/>
      <c r="W1319" s="77"/>
    </row>
    <row r="1320" spans="2:23" ht="12.75" customHeight="1">
      <c r="B1320" s="11"/>
      <c r="C1320" s="64" t="s">
        <v>416</v>
      </c>
      <c r="H1320" s="246" t="s">
        <v>923</v>
      </c>
      <c r="I1320" s="223"/>
      <c r="J1320" s="223"/>
      <c r="K1320" s="223"/>
      <c r="L1320" s="223"/>
      <c r="M1320" s="224"/>
      <c r="O1320" s="64" t="s">
        <v>417</v>
      </c>
      <c r="R1320" s="246" t="s">
        <v>924</v>
      </c>
      <c r="S1320" s="223"/>
      <c r="T1320" s="223"/>
      <c r="U1320" s="223"/>
      <c r="V1320" s="223"/>
      <c r="W1320" s="224"/>
    </row>
    <row r="1321" spans="2:23" ht="12.75" customHeight="1">
      <c r="B1321" s="11"/>
      <c r="H1321" s="11"/>
      <c r="I1321" s="11"/>
      <c r="J1321" s="11"/>
      <c r="K1321" s="11"/>
      <c r="L1321" s="11"/>
      <c r="M1321" s="11"/>
      <c r="R1321" s="11"/>
      <c r="S1321" s="11"/>
      <c r="T1321" s="11"/>
      <c r="U1321" s="11"/>
      <c r="V1321" s="11"/>
      <c r="W1321" s="11"/>
    </row>
    <row r="1322" spans="2:23" ht="12.75" customHeight="1">
      <c r="B1322" s="11"/>
      <c r="H1322" s="11" t="s">
        <v>674</v>
      </c>
      <c r="I1322" s="11"/>
      <c r="J1322" s="78">
        <v>1</v>
      </c>
      <c r="K1322" s="78">
        <v>3</v>
      </c>
      <c r="L1322" s="78">
        <v>3</v>
      </c>
      <c r="M1322" s="78">
        <v>4</v>
      </c>
      <c r="N1322" s="78">
        <v>0</v>
      </c>
      <c r="P1322" s="64" t="s">
        <v>680</v>
      </c>
      <c r="R1322" s="78"/>
      <c r="S1322" s="78"/>
      <c r="T1322" s="78"/>
      <c r="U1322" s="78"/>
      <c r="V1322" s="78"/>
      <c r="W1322" s="78"/>
    </row>
    <row r="1323" spans="2:23" ht="12.75" customHeight="1">
      <c r="B1323" s="11"/>
    </row>
    <row r="1324" spans="2:23" ht="12.75" customHeight="1">
      <c r="B1324" s="152" t="s">
        <v>121</v>
      </c>
      <c r="C1324" s="64" t="s">
        <v>780</v>
      </c>
      <c r="H1324" s="78">
        <v>3</v>
      </c>
      <c r="I1324" s="78">
        <v>1</v>
      </c>
      <c r="J1324" s="78">
        <v>7</v>
      </c>
      <c r="K1324" s="78">
        <v>5</v>
      </c>
      <c r="L1324" s="78">
        <v>0</v>
      </c>
      <c r="M1324" s="78">
        <v>3</v>
      </c>
      <c r="N1324" s="78">
        <v>2</v>
      </c>
      <c r="O1324" s="78">
        <v>9</v>
      </c>
      <c r="P1324" s="78">
        <v>0</v>
      </c>
      <c r="Q1324" s="78">
        <v>6</v>
      </c>
      <c r="R1324" s="78">
        <v>9</v>
      </c>
      <c r="S1324" s="78">
        <v>9</v>
      </c>
      <c r="T1324" s="78">
        <v>0</v>
      </c>
      <c r="U1324" s="78">
        <v>0</v>
      </c>
      <c r="V1324" s="78">
        <v>0</v>
      </c>
      <c r="W1324" s="78">
        <v>7</v>
      </c>
    </row>
    <row r="1325" spans="2:23" ht="12.75" customHeight="1">
      <c r="B1325" s="11"/>
    </row>
    <row r="1326" spans="2:23" ht="12.75" customHeight="1">
      <c r="B1326" s="152" t="s">
        <v>124</v>
      </c>
      <c r="C1326" s="64" t="s">
        <v>391</v>
      </c>
      <c r="H1326" s="246" t="s">
        <v>919</v>
      </c>
      <c r="I1326" s="223"/>
      <c r="J1326" s="223"/>
      <c r="K1326" s="223"/>
      <c r="L1326" s="223"/>
      <c r="M1326" s="223"/>
      <c r="N1326" s="223"/>
      <c r="O1326" s="223"/>
      <c r="P1326" s="223"/>
      <c r="Q1326" s="223"/>
      <c r="R1326" s="223"/>
      <c r="S1326" s="223"/>
      <c r="T1326" s="223"/>
      <c r="U1326" s="223"/>
      <c r="V1326" s="223"/>
      <c r="W1326" s="224"/>
    </row>
    <row r="1327" spans="2:23" ht="12.75" customHeight="1"/>
    <row r="1328" spans="2:23" ht="12.75" customHeight="1"/>
    <row r="1329" spans="1:23" ht="12.75" customHeight="1">
      <c r="B1329" s="38" t="s">
        <v>782</v>
      </c>
      <c r="I1329" s="225"/>
      <c r="J1329" s="194"/>
      <c r="K1329" s="194"/>
      <c r="L1329" s="194"/>
    </row>
    <row r="1330" spans="1:23" ht="12.75" customHeight="1"/>
    <row r="1331" spans="1:23" ht="12.75" customHeight="1">
      <c r="A1331" s="11"/>
      <c r="B1331" s="152" t="s">
        <v>111</v>
      </c>
      <c r="C1331" s="64" t="s">
        <v>783</v>
      </c>
      <c r="H1331" s="78">
        <v>3</v>
      </c>
      <c r="I1331" s="64" t="s">
        <v>784</v>
      </c>
    </row>
    <row r="1332" spans="1:23" ht="12.75" customHeight="1">
      <c r="A1332" s="11"/>
      <c r="B1332" s="11"/>
    </row>
    <row r="1333" spans="1:23" ht="12.75" customHeight="1">
      <c r="A1333" s="11"/>
      <c r="B1333" s="152" t="s">
        <v>115</v>
      </c>
      <c r="C1333" s="64" t="s">
        <v>387</v>
      </c>
      <c r="H1333" s="78">
        <v>3</v>
      </c>
      <c r="I1333" s="78">
        <v>1</v>
      </c>
      <c r="J1333" s="78">
        <v>7</v>
      </c>
      <c r="K1333" s="78">
        <v>5</v>
      </c>
      <c r="L1333" s="78">
        <v>0</v>
      </c>
      <c r="M1333" s="78">
        <v>3</v>
      </c>
      <c r="N1333" s="78">
        <v>1</v>
      </c>
      <c r="O1333" s="78">
        <v>3</v>
      </c>
      <c r="P1333" s="78">
        <v>0</v>
      </c>
      <c r="Q1333" s="78">
        <v>6</v>
      </c>
      <c r="R1333" s="78">
        <v>2</v>
      </c>
      <c r="S1333" s="78">
        <v>2</v>
      </c>
      <c r="T1333" s="78">
        <v>0</v>
      </c>
      <c r="U1333" s="78">
        <v>0</v>
      </c>
      <c r="V1333" s="78">
        <v>1</v>
      </c>
      <c r="W1333" s="78">
        <v>6</v>
      </c>
    </row>
    <row r="1334" spans="1:23" ht="12.75" customHeight="1">
      <c r="A1334" s="11"/>
      <c r="B1334" s="11"/>
    </row>
    <row r="1335" spans="1:23" ht="12.75" customHeight="1">
      <c r="A1335" s="11"/>
      <c r="B1335" s="152" t="s">
        <v>118</v>
      </c>
      <c r="C1335" s="64" t="s">
        <v>785</v>
      </c>
      <c r="H1335" s="78">
        <v>3</v>
      </c>
      <c r="I1335" s="78">
        <v>1</v>
      </c>
      <c r="J1335" s="78">
        <v>7</v>
      </c>
      <c r="K1335" s="78">
        <v>5</v>
      </c>
      <c r="L1335" s="78">
        <v>0</v>
      </c>
      <c r="M1335" s="78">
        <v>3</v>
      </c>
      <c r="N1335" s="78">
        <v>2</v>
      </c>
      <c r="O1335" s="78">
        <v>9</v>
      </c>
      <c r="P1335" s="78">
        <v>0</v>
      </c>
      <c r="Q1335" s="78">
        <v>6</v>
      </c>
      <c r="R1335" s="78">
        <v>9</v>
      </c>
      <c r="S1335" s="78">
        <v>9</v>
      </c>
      <c r="T1335" s="78">
        <v>0</v>
      </c>
      <c r="U1335" s="78">
        <v>0</v>
      </c>
      <c r="V1335" s="78">
        <v>0</v>
      </c>
      <c r="W1335" s="78">
        <v>7</v>
      </c>
    </row>
    <row r="1336" spans="1:23" ht="12.75" customHeight="1">
      <c r="A1336" s="11"/>
      <c r="B1336" s="11"/>
    </row>
    <row r="1337" spans="1:23" ht="12.75" customHeight="1">
      <c r="A1337" s="11"/>
      <c r="B1337" s="152" t="s">
        <v>121</v>
      </c>
      <c r="C1337" s="64" t="s">
        <v>385</v>
      </c>
      <c r="H1337" s="246" t="s">
        <v>919</v>
      </c>
      <c r="I1337" s="223"/>
      <c r="J1337" s="223"/>
      <c r="K1337" s="223"/>
      <c r="L1337" s="223"/>
      <c r="M1337" s="223"/>
      <c r="N1337" s="223"/>
      <c r="O1337" s="223"/>
      <c r="P1337" s="223"/>
      <c r="Q1337" s="223"/>
      <c r="R1337" s="223"/>
      <c r="S1337" s="223"/>
      <c r="T1337" s="223"/>
      <c r="U1337" s="223"/>
      <c r="V1337" s="223"/>
      <c r="W1337" s="224"/>
    </row>
    <row r="1338" spans="1:23" ht="12.75" customHeight="1">
      <c r="A1338" s="11"/>
      <c r="B1338" s="11"/>
    </row>
    <row r="1339" spans="1:23" ht="12.75" customHeight="1">
      <c r="A1339" s="11"/>
      <c r="B1339" s="152" t="s">
        <v>124</v>
      </c>
      <c r="C1339" s="64" t="s">
        <v>786</v>
      </c>
      <c r="H1339" s="78">
        <v>1</v>
      </c>
      <c r="I1339" s="78">
        <v>3</v>
      </c>
      <c r="J1339" s="11"/>
      <c r="K1339" s="78">
        <v>1</v>
      </c>
      <c r="L1339" s="78">
        <v>1</v>
      </c>
      <c r="M1339" s="11"/>
      <c r="N1339" s="78">
        <v>2</v>
      </c>
      <c r="O1339" s="78">
        <v>0</v>
      </c>
      <c r="P1339" s="78">
        <v>2</v>
      </c>
      <c r="Q1339" s="78">
        <v>3</v>
      </c>
    </row>
    <row r="1340" spans="1:23" ht="12.75" customHeight="1">
      <c r="A1340" s="11"/>
      <c r="B1340" s="11"/>
    </row>
    <row r="1341" spans="1:23" ht="12.75" customHeight="1">
      <c r="A1341" s="11"/>
      <c r="B1341" s="152" t="s">
        <v>127</v>
      </c>
      <c r="C1341" s="64" t="s">
        <v>345</v>
      </c>
      <c r="F1341" s="91"/>
      <c r="H1341" s="246" t="s">
        <v>102</v>
      </c>
      <c r="I1341" s="223"/>
      <c r="J1341" s="223"/>
      <c r="K1341" s="223"/>
      <c r="L1341" s="223"/>
      <c r="M1341" s="223"/>
      <c r="N1341" s="224"/>
      <c r="P1341" s="64" t="s">
        <v>675</v>
      </c>
      <c r="Q1341" s="78">
        <v>0</v>
      </c>
      <c r="R1341" s="78">
        <v>0</v>
      </c>
      <c r="S1341" s="78">
        <v>6</v>
      </c>
      <c r="T1341" s="11" t="s">
        <v>676</v>
      </c>
      <c r="U1341" s="78">
        <v>0</v>
      </c>
      <c r="V1341" s="78">
        <v>0</v>
      </c>
      <c r="W1341" s="78">
        <v>1</v>
      </c>
    </row>
    <row r="1342" spans="1:23" ht="12.75" customHeight="1">
      <c r="A1342" s="11"/>
      <c r="B1342" s="11"/>
    </row>
    <row r="1343" spans="1:23" ht="12.75" customHeight="1">
      <c r="A1343" s="11"/>
      <c r="B1343" s="11"/>
      <c r="F1343" s="91"/>
      <c r="H1343" s="64" t="s">
        <v>779</v>
      </c>
      <c r="L1343" s="246" t="s">
        <v>925</v>
      </c>
      <c r="M1343" s="223"/>
      <c r="N1343" s="223"/>
      <c r="O1343" s="223"/>
      <c r="P1343" s="223"/>
      <c r="Q1343" s="223"/>
      <c r="R1343" s="223"/>
      <c r="S1343" s="223"/>
      <c r="T1343" s="223"/>
      <c r="U1343" s="223"/>
      <c r="V1343" s="223"/>
      <c r="W1343" s="224"/>
    </row>
    <row r="1344" spans="1:23" ht="12.75" customHeight="1">
      <c r="A1344" s="11"/>
      <c r="B1344" s="11"/>
      <c r="H1344" s="77"/>
      <c r="I1344" s="77"/>
      <c r="J1344" s="77"/>
      <c r="K1344" s="77"/>
      <c r="L1344" s="77"/>
      <c r="M1344" s="77"/>
    </row>
    <row r="1345" spans="1:23" ht="12.75" customHeight="1">
      <c r="A1345" s="11"/>
      <c r="B1345" s="11"/>
      <c r="C1345" s="64" t="s">
        <v>414</v>
      </c>
      <c r="H1345" s="246" t="s">
        <v>102</v>
      </c>
      <c r="I1345" s="223"/>
      <c r="J1345" s="223"/>
      <c r="K1345" s="223"/>
      <c r="L1345" s="223"/>
      <c r="M1345" s="224"/>
      <c r="O1345" s="64" t="s">
        <v>562</v>
      </c>
      <c r="R1345" s="246" t="s">
        <v>106</v>
      </c>
      <c r="S1345" s="223"/>
      <c r="T1345" s="223"/>
      <c r="U1345" s="223"/>
      <c r="V1345" s="223"/>
      <c r="W1345" s="224"/>
    </row>
    <row r="1346" spans="1:23" ht="12.75" customHeight="1">
      <c r="A1346" s="11"/>
      <c r="B1346" s="11"/>
      <c r="H1346" s="77"/>
      <c r="I1346" s="77"/>
      <c r="J1346" s="77"/>
      <c r="K1346" s="77"/>
      <c r="L1346" s="77"/>
      <c r="M1346" s="77"/>
    </row>
    <row r="1347" spans="1:23" ht="12.75" customHeight="1">
      <c r="A1347" s="11"/>
      <c r="B1347" s="11"/>
      <c r="C1347" s="64" t="s">
        <v>563</v>
      </c>
      <c r="H1347" s="246" t="s">
        <v>104</v>
      </c>
      <c r="I1347" s="223"/>
      <c r="J1347" s="223"/>
      <c r="K1347" s="223"/>
      <c r="L1347" s="223"/>
      <c r="M1347" s="224"/>
      <c r="O1347" s="64" t="s">
        <v>417</v>
      </c>
      <c r="R1347" s="246" t="s">
        <v>418</v>
      </c>
      <c r="S1347" s="223"/>
      <c r="T1347" s="223"/>
      <c r="U1347" s="223"/>
      <c r="V1347" s="223"/>
      <c r="W1347" s="224"/>
    </row>
    <row r="1348" spans="1:23" ht="12.75" customHeight="1">
      <c r="A1348" s="11"/>
      <c r="B1348" s="11"/>
    </row>
    <row r="1349" spans="1:23" ht="12.75" customHeight="1">
      <c r="A1349" s="11"/>
      <c r="B1349" s="152" t="s">
        <v>130</v>
      </c>
      <c r="C1349" s="64" t="s">
        <v>926</v>
      </c>
    </row>
    <row r="1350" spans="1:23" ht="12.75" customHeight="1"/>
    <row r="1351" spans="1:23" ht="12.75" customHeight="1">
      <c r="B1351" s="104" t="s">
        <v>684</v>
      </c>
      <c r="C1351" s="275" t="s">
        <v>340</v>
      </c>
      <c r="D1351" s="223"/>
      <c r="E1351" s="223"/>
      <c r="F1351" s="223"/>
      <c r="G1351" s="223"/>
      <c r="H1351" s="223"/>
      <c r="I1351" s="223"/>
      <c r="J1351" s="223"/>
      <c r="K1351" s="224"/>
      <c r="L1351" s="275" t="s">
        <v>791</v>
      </c>
      <c r="M1351" s="223"/>
      <c r="N1351" s="223"/>
      <c r="O1351" s="223"/>
      <c r="P1351" s="223"/>
      <c r="Q1351" s="224"/>
      <c r="R1351" s="286" t="s">
        <v>792</v>
      </c>
      <c r="S1351" s="223"/>
      <c r="T1351" s="224"/>
      <c r="U1351" s="275" t="s">
        <v>793</v>
      </c>
      <c r="V1351" s="223"/>
      <c r="W1351" s="224"/>
    </row>
    <row r="1352" spans="1:23" ht="12.75" customHeight="1">
      <c r="B1352" s="78">
        <v>1</v>
      </c>
      <c r="C1352" s="288" t="s">
        <v>927</v>
      </c>
      <c r="D1352" s="223"/>
      <c r="E1352" s="223"/>
      <c r="F1352" s="223"/>
      <c r="G1352" s="223"/>
      <c r="H1352" s="223"/>
      <c r="I1352" s="223"/>
      <c r="J1352" s="223"/>
      <c r="K1352" s="224"/>
      <c r="L1352" s="246" t="s">
        <v>919</v>
      </c>
      <c r="M1352" s="223"/>
      <c r="N1352" s="223"/>
      <c r="O1352" s="223"/>
      <c r="P1352" s="223"/>
      <c r="Q1352" s="224"/>
      <c r="R1352" s="287">
        <v>36340</v>
      </c>
      <c r="S1352" s="223"/>
      <c r="T1352" s="224"/>
      <c r="U1352" s="252" t="s">
        <v>814</v>
      </c>
      <c r="V1352" s="223"/>
      <c r="W1352" s="224"/>
    </row>
    <row r="1353" spans="1:23" ht="12.75" customHeight="1">
      <c r="B1353" s="78">
        <v>2</v>
      </c>
      <c r="C1353" s="288" t="s">
        <v>928</v>
      </c>
      <c r="D1353" s="223"/>
      <c r="E1353" s="223"/>
      <c r="F1353" s="223"/>
      <c r="G1353" s="223"/>
      <c r="H1353" s="223"/>
      <c r="I1353" s="223"/>
      <c r="J1353" s="223"/>
      <c r="K1353" s="224"/>
      <c r="L1353" s="246" t="s">
        <v>929</v>
      </c>
      <c r="M1353" s="223"/>
      <c r="N1353" s="223"/>
      <c r="O1353" s="223"/>
      <c r="P1353" s="223"/>
      <c r="Q1353" s="224"/>
      <c r="R1353" s="287">
        <v>35545</v>
      </c>
      <c r="S1353" s="223"/>
      <c r="T1353" s="224"/>
      <c r="U1353" s="252" t="s">
        <v>817</v>
      </c>
      <c r="V1353" s="223"/>
      <c r="W1353" s="224"/>
    </row>
    <row r="1354" spans="1:23" ht="12.75" customHeight="1">
      <c r="B1354" s="78">
        <v>3</v>
      </c>
      <c r="C1354" s="288" t="s">
        <v>930</v>
      </c>
      <c r="D1354" s="223"/>
      <c r="E1354" s="223"/>
      <c r="F1354" s="223"/>
      <c r="G1354" s="223"/>
      <c r="H1354" s="223"/>
      <c r="I1354" s="223"/>
      <c r="J1354" s="223"/>
      <c r="K1354" s="224"/>
      <c r="L1354" s="246" t="s">
        <v>931</v>
      </c>
      <c r="M1354" s="223"/>
      <c r="N1354" s="223"/>
      <c r="O1354" s="223"/>
      <c r="P1354" s="223"/>
      <c r="Q1354" s="224"/>
      <c r="R1354" s="287">
        <v>44799</v>
      </c>
      <c r="S1354" s="223"/>
      <c r="T1354" s="224"/>
      <c r="U1354" s="252" t="s">
        <v>795</v>
      </c>
      <c r="V1354" s="223"/>
      <c r="W1354" s="224"/>
    </row>
    <row r="1355" spans="1:23" ht="12.75" customHeight="1">
      <c r="B1355" s="78">
        <v>4</v>
      </c>
      <c r="C1355" s="252"/>
      <c r="D1355" s="223"/>
      <c r="E1355" s="223"/>
      <c r="F1355" s="223"/>
      <c r="G1355" s="223"/>
      <c r="H1355" s="223"/>
      <c r="I1355" s="223"/>
      <c r="J1355" s="223"/>
      <c r="K1355" s="224"/>
      <c r="L1355" s="252"/>
      <c r="M1355" s="223"/>
      <c r="N1355" s="223"/>
      <c r="O1355" s="223"/>
      <c r="P1355" s="223"/>
      <c r="Q1355" s="224"/>
      <c r="R1355" s="252"/>
      <c r="S1355" s="223"/>
      <c r="T1355" s="224"/>
      <c r="U1355" s="252"/>
      <c r="V1355" s="223"/>
      <c r="W1355" s="224"/>
    </row>
    <row r="1356" spans="1:23" ht="12.75" customHeight="1">
      <c r="B1356" s="78">
        <v>5</v>
      </c>
      <c r="C1356" s="252"/>
      <c r="D1356" s="223"/>
      <c r="E1356" s="223"/>
      <c r="F1356" s="223"/>
      <c r="G1356" s="223"/>
      <c r="H1356" s="223"/>
      <c r="I1356" s="223"/>
      <c r="J1356" s="223"/>
      <c r="K1356" s="224"/>
      <c r="L1356" s="252"/>
      <c r="M1356" s="223"/>
      <c r="N1356" s="223"/>
      <c r="O1356" s="223"/>
      <c r="P1356" s="223"/>
      <c r="Q1356" s="224"/>
      <c r="R1356" s="252"/>
      <c r="S1356" s="223"/>
      <c r="T1356" s="224"/>
      <c r="U1356" s="252"/>
      <c r="V1356" s="223"/>
      <c r="W1356" s="224"/>
    </row>
    <row r="1357" spans="1:23" ht="12.75" customHeight="1">
      <c r="B1357" s="78">
        <v>6</v>
      </c>
      <c r="C1357" s="252"/>
      <c r="D1357" s="223"/>
      <c r="E1357" s="223"/>
      <c r="F1357" s="223"/>
      <c r="G1357" s="223"/>
      <c r="H1357" s="223"/>
      <c r="I1357" s="223"/>
      <c r="J1357" s="223"/>
      <c r="K1357" s="224"/>
      <c r="L1357" s="252"/>
      <c r="M1357" s="223"/>
      <c r="N1357" s="223"/>
      <c r="O1357" s="223"/>
      <c r="P1357" s="223"/>
      <c r="Q1357" s="224"/>
      <c r="R1357" s="252"/>
      <c r="S1357" s="223"/>
      <c r="T1357" s="224"/>
      <c r="U1357" s="252"/>
      <c r="V1357" s="223"/>
      <c r="W1357" s="224"/>
    </row>
    <row r="1358" spans="1:23" ht="12.75" customHeight="1">
      <c r="B1358" s="78">
        <v>7</v>
      </c>
      <c r="C1358" s="252"/>
      <c r="D1358" s="223"/>
      <c r="E1358" s="223"/>
      <c r="F1358" s="223"/>
      <c r="G1358" s="223"/>
      <c r="H1358" s="223"/>
      <c r="I1358" s="223"/>
      <c r="J1358" s="223"/>
      <c r="K1358" s="224"/>
      <c r="L1358" s="252"/>
      <c r="M1358" s="223"/>
      <c r="N1358" s="223"/>
      <c r="O1358" s="223"/>
      <c r="P1358" s="223"/>
      <c r="Q1358" s="224"/>
      <c r="R1358" s="252"/>
      <c r="S1358" s="223"/>
      <c r="T1358" s="224"/>
      <c r="U1358" s="252"/>
      <c r="V1358" s="223"/>
      <c r="W1358" s="224"/>
    </row>
    <row r="1359" spans="1:23" ht="12.75" customHeight="1"/>
    <row r="1360" spans="1:23" ht="12.75" customHeight="1"/>
    <row r="1361" spans="4:22" ht="12.75" customHeight="1">
      <c r="L1361" s="64" t="s">
        <v>480</v>
      </c>
      <c r="R1361" s="64" t="s">
        <v>594</v>
      </c>
    </row>
    <row r="1362" spans="4:22" ht="12.75" customHeight="1">
      <c r="D1362" s="64" t="s">
        <v>797</v>
      </c>
      <c r="J1362" s="225" t="s">
        <v>932</v>
      </c>
      <c r="K1362" s="194"/>
      <c r="L1362" s="194"/>
      <c r="M1362" s="194"/>
      <c r="N1362" s="194"/>
      <c r="O1362" s="194"/>
      <c r="S1362" s="64" t="s">
        <v>799</v>
      </c>
    </row>
    <row r="1363" spans="4:22" ht="12.75" customHeight="1">
      <c r="K1363" s="225" t="s">
        <v>365</v>
      </c>
      <c r="L1363" s="194"/>
      <c r="M1363" s="194"/>
      <c r="N1363" s="194"/>
      <c r="O1363" s="194"/>
    </row>
    <row r="1364" spans="4:22" ht="12.75" customHeight="1"/>
    <row r="1365" spans="4:22" ht="12.75" customHeight="1"/>
    <row r="1366" spans="4:22" ht="12.75" customHeight="1"/>
    <row r="1367" spans="4:22" ht="12.75" customHeight="1">
      <c r="D1367" s="225" t="s">
        <v>501</v>
      </c>
      <c r="E1367" s="194"/>
      <c r="F1367" s="194"/>
      <c r="K1367" s="225" t="s">
        <v>366</v>
      </c>
      <c r="L1367" s="194"/>
      <c r="M1367" s="194"/>
      <c r="N1367" s="194"/>
      <c r="Q1367" s="225" t="str">
        <f>L1352</f>
        <v>SALIM</v>
      </c>
      <c r="R1367" s="194"/>
      <c r="S1367" s="194"/>
      <c r="T1367" s="194"/>
      <c r="U1367" s="194"/>
      <c r="V1367" s="194"/>
    </row>
    <row r="1368" spans="4:22" ht="12.75" customHeight="1"/>
    <row r="1369" spans="4:22" ht="12.75" customHeight="1"/>
    <row r="1370" spans="4:22" ht="12.75" customHeight="1"/>
    <row r="1371" spans="4:22" ht="12.75" customHeight="1"/>
    <row r="1372" spans="4:22" ht="12.75" customHeight="1"/>
    <row r="1373" spans="4:22" ht="12.75" customHeight="1"/>
    <row r="1374" spans="4:22" ht="12.75" customHeight="1"/>
    <row r="1375" spans="4:22" ht="12.75" customHeight="1"/>
    <row r="1376" spans="4:22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spans="2:23" ht="12.75" customHeight="1"/>
    <row r="1426" spans="2:23" ht="12.75" customHeight="1"/>
    <row r="1427" spans="2:23" ht="12.75" customHeight="1"/>
    <row r="1428" spans="2:23" ht="12.75" customHeight="1"/>
    <row r="1429" spans="2:23" ht="12.75" customHeight="1"/>
    <row r="1430" spans="2:23" ht="12.75" customHeight="1"/>
    <row r="1431" spans="2:23" ht="12.75" customHeight="1"/>
    <row r="1432" spans="2:23" ht="12.75" customHeight="1"/>
    <row r="1433" spans="2:23" ht="12.75" customHeight="1"/>
    <row r="1434" spans="2:23" ht="12.75" customHeight="1"/>
    <row r="1435" spans="2:23" ht="12.75" customHeight="1"/>
    <row r="1436" spans="2:23" ht="12.75" customHeight="1">
      <c r="T1436" s="252" t="s">
        <v>800</v>
      </c>
      <c r="U1436" s="223"/>
      <c r="V1436" s="224"/>
    </row>
    <row r="1437" spans="2:23" ht="12.75" customHeight="1">
      <c r="B1437" s="151"/>
      <c r="C1437" s="151"/>
      <c r="D1437" s="151"/>
      <c r="E1437" s="151"/>
      <c r="F1437" s="151"/>
      <c r="G1437" s="151"/>
      <c r="H1437" s="151"/>
      <c r="I1437" s="151"/>
      <c r="J1437" s="151"/>
      <c r="K1437" s="151"/>
      <c r="L1437" s="151"/>
      <c r="M1437" s="151"/>
      <c r="N1437" s="151"/>
      <c r="O1437" s="151"/>
      <c r="P1437" s="151"/>
      <c r="Q1437" s="151"/>
      <c r="R1437" s="151"/>
      <c r="S1437" s="151"/>
      <c r="T1437" s="151"/>
      <c r="U1437" s="151"/>
      <c r="V1437" s="151"/>
      <c r="W1437" s="151"/>
    </row>
    <row r="1438" spans="2:23" ht="12.75" customHeight="1"/>
    <row r="1439" spans="2:23" ht="12.75" customHeight="1">
      <c r="B1439" s="64" t="s">
        <v>770</v>
      </c>
      <c r="G1439" s="11" t="s">
        <v>10</v>
      </c>
      <c r="H1439" s="78">
        <v>3</v>
      </c>
      <c r="I1439" s="78">
        <v>3</v>
      </c>
      <c r="J1439" s="11"/>
      <c r="M1439" s="246" t="s">
        <v>418</v>
      </c>
      <c r="N1439" s="223"/>
      <c r="O1439" s="223"/>
      <c r="P1439" s="223"/>
      <c r="Q1439" s="223"/>
      <c r="R1439" s="223"/>
      <c r="S1439" s="223"/>
      <c r="T1439" s="223"/>
      <c r="U1439" s="223"/>
      <c r="V1439" s="223"/>
      <c r="W1439" s="224"/>
    </row>
    <row r="1440" spans="2:23" ht="12.75" customHeight="1">
      <c r="G1440" s="11"/>
      <c r="H1440" s="11"/>
      <c r="I1440" s="11"/>
      <c r="J1440" s="11"/>
      <c r="M1440" s="77"/>
      <c r="N1440" s="77"/>
      <c r="O1440" s="77"/>
      <c r="P1440" s="77"/>
      <c r="Q1440" s="77"/>
      <c r="R1440" s="77"/>
      <c r="S1440" s="77"/>
      <c r="T1440" s="77"/>
      <c r="U1440" s="77"/>
      <c r="V1440" s="77"/>
      <c r="W1440" s="77"/>
    </row>
    <row r="1441" spans="1:23" ht="12.75" customHeight="1">
      <c r="B1441" s="64" t="s">
        <v>105</v>
      </c>
      <c r="G1441" s="11" t="s">
        <v>10</v>
      </c>
      <c r="H1441" s="78">
        <v>2</v>
      </c>
      <c r="I1441" s="78">
        <v>7</v>
      </c>
      <c r="J1441" s="11"/>
      <c r="M1441" s="246" t="s">
        <v>106</v>
      </c>
      <c r="N1441" s="223"/>
      <c r="O1441" s="223"/>
      <c r="P1441" s="223"/>
      <c r="Q1441" s="223"/>
      <c r="R1441" s="223"/>
      <c r="S1441" s="223"/>
      <c r="T1441" s="223"/>
      <c r="U1441" s="223"/>
      <c r="V1441" s="223"/>
      <c r="W1441" s="224"/>
    </row>
    <row r="1442" spans="1:23" ht="12.75" customHeight="1">
      <c r="G1442" s="11"/>
      <c r="H1442" s="11"/>
      <c r="I1442" s="11"/>
      <c r="J1442" s="11"/>
      <c r="M1442" s="77"/>
      <c r="N1442" s="77"/>
      <c r="O1442" s="77"/>
      <c r="P1442" s="77"/>
      <c r="Q1442" s="77"/>
      <c r="R1442" s="77"/>
      <c r="S1442" s="77"/>
      <c r="T1442" s="77"/>
      <c r="U1442" s="77"/>
      <c r="V1442" s="77"/>
      <c r="W1442" s="77"/>
    </row>
    <row r="1443" spans="1:23" ht="12.75" customHeight="1">
      <c r="B1443" s="64" t="s">
        <v>103</v>
      </c>
      <c r="G1443" s="11" t="s">
        <v>10</v>
      </c>
      <c r="H1443" s="78">
        <v>4</v>
      </c>
      <c r="I1443" s="78">
        <v>0</v>
      </c>
      <c r="J1443" s="11"/>
      <c r="M1443" s="246" t="s">
        <v>104</v>
      </c>
      <c r="N1443" s="223"/>
      <c r="O1443" s="223"/>
      <c r="P1443" s="223"/>
      <c r="Q1443" s="223"/>
      <c r="R1443" s="223"/>
      <c r="S1443" s="223"/>
      <c r="T1443" s="223"/>
      <c r="U1443" s="223"/>
      <c r="V1443" s="223"/>
      <c r="W1443" s="224"/>
    </row>
    <row r="1444" spans="1:23" ht="12.75" customHeight="1">
      <c r="G1444" s="11"/>
      <c r="H1444" s="11"/>
      <c r="I1444" s="11"/>
      <c r="J1444" s="11"/>
      <c r="M1444" s="77"/>
      <c r="N1444" s="77"/>
      <c r="O1444" s="77"/>
      <c r="P1444" s="77"/>
      <c r="Q1444" s="77"/>
      <c r="R1444" s="77"/>
      <c r="S1444" s="77"/>
      <c r="T1444" s="77"/>
      <c r="U1444" s="77"/>
      <c r="V1444" s="77"/>
      <c r="W1444" s="77"/>
    </row>
    <row r="1445" spans="1:23" ht="12.75" customHeight="1">
      <c r="B1445" s="64" t="s">
        <v>771</v>
      </c>
      <c r="G1445" s="11" t="s">
        <v>10</v>
      </c>
      <c r="H1445" s="78">
        <v>2</v>
      </c>
      <c r="I1445" s="78">
        <v>0</v>
      </c>
      <c r="J1445" s="78">
        <v>1</v>
      </c>
      <c r="K1445" s="91">
        <v>1</v>
      </c>
      <c r="M1445" s="246" t="s">
        <v>102</v>
      </c>
      <c r="N1445" s="223"/>
      <c r="O1445" s="223"/>
      <c r="P1445" s="223"/>
      <c r="Q1445" s="223"/>
      <c r="R1445" s="223"/>
      <c r="S1445" s="223"/>
      <c r="T1445" s="223"/>
      <c r="U1445" s="223"/>
      <c r="V1445" s="223"/>
      <c r="W1445" s="224"/>
    </row>
    <row r="1446" spans="1:23" ht="12.75" customHeight="1">
      <c r="G1446" s="11"/>
    </row>
    <row r="1447" spans="1:23" ht="12.75" customHeight="1">
      <c r="B1447" s="64" t="s">
        <v>772</v>
      </c>
      <c r="G1447" s="11" t="s">
        <v>10</v>
      </c>
      <c r="H1447" s="246" t="s">
        <v>102</v>
      </c>
      <c r="I1447" s="223"/>
      <c r="J1447" s="223"/>
      <c r="K1447" s="223"/>
      <c r="L1447" s="223"/>
      <c r="M1447" s="223"/>
      <c r="N1447" s="223"/>
      <c r="O1447" s="223"/>
      <c r="P1447" s="223"/>
      <c r="Q1447" s="223"/>
      <c r="R1447" s="223"/>
      <c r="S1447" s="223"/>
      <c r="T1447" s="223"/>
      <c r="U1447" s="223"/>
      <c r="V1447" s="223"/>
      <c r="W1447" s="224"/>
    </row>
    <row r="1448" spans="1:23" ht="12.75" customHeight="1"/>
    <row r="1449" spans="1:23" ht="12.75" customHeight="1">
      <c r="B1449" s="196" t="s">
        <v>933</v>
      </c>
      <c r="C1449" s="194"/>
      <c r="D1449" s="194"/>
      <c r="E1449" s="194"/>
      <c r="F1449" s="194"/>
      <c r="G1449" s="194"/>
      <c r="H1449" s="194"/>
      <c r="I1449" s="194"/>
      <c r="J1449" s="194"/>
      <c r="K1449" s="194"/>
      <c r="L1449" s="194"/>
      <c r="M1449" s="194"/>
      <c r="N1449" s="194"/>
      <c r="O1449" s="194"/>
      <c r="P1449" s="194"/>
      <c r="Q1449" s="194"/>
      <c r="R1449" s="194"/>
      <c r="S1449" s="194"/>
      <c r="T1449" s="194"/>
      <c r="U1449" s="194"/>
      <c r="V1449" s="194"/>
      <c r="W1449" s="194"/>
    </row>
    <row r="1450" spans="1:23" ht="12.75" customHeight="1">
      <c r="B1450" s="225" t="s">
        <v>853</v>
      </c>
      <c r="C1450" s="194"/>
      <c r="D1450" s="194"/>
      <c r="E1450" s="194"/>
      <c r="F1450" s="194"/>
      <c r="G1450" s="194"/>
      <c r="H1450" s="194"/>
      <c r="I1450" s="194"/>
      <c r="J1450" s="194"/>
      <c r="K1450" s="194"/>
      <c r="L1450" s="194"/>
      <c r="M1450" s="194"/>
      <c r="N1450" s="194"/>
      <c r="O1450" s="194"/>
      <c r="P1450" s="194"/>
      <c r="Q1450" s="194"/>
      <c r="R1450" s="194"/>
      <c r="S1450" s="194"/>
      <c r="T1450" s="194"/>
      <c r="U1450" s="194"/>
      <c r="V1450" s="194"/>
      <c r="W1450" s="194"/>
    </row>
    <row r="1451" spans="1:23" ht="12.75" customHeight="1">
      <c r="B1451" s="225" t="s">
        <v>934</v>
      </c>
      <c r="C1451" s="194"/>
      <c r="D1451" s="194"/>
      <c r="E1451" s="194"/>
      <c r="F1451" s="194"/>
      <c r="G1451" s="194"/>
      <c r="H1451" s="194"/>
      <c r="I1451" s="194"/>
      <c r="J1451" s="194"/>
      <c r="K1451" s="194"/>
      <c r="L1451" s="194"/>
      <c r="M1451" s="194"/>
      <c r="N1451" s="194"/>
      <c r="O1451" s="194"/>
      <c r="P1451" s="194"/>
      <c r="Q1451" s="194"/>
      <c r="R1451" s="194"/>
      <c r="S1451" s="194"/>
      <c r="T1451" s="194"/>
      <c r="U1451" s="194"/>
      <c r="V1451" s="194"/>
      <c r="W1451" s="194"/>
    </row>
    <row r="1452" spans="1:23" ht="12.75" customHeight="1">
      <c r="A1452" s="11"/>
      <c r="B1452" s="38" t="s">
        <v>777</v>
      </c>
    </row>
    <row r="1453" spans="1:23" ht="12.75" customHeight="1"/>
    <row r="1454" spans="1:23" ht="12.75" customHeight="1">
      <c r="B1454" s="152" t="s">
        <v>111</v>
      </c>
      <c r="C1454" s="64" t="s">
        <v>387</v>
      </c>
      <c r="H1454" s="78">
        <v>3</v>
      </c>
      <c r="I1454" s="78">
        <v>3</v>
      </c>
      <c r="J1454" s="78">
        <v>2</v>
      </c>
      <c r="K1454" s="78">
        <v>7</v>
      </c>
      <c r="L1454" s="78">
        <v>0</v>
      </c>
      <c r="M1454" s="78">
        <v>4</v>
      </c>
      <c r="N1454" s="78">
        <v>1</v>
      </c>
      <c r="O1454" s="78">
        <v>5</v>
      </c>
      <c r="P1454" s="78">
        <v>0</v>
      </c>
      <c r="Q1454" s="78">
        <v>8</v>
      </c>
      <c r="R1454" s="78">
        <v>0</v>
      </c>
      <c r="S1454" s="78">
        <v>7</v>
      </c>
      <c r="T1454" s="78">
        <v>0</v>
      </c>
      <c r="U1454" s="78">
        <v>0</v>
      </c>
      <c r="V1454" s="78">
        <v>4</v>
      </c>
      <c r="W1454" s="78">
        <v>3</v>
      </c>
    </row>
    <row r="1455" spans="1:23" ht="12.75" customHeight="1">
      <c r="B1455" s="11"/>
    </row>
    <row r="1456" spans="1:23" ht="12.75" customHeight="1">
      <c r="B1456" s="152" t="s">
        <v>115</v>
      </c>
      <c r="C1456" s="64" t="s">
        <v>385</v>
      </c>
      <c r="H1456" s="246" t="s">
        <v>935</v>
      </c>
      <c r="I1456" s="223"/>
      <c r="J1456" s="223"/>
      <c r="K1456" s="223"/>
      <c r="L1456" s="223"/>
      <c r="M1456" s="223"/>
      <c r="N1456" s="223"/>
      <c r="O1456" s="223"/>
      <c r="P1456" s="223"/>
      <c r="Q1456" s="223"/>
      <c r="R1456" s="223"/>
      <c r="S1456" s="223"/>
      <c r="T1456" s="223"/>
      <c r="U1456" s="223"/>
      <c r="V1456" s="223"/>
      <c r="W1456" s="224"/>
    </row>
    <row r="1457" spans="2:23" ht="12.75" customHeight="1">
      <c r="B1457" s="11"/>
    </row>
    <row r="1458" spans="2:23" ht="12.75" customHeight="1">
      <c r="B1458" s="152" t="s">
        <v>118</v>
      </c>
      <c r="C1458" s="64" t="s">
        <v>345</v>
      </c>
      <c r="H1458" s="246" t="s">
        <v>102</v>
      </c>
      <c r="I1458" s="223"/>
      <c r="J1458" s="223"/>
      <c r="K1458" s="223"/>
      <c r="L1458" s="223"/>
      <c r="M1458" s="223"/>
      <c r="N1458" s="223"/>
      <c r="O1458" s="224"/>
      <c r="P1458" s="64" t="s">
        <v>675</v>
      </c>
      <c r="Q1458" s="78">
        <v>0</v>
      </c>
      <c r="R1458" s="78">
        <v>0</v>
      </c>
      <c r="S1458" s="78">
        <v>1</v>
      </c>
      <c r="T1458" s="11" t="s">
        <v>676</v>
      </c>
      <c r="U1458" s="78">
        <v>0</v>
      </c>
      <c r="V1458" s="78">
        <v>0</v>
      </c>
      <c r="W1458" s="78">
        <v>1</v>
      </c>
    </row>
    <row r="1459" spans="2:23" ht="12.75" customHeight="1">
      <c r="B1459" s="11"/>
    </row>
    <row r="1460" spans="2:23" ht="12.75" customHeight="1">
      <c r="B1460" s="11"/>
      <c r="H1460" s="64" t="s">
        <v>779</v>
      </c>
      <c r="L1460" s="248" t="s">
        <v>102</v>
      </c>
      <c r="M1460" s="223"/>
      <c r="N1460" s="223"/>
      <c r="O1460" s="223"/>
      <c r="P1460" s="223"/>
      <c r="Q1460" s="223"/>
      <c r="R1460" s="223"/>
      <c r="S1460" s="223"/>
      <c r="T1460" s="223"/>
      <c r="U1460" s="223"/>
      <c r="V1460" s="223"/>
      <c r="W1460" s="224"/>
    </row>
    <row r="1461" spans="2:23" ht="12.75" customHeight="1">
      <c r="B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</row>
    <row r="1462" spans="2:23" ht="12.75" customHeight="1">
      <c r="B1462" s="11"/>
      <c r="C1462" s="64" t="s">
        <v>414</v>
      </c>
      <c r="H1462" s="246" t="s">
        <v>102</v>
      </c>
      <c r="I1462" s="223"/>
      <c r="J1462" s="223"/>
      <c r="K1462" s="223"/>
      <c r="L1462" s="223"/>
      <c r="M1462" s="224"/>
      <c r="O1462" s="64" t="s">
        <v>562</v>
      </c>
      <c r="R1462" s="246" t="s">
        <v>106</v>
      </c>
      <c r="S1462" s="223"/>
      <c r="T1462" s="223"/>
      <c r="U1462" s="223"/>
      <c r="V1462" s="223"/>
      <c r="W1462" s="224"/>
    </row>
    <row r="1463" spans="2:23" ht="12.75" customHeight="1">
      <c r="B1463" s="11"/>
      <c r="R1463" s="77"/>
      <c r="S1463" s="77"/>
      <c r="T1463" s="77"/>
      <c r="U1463" s="77"/>
      <c r="V1463" s="77"/>
      <c r="W1463" s="77"/>
    </row>
    <row r="1464" spans="2:23" ht="12.75" customHeight="1">
      <c r="B1464" s="11"/>
      <c r="C1464" s="64" t="s">
        <v>416</v>
      </c>
      <c r="H1464" s="246" t="s">
        <v>104</v>
      </c>
      <c r="I1464" s="223"/>
      <c r="J1464" s="223"/>
      <c r="K1464" s="223"/>
      <c r="L1464" s="223"/>
      <c r="M1464" s="224"/>
      <c r="O1464" s="64" t="s">
        <v>417</v>
      </c>
      <c r="R1464" s="246" t="s">
        <v>418</v>
      </c>
      <c r="S1464" s="223"/>
      <c r="T1464" s="223"/>
      <c r="U1464" s="223"/>
      <c r="V1464" s="223"/>
      <c r="W1464" s="224"/>
    </row>
    <row r="1465" spans="2:23" ht="12.75" customHeight="1">
      <c r="B1465" s="11"/>
      <c r="H1465" s="11"/>
      <c r="I1465" s="11"/>
      <c r="J1465" s="11"/>
      <c r="K1465" s="11"/>
      <c r="L1465" s="11"/>
      <c r="M1465" s="11"/>
      <c r="R1465" s="11"/>
      <c r="S1465" s="11"/>
      <c r="T1465" s="11"/>
      <c r="U1465" s="11"/>
      <c r="V1465" s="11"/>
      <c r="W1465" s="11"/>
    </row>
    <row r="1466" spans="2:23" ht="12.75" customHeight="1">
      <c r="B1466" s="11"/>
      <c r="H1466" s="11" t="s">
        <v>674</v>
      </c>
      <c r="I1466" s="11"/>
      <c r="J1466" s="78">
        <v>5</v>
      </c>
      <c r="K1466" s="78">
        <v>2</v>
      </c>
      <c r="L1466" s="78">
        <v>3</v>
      </c>
      <c r="M1466" s="78">
        <v>5</v>
      </c>
      <c r="N1466" s="78">
        <v>7</v>
      </c>
      <c r="P1466" s="64" t="s">
        <v>680</v>
      </c>
      <c r="R1466" s="78"/>
      <c r="S1466" s="78"/>
      <c r="T1466" s="78"/>
      <c r="U1466" s="78"/>
      <c r="V1466" s="78"/>
      <c r="W1466" s="78"/>
    </row>
    <row r="1467" spans="2:23" ht="12.75" customHeight="1">
      <c r="B1467" s="11"/>
    </row>
    <row r="1468" spans="2:23" ht="12.75" customHeight="1">
      <c r="B1468" s="152" t="s">
        <v>121</v>
      </c>
      <c r="C1468" s="64" t="s">
        <v>780</v>
      </c>
      <c r="H1468" s="78">
        <v>3</v>
      </c>
      <c r="I1468" s="78">
        <v>3</v>
      </c>
      <c r="J1468" s="78">
        <v>2</v>
      </c>
      <c r="K1468" s="78">
        <v>7</v>
      </c>
      <c r="L1468" s="78">
        <v>0</v>
      </c>
      <c r="M1468" s="78">
        <v>4</v>
      </c>
      <c r="N1468" s="78">
        <v>3</v>
      </c>
      <c r="O1468" s="78">
        <v>0</v>
      </c>
      <c r="P1468" s="78">
        <v>1</v>
      </c>
      <c r="Q1468" s="78">
        <v>1</v>
      </c>
      <c r="R1468" s="78">
        <v>0</v>
      </c>
      <c r="S1468" s="78">
        <v>2</v>
      </c>
      <c r="T1468" s="78">
        <v>0</v>
      </c>
      <c r="U1468" s="78">
        <v>0</v>
      </c>
      <c r="V1468" s="78">
        <v>0</v>
      </c>
      <c r="W1468" s="78">
        <v>4</v>
      </c>
    </row>
    <row r="1469" spans="2:23" ht="12.75" customHeight="1">
      <c r="B1469" s="11"/>
    </row>
    <row r="1470" spans="2:23" ht="12.75" customHeight="1">
      <c r="B1470" s="152" t="s">
        <v>124</v>
      </c>
      <c r="C1470" s="64" t="s">
        <v>391</v>
      </c>
      <c r="H1470" s="246" t="s">
        <v>936</v>
      </c>
      <c r="I1470" s="223"/>
      <c r="J1470" s="223"/>
      <c r="K1470" s="223"/>
      <c r="L1470" s="223"/>
      <c r="M1470" s="223"/>
      <c r="N1470" s="223"/>
      <c r="O1470" s="223"/>
      <c r="P1470" s="223"/>
      <c r="Q1470" s="223"/>
      <c r="R1470" s="223"/>
      <c r="S1470" s="223"/>
      <c r="T1470" s="223"/>
      <c r="U1470" s="223"/>
      <c r="V1470" s="223"/>
      <c r="W1470" s="224"/>
    </row>
    <row r="1471" spans="2:23" ht="12.75" customHeight="1"/>
    <row r="1472" spans="2:23" ht="12.75" customHeight="1"/>
    <row r="1473" spans="1:23" ht="12.75" customHeight="1">
      <c r="B1473" s="38" t="s">
        <v>782</v>
      </c>
      <c r="I1473" s="225"/>
      <c r="J1473" s="194"/>
      <c r="K1473" s="194"/>
      <c r="L1473" s="194"/>
    </row>
    <row r="1474" spans="1:23" ht="12.75" customHeight="1"/>
    <row r="1475" spans="1:23" ht="12.75" customHeight="1">
      <c r="A1475" s="11"/>
      <c r="B1475" s="152" t="s">
        <v>111</v>
      </c>
      <c r="C1475" s="64" t="s">
        <v>783</v>
      </c>
      <c r="H1475" s="78">
        <v>2</v>
      </c>
      <c r="I1475" s="64" t="s">
        <v>784</v>
      </c>
    </row>
    <row r="1476" spans="1:23" ht="12.75" customHeight="1">
      <c r="A1476" s="11"/>
      <c r="B1476" s="11"/>
    </row>
    <row r="1477" spans="1:23" ht="12.75" customHeight="1">
      <c r="A1477" s="11"/>
      <c r="B1477" s="152" t="s">
        <v>115</v>
      </c>
      <c r="C1477" s="64" t="s">
        <v>387</v>
      </c>
      <c r="H1477" s="78"/>
      <c r="I1477" s="78"/>
      <c r="J1477" s="78"/>
      <c r="K1477" s="78"/>
      <c r="L1477" s="78"/>
      <c r="M1477" s="78"/>
      <c r="N1477" s="78"/>
      <c r="O1477" s="78"/>
      <c r="P1477" s="78"/>
      <c r="Q1477" s="78"/>
      <c r="R1477" s="78"/>
      <c r="S1477" s="78"/>
      <c r="T1477" s="78"/>
      <c r="U1477" s="78"/>
      <c r="V1477" s="78"/>
      <c r="W1477" s="78"/>
    </row>
    <row r="1478" spans="1:23" ht="12.75" customHeight="1">
      <c r="A1478" s="11"/>
      <c r="B1478" s="11"/>
    </row>
    <row r="1479" spans="1:23" ht="12.75" customHeight="1">
      <c r="A1479" s="11"/>
      <c r="B1479" s="152" t="s">
        <v>118</v>
      </c>
      <c r="C1479" s="64" t="s">
        <v>785</v>
      </c>
      <c r="H1479" s="78">
        <v>3</v>
      </c>
      <c r="I1479" s="78">
        <v>3</v>
      </c>
      <c r="J1479" s="78">
        <v>2</v>
      </c>
      <c r="K1479" s="78">
        <v>7</v>
      </c>
      <c r="L1479" s="78">
        <v>0</v>
      </c>
      <c r="M1479" s="78">
        <v>4</v>
      </c>
      <c r="N1479" s="78">
        <v>3</v>
      </c>
      <c r="O1479" s="78">
        <v>0</v>
      </c>
      <c r="P1479" s="78">
        <v>1</v>
      </c>
      <c r="Q1479" s="78">
        <v>1</v>
      </c>
      <c r="R1479" s="78">
        <v>0</v>
      </c>
      <c r="S1479" s="78">
        <v>2</v>
      </c>
      <c r="T1479" s="78">
        <v>0</v>
      </c>
      <c r="U1479" s="78">
        <v>0</v>
      </c>
      <c r="V1479" s="78">
        <v>0</v>
      </c>
      <c r="W1479" s="78">
        <v>4</v>
      </c>
    </row>
    <row r="1480" spans="1:23" ht="12.75" customHeight="1">
      <c r="A1480" s="11"/>
      <c r="B1480" s="11"/>
    </row>
    <row r="1481" spans="1:23" ht="12.75" customHeight="1">
      <c r="A1481" s="11"/>
      <c r="B1481" s="152" t="s">
        <v>121</v>
      </c>
      <c r="C1481" s="64" t="s">
        <v>385</v>
      </c>
      <c r="H1481" s="246" t="s">
        <v>936</v>
      </c>
      <c r="I1481" s="223"/>
      <c r="J1481" s="223"/>
      <c r="K1481" s="223"/>
      <c r="L1481" s="223"/>
      <c r="M1481" s="223"/>
      <c r="N1481" s="223"/>
      <c r="O1481" s="223"/>
      <c r="P1481" s="223"/>
      <c r="Q1481" s="223"/>
      <c r="R1481" s="223"/>
      <c r="S1481" s="223"/>
      <c r="T1481" s="223"/>
      <c r="U1481" s="223"/>
      <c r="V1481" s="223"/>
      <c r="W1481" s="224"/>
    </row>
    <row r="1482" spans="1:23" ht="12.75" customHeight="1">
      <c r="A1482" s="11"/>
      <c r="B1482" s="11"/>
    </row>
    <row r="1483" spans="1:23" ht="12.75" customHeight="1">
      <c r="A1483" s="11"/>
      <c r="B1483" s="152" t="s">
        <v>124</v>
      </c>
      <c r="C1483" s="64" t="s">
        <v>786</v>
      </c>
      <c r="H1483" s="78"/>
      <c r="I1483" s="78"/>
      <c r="J1483" s="11"/>
      <c r="K1483" s="78"/>
      <c r="L1483" s="78"/>
      <c r="M1483" s="11"/>
      <c r="N1483" s="78">
        <v>2</v>
      </c>
      <c r="O1483" s="78">
        <v>0</v>
      </c>
      <c r="P1483" s="78">
        <v>2</v>
      </c>
      <c r="Q1483" s="78">
        <v>3</v>
      </c>
    </row>
    <row r="1484" spans="1:23" ht="12.75" customHeight="1">
      <c r="A1484" s="11"/>
      <c r="B1484" s="11"/>
    </row>
    <row r="1485" spans="1:23" ht="12.75" customHeight="1">
      <c r="A1485" s="11"/>
      <c r="B1485" s="152" t="s">
        <v>127</v>
      </c>
      <c r="C1485" s="64" t="s">
        <v>345</v>
      </c>
      <c r="F1485" s="91"/>
      <c r="H1485" s="246" t="s">
        <v>937</v>
      </c>
      <c r="I1485" s="223"/>
      <c r="J1485" s="223"/>
      <c r="K1485" s="223"/>
      <c r="L1485" s="223"/>
      <c r="M1485" s="223"/>
      <c r="N1485" s="224"/>
      <c r="P1485" s="64" t="s">
        <v>675</v>
      </c>
      <c r="Q1485" s="78">
        <v>0</v>
      </c>
      <c r="R1485" s="78">
        <v>0</v>
      </c>
      <c r="S1485" s="78">
        <v>1</v>
      </c>
      <c r="T1485" s="11" t="s">
        <v>676</v>
      </c>
      <c r="U1485" s="78">
        <v>0</v>
      </c>
      <c r="V1485" s="78">
        <v>0</v>
      </c>
      <c r="W1485" s="78">
        <v>3</v>
      </c>
    </row>
    <row r="1486" spans="1:23" ht="12.75" customHeight="1">
      <c r="A1486" s="11"/>
      <c r="B1486" s="11"/>
    </row>
    <row r="1487" spans="1:23" ht="12.75" customHeight="1">
      <c r="A1487" s="11"/>
      <c r="B1487" s="11"/>
      <c r="F1487" s="91"/>
      <c r="H1487" s="64" t="s">
        <v>779</v>
      </c>
      <c r="L1487" s="246" t="s">
        <v>937</v>
      </c>
      <c r="M1487" s="223"/>
      <c r="N1487" s="223"/>
      <c r="O1487" s="223"/>
      <c r="P1487" s="223"/>
      <c r="Q1487" s="223"/>
      <c r="R1487" s="223"/>
      <c r="S1487" s="223"/>
      <c r="T1487" s="223"/>
      <c r="U1487" s="223"/>
      <c r="V1487" s="223"/>
      <c r="W1487" s="224"/>
    </row>
    <row r="1488" spans="1:23" ht="12.75" customHeight="1">
      <c r="A1488" s="11"/>
      <c r="B1488" s="11"/>
      <c r="H1488" s="77"/>
      <c r="I1488" s="77"/>
      <c r="J1488" s="77"/>
      <c r="K1488" s="77"/>
      <c r="L1488" s="77"/>
      <c r="M1488" s="77"/>
    </row>
    <row r="1489" spans="1:23" ht="12.75" customHeight="1">
      <c r="A1489" s="11"/>
      <c r="B1489" s="11"/>
      <c r="C1489" s="64" t="s">
        <v>414</v>
      </c>
      <c r="H1489" s="246" t="s">
        <v>937</v>
      </c>
      <c r="I1489" s="223"/>
      <c r="J1489" s="223"/>
      <c r="K1489" s="223"/>
      <c r="L1489" s="223"/>
      <c r="M1489" s="224"/>
      <c r="O1489" s="64" t="s">
        <v>562</v>
      </c>
      <c r="R1489" s="246" t="s">
        <v>860</v>
      </c>
      <c r="S1489" s="223"/>
      <c r="T1489" s="223"/>
      <c r="U1489" s="223"/>
      <c r="V1489" s="223"/>
      <c r="W1489" s="224"/>
    </row>
    <row r="1490" spans="1:23" ht="12.75" customHeight="1">
      <c r="A1490" s="11"/>
      <c r="B1490" s="11"/>
      <c r="H1490" s="77"/>
      <c r="I1490" s="77"/>
      <c r="J1490" s="77"/>
      <c r="K1490" s="77"/>
      <c r="L1490" s="77"/>
      <c r="M1490" s="77"/>
    </row>
    <row r="1491" spans="1:23" ht="12.75" customHeight="1">
      <c r="A1491" s="11"/>
      <c r="B1491" s="11"/>
      <c r="C1491" s="64" t="s">
        <v>563</v>
      </c>
      <c r="H1491" s="246" t="s">
        <v>938</v>
      </c>
      <c r="I1491" s="223"/>
      <c r="J1491" s="223"/>
      <c r="K1491" s="223"/>
      <c r="L1491" s="223"/>
      <c r="M1491" s="224"/>
      <c r="O1491" s="64" t="s">
        <v>417</v>
      </c>
      <c r="R1491" s="246" t="s">
        <v>418</v>
      </c>
      <c r="S1491" s="223"/>
      <c r="T1491" s="223"/>
      <c r="U1491" s="223"/>
      <c r="V1491" s="223"/>
      <c r="W1491" s="224"/>
    </row>
    <row r="1492" spans="1:23" ht="12.75" customHeight="1">
      <c r="A1492" s="11"/>
      <c r="B1492" s="11"/>
    </row>
    <row r="1493" spans="1:23" ht="12.75" customHeight="1">
      <c r="A1493" s="11"/>
      <c r="B1493" s="152" t="s">
        <v>130</v>
      </c>
      <c r="C1493" s="64" t="s">
        <v>926</v>
      </c>
    </row>
    <row r="1494" spans="1:23" ht="12.75" customHeight="1"/>
    <row r="1495" spans="1:23" ht="12.75" customHeight="1">
      <c r="B1495" s="104" t="s">
        <v>684</v>
      </c>
      <c r="C1495" s="275" t="s">
        <v>340</v>
      </c>
      <c r="D1495" s="223"/>
      <c r="E1495" s="223"/>
      <c r="F1495" s="223"/>
      <c r="G1495" s="223"/>
      <c r="H1495" s="223"/>
      <c r="I1495" s="223"/>
      <c r="J1495" s="223"/>
      <c r="K1495" s="224"/>
      <c r="L1495" s="275" t="s">
        <v>791</v>
      </c>
      <c r="M1495" s="223"/>
      <c r="N1495" s="223"/>
      <c r="O1495" s="223"/>
      <c r="P1495" s="223"/>
      <c r="Q1495" s="224"/>
      <c r="R1495" s="286" t="s">
        <v>939</v>
      </c>
      <c r="S1495" s="223"/>
      <c r="T1495" s="224"/>
      <c r="U1495" s="275" t="s">
        <v>793</v>
      </c>
      <c r="V1495" s="223"/>
      <c r="W1495" s="224"/>
    </row>
    <row r="1496" spans="1:23" ht="12.75" customHeight="1">
      <c r="B1496" s="78">
        <v>1</v>
      </c>
      <c r="C1496" s="288" t="s">
        <v>940</v>
      </c>
      <c r="D1496" s="223"/>
      <c r="E1496" s="223"/>
      <c r="F1496" s="223"/>
      <c r="G1496" s="223"/>
      <c r="H1496" s="223"/>
      <c r="I1496" s="223"/>
      <c r="J1496" s="223"/>
      <c r="K1496" s="224"/>
      <c r="L1496" s="246" t="s">
        <v>936</v>
      </c>
      <c r="M1496" s="223"/>
      <c r="N1496" s="223"/>
      <c r="O1496" s="223"/>
      <c r="P1496" s="223"/>
      <c r="Q1496" s="224"/>
      <c r="R1496" s="287">
        <v>37590</v>
      </c>
      <c r="S1496" s="223"/>
      <c r="T1496" s="224"/>
      <c r="U1496" s="252" t="s">
        <v>795</v>
      </c>
      <c r="V1496" s="223"/>
      <c r="W1496" s="224"/>
    </row>
    <row r="1497" spans="1:23" ht="12.75" customHeight="1">
      <c r="B1497" s="78">
        <v>2</v>
      </c>
      <c r="C1497" s="246"/>
      <c r="D1497" s="223"/>
      <c r="E1497" s="223"/>
      <c r="F1497" s="223"/>
      <c r="G1497" s="223"/>
      <c r="H1497" s="223"/>
      <c r="I1497" s="223"/>
      <c r="J1497" s="223"/>
      <c r="K1497" s="224"/>
      <c r="L1497" s="246"/>
      <c r="M1497" s="223"/>
      <c r="N1497" s="223"/>
      <c r="O1497" s="223"/>
      <c r="P1497" s="223"/>
      <c r="Q1497" s="224"/>
      <c r="R1497" s="287"/>
      <c r="S1497" s="223"/>
      <c r="T1497" s="224"/>
      <c r="U1497" s="252"/>
      <c r="V1497" s="223"/>
      <c r="W1497" s="224"/>
    </row>
    <row r="1498" spans="1:23" ht="12.75" customHeight="1">
      <c r="B1498" s="78">
        <v>3</v>
      </c>
      <c r="C1498" s="246"/>
      <c r="D1498" s="223"/>
      <c r="E1498" s="223"/>
      <c r="F1498" s="223"/>
      <c r="G1498" s="223"/>
      <c r="H1498" s="223"/>
      <c r="I1498" s="223"/>
      <c r="J1498" s="223"/>
      <c r="K1498" s="224"/>
      <c r="L1498" s="246"/>
      <c r="M1498" s="223"/>
      <c r="N1498" s="223"/>
      <c r="O1498" s="223"/>
      <c r="P1498" s="223"/>
      <c r="Q1498" s="224"/>
      <c r="R1498" s="287"/>
      <c r="S1498" s="223"/>
      <c r="T1498" s="224"/>
      <c r="U1498" s="252"/>
      <c r="V1498" s="223"/>
      <c r="W1498" s="224"/>
    </row>
    <row r="1499" spans="1:23" ht="12.75" customHeight="1">
      <c r="B1499" s="78">
        <v>4</v>
      </c>
      <c r="C1499" s="252"/>
      <c r="D1499" s="223"/>
      <c r="E1499" s="223"/>
      <c r="F1499" s="223"/>
      <c r="G1499" s="223"/>
      <c r="H1499" s="223"/>
      <c r="I1499" s="223"/>
      <c r="J1499" s="223"/>
      <c r="K1499" s="224"/>
      <c r="L1499" s="252"/>
      <c r="M1499" s="223"/>
      <c r="N1499" s="223"/>
      <c r="O1499" s="223"/>
      <c r="P1499" s="223"/>
      <c r="Q1499" s="224"/>
      <c r="R1499" s="252"/>
      <c r="S1499" s="223"/>
      <c r="T1499" s="224"/>
      <c r="U1499" s="252"/>
      <c r="V1499" s="223"/>
      <c r="W1499" s="224"/>
    </row>
    <row r="1500" spans="1:23" ht="12.75" customHeight="1">
      <c r="B1500" s="78">
        <v>5</v>
      </c>
      <c r="C1500" s="252"/>
      <c r="D1500" s="223"/>
      <c r="E1500" s="223"/>
      <c r="F1500" s="223"/>
      <c r="G1500" s="223"/>
      <c r="H1500" s="223"/>
      <c r="I1500" s="223"/>
      <c r="J1500" s="223"/>
      <c r="K1500" s="224"/>
      <c r="L1500" s="252"/>
      <c r="M1500" s="223"/>
      <c r="N1500" s="223"/>
      <c r="O1500" s="223"/>
      <c r="P1500" s="223"/>
      <c r="Q1500" s="224"/>
      <c r="R1500" s="252"/>
      <c r="S1500" s="223"/>
      <c r="T1500" s="224"/>
      <c r="U1500" s="252"/>
      <c r="V1500" s="223"/>
      <c r="W1500" s="224"/>
    </row>
    <row r="1501" spans="1:23" ht="12.75" customHeight="1">
      <c r="B1501" s="78">
        <v>6</v>
      </c>
      <c r="C1501" s="252"/>
      <c r="D1501" s="223"/>
      <c r="E1501" s="223"/>
      <c r="F1501" s="223"/>
      <c r="G1501" s="223"/>
      <c r="H1501" s="223"/>
      <c r="I1501" s="223"/>
      <c r="J1501" s="223"/>
      <c r="K1501" s="224"/>
      <c r="L1501" s="252"/>
      <c r="M1501" s="223"/>
      <c r="N1501" s="223"/>
      <c r="O1501" s="223"/>
      <c r="P1501" s="223"/>
      <c r="Q1501" s="224"/>
      <c r="R1501" s="252"/>
      <c r="S1501" s="223"/>
      <c r="T1501" s="224"/>
      <c r="U1501" s="252"/>
      <c r="V1501" s="223"/>
      <c r="W1501" s="224"/>
    </row>
    <row r="1502" spans="1:23" ht="12.75" customHeight="1">
      <c r="B1502" s="78">
        <v>7</v>
      </c>
      <c r="C1502" s="252"/>
      <c r="D1502" s="223"/>
      <c r="E1502" s="223"/>
      <c r="F1502" s="223"/>
      <c r="G1502" s="223"/>
      <c r="H1502" s="223"/>
      <c r="I1502" s="223"/>
      <c r="J1502" s="223"/>
      <c r="K1502" s="224"/>
      <c r="L1502" s="252"/>
      <c r="M1502" s="223"/>
      <c r="N1502" s="223"/>
      <c r="O1502" s="223"/>
      <c r="P1502" s="223"/>
      <c r="Q1502" s="224"/>
      <c r="R1502" s="252"/>
      <c r="S1502" s="223"/>
      <c r="T1502" s="224"/>
      <c r="U1502" s="252"/>
      <c r="V1502" s="223"/>
      <c r="W1502" s="224"/>
    </row>
    <row r="1503" spans="1:23" ht="12.75" customHeight="1"/>
    <row r="1504" spans="1:23" ht="12.75" customHeight="1"/>
    <row r="1505" spans="4:22" ht="12.75" customHeight="1">
      <c r="L1505" s="64" t="s">
        <v>480</v>
      </c>
      <c r="R1505" s="64" t="s">
        <v>941</v>
      </c>
    </row>
    <row r="1506" spans="4:22" ht="12.75" customHeight="1">
      <c r="D1506" s="64" t="s">
        <v>797</v>
      </c>
      <c r="J1506" s="225" t="s">
        <v>932</v>
      </c>
      <c r="K1506" s="194"/>
      <c r="L1506" s="194"/>
      <c r="M1506" s="194"/>
      <c r="N1506" s="194"/>
      <c r="O1506" s="194"/>
      <c r="S1506" s="64" t="s">
        <v>799</v>
      </c>
    </row>
    <row r="1507" spans="4:22" ht="12.75" customHeight="1">
      <c r="K1507" s="225" t="s">
        <v>365</v>
      </c>
      <c r="L1507" s="194"/>
      <c r="M1507" s="194"/>
      <c r="N1507" s="194"/>
      <c r="O1507" s="194"/>
    </row>
    <row r="1508" spans="4:22" ht="12.75" customHeight="1"/>
    <row r="1509" spans="4:22" ht="12.75" customHeight="1"/>
    <row r="1510" spans="4:22" ht="12.75" customHeight="1"/>
    <row r="1511" spans="4:22" ht="12.75" customHeight="1">
      <c r="D1511" s="225" t="s">
        <v>501</v>
      </c>
      <c r="E1511" s="194"/>
      <c r="F1511" s="194"/>
      <c r="K1511" s="225" t="s">
        <v>366</v>
      </c>
      <c r="L1511" s="194"/>
      <c r="M1511" s="194"/>
      <c r="N1511" s="194"/>
      <c r="Q1511" s="225" t="str">
        <f>L1496</f>
        <v>ZAINUN NADIF</v>
      </c>
      <c r="R1511" s="194"/>
      <c r="S1511" s="194"/>
      <c r="T1511" s="194"/>
      <c r="U1511" s="194"/>
      <c r="V1511" s="194"/>
    </row>
    <row r="1512" spans="4:22" ht="12.75" customHeight="1"/>
    <row r="1513" spans="4:22" ht="12.75" customHeight="1"/>
    <row r="1514" spans="4:22" ht="12.75" customHeight="1"/>
    <row r="1515" spans="4:22" ht="12.75" customHeight="1"/>
    <row r="1516" spans="4:22" ht="12.75" customHeight="1"/>
    <row r="1517" spans="4:22" ht="12.75" customHeight="1"/>
    <row r="1518" spans="4:22" ht="12.75" customHeight="1"/>
    <row r="1519" spans="4:22" ht="12.75" customHeight="1"/>
    <row r="1520" spans="4:22" ht="12.75" customHeight="1"/>
    <row r="1521" spans="2:23" ht="12.75" customHeight="1"/>
    <row r="1522" spans="2:23" ht="12.75" customHeight="1"/>
    <row r="1523" spans="2:23" ht="12.75" customHeight="1"/>
    <row r="1524" spans="2:23" ht="12.75" customHeight="1"/>
    <row r="1525" spans="2:23" ht="12.75" customHeight="1"/>
    <row r="1526" spans="2:23" ht="12.75" customHeight="1"/>
    <row r="1527" spans="2:23" ht="12.75" customHeight="1"/>
    <row r="1528" spans="2:23" ht="12.75" customHeight="1"/>
    <row r="1529" spans="2:23" ht="12.75" customHeight="1"/>
    <row r="1530" spans="2:23" ht="12.75" customHeight="1">
      <c r="T1530" s="252" t="s">
        <v>916</v>
      </c>
      <c r="U1530" s="223"/>
      <c r="V1530" s="224"/>
    </row>
    <row r="1531" spans="2:23" ht="12.75" customHeight="1">
      <c r="B1531" s="151"/>
      <c r="C1531" s="151"/>
      <c r="D1531" s="151"/>
      <c r="E1531" s="151"/>
      <c r="F1531" s="151"/>
      <c r="G1531" s="151"/>
      <c r="H1531" s="151"/>
      <c r="I1531" s="151"/>
      <c r="J1531" s="151"/>
      <c r="K1531" s="151"/>
      <c r="L1531" s="151"/>
      <c r="M1531" s="151"/>
      <c r="N1531" s="151"/>
      <c r="O1531" s="151"/>
      <c r="P1531" s="151"/>
      <c r="Q1531" s="151"/>
      <c r="R1531" s="151"/>
      <c r="S1531" s="151"/>
      <c r="T1531" s="151"/>
      <c r="U1531" s="151"/>
      <c r="V1531" s="151"/>
      <c r="W1531" s="151"/>
    </row>
    <row r="1532" spans="2:23" ht="12.75" customHeight="1"/>
    <row r="1533" spans="2:23" ht="12.75" customHeight="1">
      <c r="B1533" s="64" t="s">
        <v>770</v>
      </c>
      <c r="G1533" s="11" t="s">
        <v>10</v>
      </c>
      <c r="H1533" s="78">
        <v>3</v>
      </c>
      <c r="I1533" s="78">
        <v>3</v>
      </c>
      <c r="J1533" s="11"/>
      <c r="M1533" s="246" t="s">
        <v>418</v>
      </c>
      <c r="N1533" s="223"/>
      <c r="O1533" s="223"/>
      <c r="P1533" s="223"/>
      <c r="Q1533" s="223"/>
      <c r="R1533" s="223"/>
      <c r="S1533" s="223"/>
      <c r="T1533" s="223"/>
      <c r="U1533" s="223"/>
      <c r="V1533" s="223"/>
      <c r="W1533" s="224"/>
    </row>
    <row r="1534" spans="2:23" ht="12.75" customHeight="1">
      <c r="G1534" s="11"/>
      <c r="H1534" s="11"/>
      <c r="I1534" s="11"/>
      <c r="J1534" s="11"/>
      <c r="M1534" s="77"/>
      <c r="N1534" s="77"/>
      <c r="O1534" s="77"/>
      <c r="P1534" s="77"/>
      <c r="Q1534" s="77"/>
      <c r="R1534" s="77"/>
      <c r="S1534" s="77"/>
      <c r="T1534" s="77"/>
      <c r="U1534" s="77"/>
      <c r="V1534" s="77"/>
      <c r="W1534" s="77"/>
    </row>
    <row r="1535" spans="2:23" ht="12.75" customHeight="1">
      <c r="B1535" s="64" t="s">
        <v>105</v>
      </c>
      <c r="G1535" s="11" t="s">
        <v>10</v>
      </c>
      <c r="H1535" s="78">
        <v>2</v>
      </c>
      <c r="I1535" s="78">
        <v>7</v>
      </c>
      <c r="J1535" s="11"/>
      <c r="M1535" s="246" t="s">
        <v>106</v>
      </c>
      <c r="N1535" s="223"/>
      <c r="O1535" s="223"/>
      <c r="P1535" s="223"/>
      <c r="Q1535" s="223"/>
      <c r="R1535" s="223"/>
      <c r="S1535" s="223"/>
      <c r="T1535" s="223"/>
      <c r="U1535" s="223"/>
      <c r="V1535" s="223"/>
      <c r="W1535" s="224"/>
    </row>
    <row r="1536" spans="2:23" ht="12.75" customHeight="1">
      <c r="G1536" s="11"/>
      <c r="H1536" s="11"/>
      <c r="I1536" s="11"/>
      <c r="J1536" s="11"/>
      <c r="M1536" s="77"/>
      <c r="N1536" s="77"/>
      <c r="O1536" s="77"/>
      <c r="P1536" s="77"/>
      <c r="Q1536" s="77"/>
      <c r="R1536" s="77"/>
      <c r="S1536" s="77"/>
      <c r="T1536" s="77"/>
      <c r="U1536" s="77"/>
      <c r="V1536" s="77"/>
      <c r="W1536" s="77"/>
    </row>
    <row r="1537" spans="1:23" ht="12.75" customHeight="1">
      <c r="B1537" s="64" t="s">
        <v>103</v>
      </c>
      <c r="G1537" s="11" t="s">
        <v>10</v>
      </c>
      <c r="H1537" s="78">
        <v>4</v>
      </c>
      <c r="I1537" s="78">
        <v>0</v>
      </c>
      <c r="J1537" s="11"/>
      <c r="M1537" s="246" t="s">
        <v>104</v>
      </c>
      <c r="N1537" s="223"/>
      <c r="O1537" s="223"/>
      <c r="P1537" s="223"/>
      <c r="Q1537" s="223"/>
      <c r="R1537" s="223"/>
      <c r="S1537" s="223"/>
      <c r="T1537" s="223"/>
      <c r="U1537" s="223"/>
      <c r="V1537" s="223"/>
      <c r="W1537" s="224"/>
    </row>
    <row r="1538" spans="1:23" ht="12.75" customHeight="1">
      <c r="G1538" s="11"/>
      <c r="H1538" s="11"/>
      <c r="I1538" s="11"/>
      <c r="J1538" s="11"/>
      <c r="M1538" s="77"/>
      <c r="N1538" s="77"/>
      <c r="O1538" s="77"/>
      <c r="P1538" s="77"/>
      <c r="Q1538" s="77"/>
      <c r="R1538" s="77"/>
      <c r="S1538" s="77"/>
      <c r="T1538" s="77"/>
      <c r="U1538" s="77"/>
      <c r="V1538" s="77"/>
      <c r="W1538" s="77"/>
    </row>
    <row r="1539" spans="1:23" ht="12.75" customHeight="1">
      <c r="B1539" s="64" t="s">
        <v>771</v>
      </c>
      <c r="G1539" s="11" t="s">
        <v>10</v>
      </c>
      <c r="H1539" s="78">
        <v>2</v>
      </c>
      <c r="I1539" s="78">
        <v>0</v>
      </c>
      <c r="J1539" s="78">
        <v>1</v>
      </c>
      <c r="K1539" s="91">
        <v>1</v>
      </c>
      <c r="M1539" s="246" t="s">
        <v>102</v>
      </c>
      <c r="N1539" s="223"/>
      <c r="O1539" s="223"/>
      <c r="P1539" s="223"/>
      <c r="Q1539" s="223"/>
      <c r="R1539" s="223"/>
      <c r="S1539" s="223"/>
      <c r="T1539" s="223"/>
      <c r="U1539" s="223"/>
      <c r="V1539" s="223"/>
      <c r="W1539" s="224"/>
    </row>
    <row r="1540" spans="1:23" ht="12.75" customHeight="1">
      <c r="G1540" s="11"/>
    </row>
    <row r="1541" spans="1:23" ht="12.75" customHeight="1">
      <c r="B1541" s="64" t="s">
        <v>772</v>
      </c>
      <c r="G1541" s="11" t="s">
        <v>10</v>
      </c>
      <c r="H1541" s="246" t="s">
        <v>942</v>
      </c>
      <c r="I1541" s="223"/>
      <c r="J1541" s="223"/>
      <c r="K1541" s="223"/>
      <c r="L1541" s="223"/>
      <c r="M1541" s="223"/>
      <c r="N1541" s="223"/>
      <c r="O1541" s="223"/>
      <c r="P1541" s="223"/>
      <c r="Q1541" s="223"/>
      <c r="R1541" s="223"/>
      <c r="S1541" s="223"/>
      <c r="T1541" s="223"/>
      <c r="U1541" s="223"/>
      <c r="V1541" s="223"/>
      <c r="W1541" s="224"/>
    </row>
    <row r="1542" spans="1:23" ht="12.75" customHeight="1"/>
    <row r="1543" spans="1:23" ht="12.75" customHeight="1">
      <c r="B1543" s="196" t="s">
        <v>917</v>
      </c>
      <c r="C1543" s="194"/>
      <c r="D1543" s="194"/>
      <c r="E1543" s="194"/>
      <c r="F1543" s="194"/>
      <c r="G1543" s="194"/>
      <c r="H1543" s="194"/>
      <c r="I1543" s="194"/>
      <c r="J1543" s="194"/>
      <c r="K1543" s="194"/>
      <c r="L1543" s="194"/>
      <c r="M1543" s="194"/>
      <c r="N1543" s="194"/>
      <c r="O1543" s="194"/>
      <c r="P1543" s="194"/>
      <c r="Q1543" s="194"/>
      <c r="R1543" s="194"/>
      <c r="S1543" s="194"/>
      <c r="T1543" s="194"/>
      <c r="U1543" s="194"/>
      <c r="V1543" s="194"/>
      <c r="W1543" s="194"/>
    </row>
    <row r="1544" spans="1:23" ht="12.75" customHeight="1">
      <c r="B1544" s="225" t="s">
        <v>853</v>
      </c>
      <c r="C1544" s="194"/>
      <c r="D1544" s="194"/>
      <c r="E1544" s="194"/>
      <c r="F1544" s="194"/>
      <c r="G1544" s="194"/>
      <c r="H1544" s="194"/>
      <c r="I1544" s="194"/>
      <c r="J1544" s="194"/>
      <c r="K1544" s="194"/>
      <c r="L1544" s="194"/>
      <c r="M1544" s="194"/>
      <c r="N1544" s="194"/>
      <c r="O1544" s="194"/>
      <c r="P1544" s="194"/>
      <c r="Q1544" s="194"/>
      <c r="R1544" s="194"/>
      <c r="S1544" s="194"/>
      <c r="T1544" s="194"/>
      <c r="U1544" s="194"/>
      <c r="V1544" s="194"/>
      <c r="W1544" s="194"/>
    </row>
    <row r="1545" spans="1:23" ht="12.75" customHeight="1">
      <c r="B1545" s="225" t="s">
        <v>943</v>
      </c>
      <c r="C1545" s="194"/>
      <c r="D1545" s="194"/>
      <c r="E1545" s="194"/>
      <c r="F1545" s="194"/>
      <c r="G1545" s="194"/>
      <c r="H1545" s="194"/>
      <c r="I1545" s="194"/>
      <c r="J1545" s="194"/>
      <c r="K1545" s="194"/>
      <c r="L1545" s="194"/>
      <c r="M1545" s="194"/>
      <c r="N1545" s="194"/>
      <c r="O1545" s="194"/>
      <c r="P1545" s="194"/>
      <c r="Q1545" s="194"/>
      <c r="R1545" s="194"/>
      <c r="S1545" s="194"/>
      <c r="T1545" s="194"/>
      <c r="U1545" s="194"/>
      <c r="V1545" s="194"/>
      <c r="W1545" s="194"/>
    </row>
    <row r="1546" spans="1:23" ht="12.75" customHeight="1">
      <c r="A1546" s="11"/>
      <c r="B1546" s="38" t="s">
        <v>777</v>
      </c>
    </row>
    <row r="1547" spans="1:23" ht="12.75" customHeight="1"/>
    <row r="1548" spans="1:23" ht="12.75" customHeight="1">
      <c r="B1548" s="152" t="s">
        <v>111</v>
      </c>
      <c r="C1548" s="64" t="s">
        <v>387</v>
      </c>
      <c r="H1548" s="78">
        <v>3</v>
      </c>
      <c r="I1548" s="78">
        <v>3</v>
      </c>
      <c r="J1548" s="78">
        <v>0</v>
      </c>
      <c r="K1548" s="78">
        <v>3</v>
      </c>
      <c r="L1548" s="78">
        <v>0</v>
      </c>
      <c r="M1548" s="78">
        <v>4</v>
      </c>
      <c r="N1548" s="78">
        <v>0</v>
      </c>
      <c r="O1548" s="78">
        <v>2</v>
      </c>
      <c r="P1548" s="78">
        <v>0</v>
      </c>
      <c r="Q1548" s="78">
        <v>3</v>
      </c>
      <c r="R1548" s="78">
        <v>0</v>
      </c>
      <c r="S1548" s="78">
        <v>5</v>
      </c>
      <c r="T1548" s="78">
        <v>1</v>
      </c>
      <c r="U1548" s="78">
        <v>6</v>
      </c>
      <c r="V1548" s="78">
        <v>3</v>
      </c>
      <c r="W1548" s="78">
        <v>2</v>
      </c>
    </row>
    <row r="1549" spans="1:23" ht="12.75" customHeight="1">
      <c r="B1549" s="11"/>
    </row>
    <row r="1550" spans="1:23" ht="12.75" customHeight="1">
      <c r="B1550" s="152" t="s">
        <v>115</v>
      </c>
      <c r="C1550" s="64" t="s">
        <v>385</v>
      </c>
      <c r="H1550" s="246" t="s">
        <v>944</v>
      </c>
      <c r="I1550" s="223"/>
      <c r="J1550" s="223"/>
      <c r="K1550" s="223"/>
      <c r="L1550" s="223"/>
      <c r="M1550" s="223"/>
      <c r="N1550" s="223"/>
      <c r="O1550" s="223"/>
      <c r="P1550" s="223"/>
      <c r="Q1550" s="223"/>
      <c r="R1550" s="223"/>
      <c r="S1550" s="223"/>
      <c r="T1550" s="223"/>
      <c r="U1550" s="223"/>
      <c r="V1550" s="223"/>
      <c r="W1550" s="224"/>
    </row>
    <row r="1551" spans="1:23" ht="12.75" customHeight="1">
      <c r="B1551" s="11"/>
    </row>
    <row r="1552" spans="1:23" ht="12.75" customHeight="1">
      <c r="B1552" s="152" t="s">
        <v>118</v>
      </c>
      <c r="C1552" s="64" t="s">
        <v>345</v>
      </c>
      <c r="H1552" s="246" t="s">
        <v>945</v>
      </c>
      <c r="I1552" s="223"/>
      <c r="J1552" s="223"/>
      <c r="K1552" s="223"/>
      <c r="L1552" s="223"/>
      <c r="M1552" s="223"/>
      <c r="N1552" s="223"/>
      <c r="O1552" s="224"/>
      <c r="P1552" s="64" t="s">
        <v>675</v>
      </c>
      <c r="Q1552" s="78">
        <v>0</v>
      </c>
      <c r="R1552" s="78">
        <v>0</v>
      </c>
      <c r="S1552" s="78">
        <v>2</v>
      </c>
      <c r="T1552" s="11" t="s">
        <v>676</v>
      </c>
      <c r="U1552" s="78">
        <v>0</v>
      </c>
      <c r="V1552" s="78">
        <v>0</v>
      </c>
      <c r="W1552" s="78">
        <v>3</v>
      </c>
    </row>
    <row r="1553" spans="2:23" ht="12.75" customHeight="1">
      <c r="B1553" s="11"/>
    </row>
    <row r="1554" spans="2:23" ht="12.75" customHeight="1">
      <c r="B1554" s="11"/>
      <c r="H1554" s="64" t="s">
        <v>779</v>
      </c>
      <c r="L1554" s="248" t="s">
        <v>946</v>
      </c>
      <c r="M1554" s="223"/>
      <c r="N1554" s="223"/>
      <c r="O1554" s="223"/>
      <c r="P1554" s="223"/>
      <c r="Q1554" s="223"/>
      <c r="R1554" s="223"/>
      <c r="S1554" s="223"/>
      <c r="T1554" s="223"/>
      <c r="U1554" s="223"/>
      <c r="V1554" s="223"/>
      <c r="W1554" s="224"/>
    </row>
    <row r="1555" spans="2:23" ht="12.75" customHeight="1">
      <c r="B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</row>
    <row r="1556" spans="2:23" ht="12.75" customHeight="1">
      <c r="B1556" s="11"/>
      <c r="C1556" s="64" t="s">
        <v>414</v>
      </c>
      <c r="H1556" s="246" t="s">
        <v>945</v>
      </c>
      <c r="I1556" s="223"/>
      <c r="J1556" s="223"/>
      <c r="K1556" s="223"/>
      <c r="L1556" s="223"/>
      <c r="M1556" s="224"/>
      <c r="O1556" s="64" t="s">
        <v>562</v>
      </c>
      <c r="R1556" s="246" t="s">
        <v>860</v>
      </c>
      <c r="S1556" s="223"/>
      <c r="T1556" s="223"/>
      <c r="U1556" s="223"/>
      <c r="V1556" s="223"/>
      <c r="W1556" s="224"/>
    </row>
    <row r="1557" spans="2:23" ht="12.75" customHeight="1">
      <c r="B1557" s="11"/>
      <c r="R1557" s="77"/>
      <c r="S1557" s="77"/>
      <c r="T1557" s="77"/>
      <c r="U1557" s="77"/>
      <c r="V1557" s="77"/>
      <c r="W1557" s="77"/>
    </row>
    <row r="1558" spans="2:23" ht="12.75" customHeight="1">
      <c r="B1558" s="11"/>
      <c r="C1558" s="64" t="s">
        <v>416</v>
      </c>
      <c r="H1558" s="246" t="s">
        <v>947</v>
      </c>
      <c r="I1558" s="223"/>
      <c r="J1558" s="223"/>
      <c r="K1558" s="223"/>
      <c r="L1558" s="223"/>
      <c r="M1558" s="224"/>
      <c r="O1558" s="64" t="s">
        <v>417</v>
      </c>
      <c r="R1558" s="246" t="s">
        <v>418</v>
      </c>
      <c r="S1558" s="223"/>
      <c r="T1558" s="223"/>
      <c r="U1558" s="223"/>
      <c r="V1558" s="223"/>
      <c r="W1558" s="224"/>
    </row>
    <row r="1559" spans="2:23" ht="12.75" customHeight="1">
      <c r="B1559" s="11"/>
      <c r="H1559" s="11"/>
      <c r="I1559" s="11"/>
      <c r="J1559" s="11"/>
      <c r="K1559" s="11"/>
      <c r="L1559" s="11"/>
      <c r="M1559" s="11"/>
      <c r="R1559" s="11"/>
      <c r="S1559" s="11"/>
      <c r="T1559" s="11"/>
      <c r="U1559" s="11"/>
      <c r="V1559" s="11"/>
      <c r="W1559" s="11"/>
    </row>
    <row r="1560" spans="2:23" ht="12.75" customHeight="1">
      <c r="B1560" s="11"/>
      <c r="H1560" s="11" t="s">
        <v>674</v>
      </c>
      <c r="I1560" s="11"/>
      <c r="J1560" s="78">
        <v>5</v>
      </c>
      <c r="K1560" s="78">
        <v>3</v>
      </c>
      <c r="L1560" s="78">
        <v>3</v>
      </c>
      <c r="M1560" s="78">
        <v>9</v>
      </c>
      <c r="N1560" s="78">
        <v>1</v>
      </c>
      <c r="P1560" s="64" t="s">
        <v>680</v>
      </c>
      <c r="R1560" s="78"/>
      <c r="S1560" s="78"/>
      <c r="T1560" s="78"/>
      <c r="U1560" s="78"/>
      <c r="V1560" s="78"/>
      <c r="W1560" s="78"/>
    </row>
    <row r="1561" spans="2:23" ht="12.75" customHeight="1">
      <c r="B1561" s="11"/>
    </row>
    <row r="1562" spans="2:23" ht="12.75" customHeight="1">
      <c r="B1562" s="152" t="s">
        <v>121</v>
      </c>
      <c r="C1562" s="64" t="s">
        <v>780</v>
      </c>
      <c r="H1562" s="78">
        <v>3</v>
      </c>
      <c r="I1562" s="78">
        <v>3</v>
      </c>
      <c r="J1562" s="78">
        <v>0</v>
      </c>
      <c r="K1562" s="78">
        <v>3</v>
      </c>
      <c r="L1562" s="78">
        <v>0</v>
      </c>
      <c r="M1562" s="78">
        <v>4</v>
      </c>
      <c r="N1562" s="78">
        <v>1</v>
      </c>
      <c r="O1562" s="78">
        <v>3</v>
      </c>
      <c r="P1562" s="78">
        <v>0</v>
      </c>
      <c r="Q1562" s="78">
        <v>2</v>
      </c>
      <c r="R1562" s="78">
        <v>9</v>
      </c>
      <c r="S1562" s="78">
        <v>6</v>
      </c>
      <c r="T1562" s="78">
        <v>0</v>
      </c>
      <c r="U1562" s="78">
        <v>0</v>
      </c>
      <c r="V1562" s="78">
        <v>0</v>
      </c>
      <c r="W1562" s="78">
        <v>3</v>
      </c>
    </row>
    <row r="1563" spans="2:23" ht="12.75" customHeight="1">
      <c r="B1563" s="11"/>
    </row>
    <row r="1564" spans="2:23" ht="12.75" customHeight="1">
      <c r="B1564" s="152" t="s">
        <v>124</v>
      </c>
      <c r="C1564" s="64" t="s">
        <v>391</v>
      </c>
      <c r="H1564" s="246" t="s">
        <v>948</v>
      </c>
      <c r="I1564" s="223"/>
      <c r="J1564" s="223"/>
      <c r="K1564" s="223"/>
      <c r="L1564" s="223"/>
      <c r="M1564" s="223"/>
      <c r="N1564" s="223"/>
      <c r="O1564" s="223"/>
      <c r="P1564" s="223"/>
      <c r="Q1564" s="223"/>
      <c r="R1564" s="223"/>
      <c r="S1564" s="223"/>
      <c r="T1564" s="223"/>
      <c r="U1564" s="223"/>
      <c r="V1564" s="223"/>
      <c r="W1564" s="224"/>
    </row>
    <row r="1565" spans="2:23" ht="12.75" customHeight="1"/>
    <row r="1566" spans="2:23" ht="12.75" customHeight="1"/>
    <row r="1567" spans="2:23" ht="12.75" customHeight="1">
      <c r="B1567" s="38" t="s">
        <v>782</v>
      </c>
      <c r="I1567" s="225"/>
      <c r="J1567" s="194"/>
      <c r="K1567" s="194"/>
      <c r="L1567" s="194"/>
    </row>
    <row r="1568" spans="2:23" ht="12.75" customHeight="1"/>
    <row r="1569" spans="1:23" ht="12.75" customHeight="1">
      <c r="A1569" s="11"/>
      <c r="B1569" s="152" t="s">
        <v>111</v>
      </c>
      <c r="C1569" s="64" t="s">
        <v>783</v>
      </c>
      <c r="H1569" s="78">
        <v>2</v>
      </c>
      <c r="I1569" s="64" t="s">
        <v>784</v>
      </c>
    </row>
    <row r="1570" spans="1:23" ht="12.75" customHeight="1">
      <c r="A1570" s="11"/>
      <c r="B1570" s="11"/>
    </row>
    <row r="1571" spans="1:23" ht="12.75" customHeight="1">
      <c r="A1571" s="11"/>
      <c r="B1571" s="152" t="s">
        <v>115</v>
      </c>
      <c r="C1571" s="64" t="s">
        <v>387</v>
      </c>
      <c r="H1571" s="78"/>
      <c r="I1571" s="78"/>
      <c r="J1571" s="78"/>
      <c r="K1571" s="78"/>
      <c r="L1571" s="78"/>
      <c r="M1571" s="78"/>
      <c r="N1571" s="78"/>
      <c r="O1571" s="78"/>
      <c r="P1571" s="78"/>
      <c r="Q1571" s="78"/>
      <c r="R1571" s="78"/>
      <c r="S1571" s="78"/>
      <c r="T1571" s="78"/>
      <c r="U1571" s="78"/>
      <c r="V1571" s="78"/>
      <c r="W1571" s="78"/>
    </row>
    <row r="1572" spans="1:23" ht="12.75" customHeight="1">
      <c r="A1572" s="11"/>
      <c r="B1572" s="11"/>
    </row>
    <row r="1573" spans="1:23" ht="12.75" customHeight="1">
      <c r="A1573" s="11"/>
      <c r="B1573" s="152" t="s">
        <v>118</v>
      </c>
      <c r="C1573" s="64" t="s">
        <v>785</v>
      </c>
      <c r="H1573" s="78">
        <v>3</v>
      </c>
      <c r="I1573" s="78">
        <v>3</v>
      </c>
      <c r="J1573" s="78">
        <v>0</v>
      </c>
      <c r="K1573" s="78">
        <v>3</v>
      </c>
      <c r="L1573" s="78">
        <v>0</v>
      </c>
      <c r="M1573" s="78">
        <v>4</v>
      </c>
      <c r="N1573" s="78">
        <v>1</v>
      </c>
      <c r="O1573" s="78">
        <v>3</v>
      </c>
      <c r="P1573" s="78">
        <v>0</v>
      </c>
      <c r="Q1573" s="78">
        <v>2</v>
      </c>
      <c r="R1573" s="78">
        <v>9</v>
      </c>
      <c r="S1573" s="78">
        <v>6</v>
      </c>
      <c r="T1573" s="78">
        <v>0</v>
      </c>
      <c r="U1573" s="78">
        <v>0</v>
      </c>
      <c r="V1573" s="78">
        <v>0</v>
      </c>
      <c r="W1573" s="78">
        <v>3</v>
      </c>
    </row>
    <row r="1574" spans="1:23" ht="12.75" customHeight="1">
      <c r="A1574" s="11"/>
      <c r="B1574" s="11"/>
    </row>
    <row r="1575" spans="1:23" ht="12.75" customHeight="1">
      <c r="A1575" s="11"/>
      <c r="B1575" s="152" t="s">
        <v>121</v>
      </c>
      <c r="C1575" s="64" t="s">
        <v>385</v>
      </c>
      <c r="H1575" s="246" t="s">
        <v>948</v>
      </c>
      <c r="I1575" s="223"/>
      <c r="J1575" s="223"/>
      <c r="K1575" s="223"/>
      <c r="L1575" s="223"/>
      <c r="M1575" s="223"/>
      <c r="N1575" s="223"/>
      <c r="O1575" s="223"/>
      <c r="P1575" s="223"/>
      <c r="Q1575" s="223"/>
      <c r="R1575" s="223"/>
      <c r="S1575" s="223"/>
      <c r="T1575" s="223"/>
      <c r="U1575" s="223"/>
      <c r="V1575" s="223"/>
      <c r="W1575" s="224"/>
    </row>
    <row r="1576" spans="1:23" ht="12.75" customHeight="1">
      <c r="A1576" s="11"/>
      <c r="B1576" s="11"/>
    </row>
    <row r="1577" spans="1:23" ht="12.75" customHeight="1">
      <c r="A1577" s="11"/>
      <c r="B1577" s="152" t="s">
        <v>124</v>
      </c>
      <c r="C1577" s="64" t="s">
        <v>786</v>
      </c>
      <c r="H1577" s="78">
        <v>0</v>
      </c>
      <c r="I1577" s="78">
        <v>9</v>
      </c>
      <c r="J1577" s="11"/>
      <c r="K1577" s="78">
        <v>1</v>
      </c>
      <c r="L1577" s="78">
        <v>0</v>
      </c>
      <c r="M1577" s="11"/>
      <c r="N1577" s="78">
        <v>2</v>
      </c>
      <c r="O1577" s="78">
        <v>0</v>
      </c>
      <c r="P1577" s="78">
        <v>2</v>
      </c>
      <c r="Q1577" s="78">
        <v>3</v>
      </c>
    </row>
    <row r="1578" spans="1:23" ht="12.75" customHeight="1">
      <c r="A1578" s="11"/>
      <c r="B1578" s="11"/>
    </row>
    <row r="1579" spans="1:23" ht="12.75" customHeight="1">
      <c r="A1579" s="11"/>
      <c r="B1579" s="152" t="s">
        <v>127</v>
      </c>
      <c r="C1579" s="64" t="s">
        <v>345</v>
      </c>
      <c r="F1579" s="91"/>
      <c r="H1579" s="246" t="s">
        <v>102</v>
      </c>
      <c r="I1579" s="223"/>
      <c r="J1579" s="223"/>
      <c r="K1579" s="223"/>
      <c r="L1579" s="223"/>
      <c r="M1579" s="223"/>
      <c r="N1579" s="224"/>
      <c r="P1579" s="64" t="s">
        <v>675</v>
      </c>
      <c r="Q1579" s="78">
        <v>0</v>
      </c>
      <c r="R1579" s="78">
        <v>1</v>
      </c>
      <c r="S1579" s="78">
        <v>0</v>
      </c>
      <c r="T1579" s="11" t="s">
        <v>676</v>
      </c>
      <c r="U1579" s="78">
        <v>0</v>
      </c>
      <c r="V1579" s="78">
        <v>0</v>
      </c>
      <c r="W1579" s="78">
        <v>2</v>
      </c>
    </row>
    <row r="1580" spans="1:23" ht="12.75" customHeight="1">
      <c r="A1580" s="11"/>
      <c r="B1580" s="11"/>
    </row>
    <row r="1581" spans="1:23" ht="12.75" customHeight="1">
      <c r="A1581" s="11"/>
      <c r="B1581" s="11"/>
      <c r="F1581" s="91"/>
      <c r="H1581" s="64" t="s">
        <v>779</v>
      </c>
      <c r="L1581" s="246" t="s">
        <v>942</v>
      </c>
      <c r="M1581" s="223"/>
      <c r="N1581" s="223"/>
      <c r="O1581" s="223"/>
      <c r="P1581" s="223"/>
      <c r="Q1581" s="223"/>
      <c r="R1581" s="223"/>
      <c r="S1581" s="223"/>
      <c r="T1581" s="223"/>
      <c r="U1581" s="223"/>
      <c r="V1581" s="223"/>
      <c r="W1581" s="224"/>
    </row>
    <row r="1582" spans="1:23" ht="12.75" customHeight="1">
      <c r="A1582" s="11"/>
      <c r="B1582" s="11"/>
      <c r="H1582" s="77"/>
      <c r="I1582" s="77"/>
      <c r="J1582" s="77"/>
      <c r="K1582" s="77"/>
      <c r="L1582" s="77"/>
      <c r="M1582" s="77"/>
    </row>
    <row r="1583" spans="1:23" ht="12.75" customHeight="1">
      <c r="A1583" s="11"/>
      <c r="B1583" s="11"/>
      <c r="C1583" s="64" t="s">
        <v>414</v>
      </c>
      <c r="H1583" s="246" t="s">
        <v>102</v>
      </c>
      <c r="I1583" s="223"/>
      <c r="J1583" s="223"/>
      <c r="K1583" s="223"/>
      <c r="L1583" s="223"/>
      <c r="M1583" s="224"/>
      <c r="O1583" s="64" t="s">
        <v>562</v>
      </c>
      <c r="R1583" s="246" t="s">
        <v>106</v>
      </c>
      <c r="S1583" s="223"/>
      <c r="T1583" s="223"/>
      <c r="U1583" s="223"/>
      <c r="V1583" s="223"/>
      <c r="W1583" s="224"/>
    </row>
    <row r="1584" spans="1:23" ht="12.75" customHeight="1">
      <c r="A1584" s="11"/>
      <c r="B1584" s="11"/>
      <c r="H1584" s="77"/>
      <c r="I1584" s="77"/>
      <c r="J1584" s="77"/>
      <c r="K1584" s="77"/>
      <c r="L1584" s="77"/>
      <c r="M1584" s="77"/>
    </row>
    <row r="1585" spans="1:23" ht="12.75" customHeight="1">
      <c r="A1585" s="11"/>
      <c r="B1585" s="11"/>
      <c r="C1585" s="64" t="s">
        <v>563</v>
      </c>
      <c r="H1585" s="246" t="s">
        <v>104</v>
      </c>
      <c r="I1585" s="223"/>
      <c r="J1585" s="223"/>
      <c r="K1585" s="223"/>
      <c r="L1585" s="223"/>
      <c r="M1585" s="224"/>
      <c r="O1585" s="64" t="s">
        <v>417</v>
      </c>
      <c r="R1585" s="246" t="s">
        <v>418</v>
      </c>
      <c r="S1585" s="223"/>
      <c r="T1585" s="223"/>
      <c r="U1585" s="223"/>
      <c r="V1585" s="223"/>
      <c r="W1585" s="224"/>
    </row>
    <row r="1586" spans="1:23" ht="12.75" customHeight="1">
      <c r="A1586" s="11"/>
      <c r="B1586" s="11"/>
    </row>
    <row r="1587" spans="1:23" ht="12.75" customHeight="1">
      <c r="A1587" s="11"/>
      <c r="B1587" s="152" t="s">
        <v>130</v>
      </c>
      <c r="C1587" s="64" t="s">
        <v>926</v>
      </c>
    </row>
    <row r="1588" spans="1:23" ht="12.75" customHeight="1"/>
    <row r="1589" spans="1:23" ht="12.75" customHeight="1">
      <c r="B1589" s="104" t="s">
        <v>684</v>
      </c>
      <c r="C1589" s="275" t="s">
        <v>340</v>
      </c>
      <c r="D1589" s="223"/>
      <c r="E1589" s="223"/>
      <c r="F1589" s="223"/>
      <c r="G1589" s="223"/>
      <c r="H1589" s="223"/>
      <c r="I1589" s="223"/>
      <c r="J1589" s="223"/>
      <c r="K1589" s="224"/>
      <c r="L1589" s="275" t="s">
        <v>791</v>
      </c>
      <c r="M1589" s="223"/>
      <c r="N1589" s="223"/>
      <c r="O1589" s="223"/>
      <c r="P1589" s="223"/>
      <c r="Q1589" s="224"/>
      <c r="R1589" s="286" t="s">
        <v>939</v>
      </c>
      <c r="S1589" s="223"/>
      <c r="T1589" s="224"/>
      <c r="U1589" s="275" t="s">
        <v>793</v>
      </c>
      <c r="V1589" s="223"/>
      <c r="W1589" s="224"/>
    </row>
    <row r="1590" spans="1:23" ht="12.75" customHeight="1">
      <c r="B1590" s="78">
        <v>1</v>
      </c>
      <c r="C1590" s="288" t="s">
        <v>949</v>
      </c>
      <c r="D1590" s="223"/>
      <c r="E1590" s="223"/>
      <c r="F1590" s="223"/>
      <c r="G1590" s="223"/>
      <c r="H1590" s="223"/>
      <c r="I1590" s="223"/>
      <c r="J1590" s="223"/>
      <c r="K1590" s="224"/>
      <c r="L1590" s="246" t="s">
        <v>948</v>
      </c>
      <c r="M1590" s="223"/>
      <c r="N1590" s="223"/>
      <c r="O1590" s="223"/>
      <c r="P1590" s="223"/>
      <c r="Q1590" s="224"/>
      <c r="R1590" s="287">
        <v>35108</v>
      </c>
      <c r="S1590" s="223"/>
      <c r="T1590" s="224"/>
      <c r="U1590" s="252" t="s">
        <v>795</v>
      </c>
      <c r="V1590" s="223"/>
      <c r="W1590" s="224"/>
    </row>
    <row r="1591" spans="1:23" ht="12.75" customHeight="1">
      <c r="B1591" s="78">
        <v>2</v>
      </c>
      <c r="C1591" s="246"/>
      <c r="D1591" s="223"/>
      <c r="E1591" s="223"/>
      <c r="F1591" s="223"/>
      <c r="G1591" s="223"/>
      <c r="H1591" s="223"/>
      <c r="I1591" s="223"/>
      <c r="J1591" s="223"/>
      <c r="K1591" s="224"/>
      <c r="L1591" s="246"/>
      <c r="M1591" s="223"/>
      <c r="N1591" s="223"/>
      <c r="O1591" s="223"/>
      <c r="P1591" s="223"/>
      <c r="Q1591" s="224"/>
      <c r="R1591" s="287"/>
      <c r="S1591" s="223"/>
      <c r="T1591" s="224"/>
      <c r="U1591" s="252"/>
      <c r="V1591" s="223"/>
      <c r="W1591" s="224"/>
    </row>
    <row r="1592" spans="1:23" ht="12.75" customHeight="1">
      <c r="B1592" s="78">
        <v>3</v>
      </c>
      <c r="C1592" s="246"/>
      <c r="D1592" s="223"/>
      <c r="E1592" s="223"/>
      <c r="F1592" s="223"/>
      <c r="G1592" s="223"/>
      <c r="H1592" s="223"/>
      <c r="I1592" s="223"/>
      <c r="J1592" s="223"/>
      <c r="K1592" s="224"/>
      <c r="L1592" s="246"/>
      <c r="M1592" s="223"/>
      <c r="N1592" s="223"/>
      <c r="O1592" s="223"/>
      <c r="P1592" s="223"/>
      <c r="Q1592" s="224"/>
      <c r="R1592" s="287"/>
      <c r="S1592" s="223"/>
      <c r="T1592" s="224"/>
      <c r="U1592" s="252"/>
      <c r="V1592" s="223"/>
      <c r="W1592" s="224"/>
    </row>
    <row r="1593" spans="1:23" ht="12.75" customHeight="1">
      <c r="B1593" s="78">
        <v>4</v>
      </c>
      <c r="C1593" s="252"/>
      <c r="D1593" s="223"/>
      <c r="E1593" s="223"/>
      <c r="F1593" s="223"/>
      <c r="G1593" s="223"/>
      <c r="H1593" s="223"/>
      <c r="I1593" s="223"/>
      <c r="J1593" s="223"/>
      <c r="K1593" s="224"/>
      <c r="L1593" s="252"/>
      <c r="M1593" s="223"/>
      <c r="N1593" s="223"/>
      <c r="O1593" s="223"/>
      <c r="P1593" s="223"/>
      <c r="Q1593" s="224"/>
      <c r="R1593" s="252"/>
      <c r="S1593" s="223"/>
      <c r="T1593" s="224"/>
      <c r="U1593" s="252"/>
      <c r="V1593" s="223"/>
      <c r="W1593" s="224"/>
    </row>
    <row r="1594" spans="1:23" ht="12.75" customHeight="1">
      <c r="B1594" s="78">
        <v>5</v>
      </c>
      <c r="C1594" s="252"/>
      <c r="D1594" s="223"/>
      <c r="E1594" s="223"/>
      <c r="F1594" s="223"/>
      <c r="G1594" s="223"/>
      <c r="H1594" s="223"/>
      <c r="I1594" s="223"/>
      <c r="J1594" s="223"/>
      <c r="K1594" s="224"/>
      <c r="L1594" s="252"/>
      <c r="M1594" s="223"/>
      <c r="N1594" s="223"/>
      <c r="O1594" s="223"/>
      <c r="P1594" s="223"/>
      <c r="Q1594" s="224"/>
      <c r="R1594" s="252"/>
      <c r="S1594" s="223"/>
      <c r="T1594" s="224"/>
      <c r="U1594" s="252"/>
      <c r="V1594" s="223"/>
      <c r="W1594" s="224"/>
    </row>
    <row r="1595" spans="1:23" ht="12.75" customHeight="1">
      <c r="B1595" s="78">
        <v>6</v>
      </c>
      <c r="C1595" s="252"/>
      <c r="D1595" s="223"/>
      <c r="E1595" s="223"/>
      <c r="F1595" s="223"/>
      <c r="G1595" s="223"/>
      <c r="H1595" s="223"/>
      <c r="I1595" s="223"/>
      <c r="J1595" s="223"/>
      <c r="K1595" s="224"/>
      <c r="L1595" s="252"/>
      <c r="M1595" s="223"/>
      <c r="N1595" s="223"/>
      <c r="O1595" s="223"/>
      <c r="P1595" s="223"/>
      <c r="Q1595" s="224"/>
      <c r="R1595" s="252"/>
      <c r="S1595" s="223"/>
      <c r="T1595" s="224"/>
      <c r="U1595" s="252"/>
      <c r="V1595" s="223"/>
      <c r="W1595" s="224"/>
    </row>
    <row r="1596" spans="1:23" ht="12.75" customHeight="1">
      <c r="B1596" s="78">
        <v>7</v>
      </c>
      <c r="C1596" s="252"/>
      <c r="D1596" s="223"/>
      <c r="E1596" s="223"/>
      <c r="F1596" s="223"/>
      <c r="G1596" s="223"/>
      <c r="H1596" s="223"/>
      <c r="I1596" s="223"/>
      <c r="J1596" s="223"/>
      <c r="K1596" s="224"/>
      <c r="L1596" s="252"/>
      <c r="M1596" s="223"/>
      <c r="N1596" s="223"/>
      <c r="O1596" s="223"/>
      <c r="P1596" s="223"/>
      <c r="Q1596" s="224"/>
      <c r="R1596" s="252"/>
      <c r="S1596" s="223"/>
      <c r="T1596" s="224"/>
      <c r="U1596" s="252"/>
      <c r="V1596" s="223"/>
      <c r="W1596" s="224"/>
    </row>
    <row r="1597" spans="1:23" ht="12.75" customHeight="1"/>
    <row r="1598" spans="1:23" ht="12.75" customHeight="1"/>
    <row r="1599" spans="1:23" ht="12.75" customHeight="1">
      <c r="L1599" s="64" t="s">
        <v>480</v>
      </c>
      <c r="R1599" s="64" t="s">
        <v>950</v>
      </c>
    </row>
    <row r="1600" spans="1:23" ht="12.75" customHeight="1">
      <c r="D1600" s="64" t="s">
        <v>797</v>
      </c>
      <c r="J1600" s="225" t="s">
        <v>932</v>
      </c>
      <c r="K1600" s="194"/>
      <c r="L1600" s="194"/>
      <c r="M1600" s="194"/>
      <c r="N1600" s="194"/>
      <c r="O1600" s="194"/>
      <c r="S1600" s="64" t="s">
        <v>799</v>
      </c>
    </row>
    <row r="1601" spans="4:22" ht="12.75" customHeight="1">
      <c r="K1601" s="225" t="s">
        <v>365</v>
      </c>
      <c r="L1601" s="194"/>
      <c r="M1601" s="194"/>
      <c r="N1601" s="194"/>
      <c r="O1601" s="194"/>
    </row>
    <row r="1602" spans="4:22" ht="12.75" customHeight="1"/>
    <row r="1603" spans="4:22" ht="12.75" customHeight="1"/>
    <row r="1604" spans="4:22" ht="12.75" customHeight="1"/>
    <row r="1605" spans="4:22" ht="12.75" customHeight="1">
      <c r="D1605" s="225" t="s">
        <v>501</v>
      </c>
      <c r="E1605" s="194"/>
      <c r="F1605" s="194"/>
      <c r="K1605" s="225" t="s">
        <v>366</v>
      </c>
      <c r="L1605" s="194"/>
      <c r="M1605" s="194"/>
      <c r="N1605" s="194"/>
      <c r="Q1605" s="225" t="str">
        <f>L1590</f>
        <v>BANU ARLI</v>
      </c>
      <c r="R1605" s="194"/>
      <c r="S1605" s="194"/>
      <c r="T1605" s="194"/>
      <c r="U1605" s="194"/>
      <c r="V1605" s="194"/>
    </row>
    <row r="1606" spans="4:22" ht="12.75" customHeight="1"/>
    <row r="1607" spans="4:22" ht="12.75" customHeight="1"/>
    <row r="1608" spans="4:22" ht="12.75" customHeight="1"/>
    <row r="1609" spans="4:22" ht="12.75" customHeight="1"/>
    <row r="1610" spans="4:22" ht="12.75" customHeight="1"/>
    <row r="1611" spans="4:22" ht="12.75" customHeight="1"/>
    <row r="1612" spans="4:22" ht="12.75" customHeight="1"/>
    <row r="1613" spans="4:22" ht="12.75" customHeight="1"/>
    <row r="1614" spans="4:22" ht="12.75" customHeight="1"/>
    <row r="1615" spans="4:22" ht="12.75" customHeight="1"/>
    <row r="1616" spans="4:22" ht="12.75" customHeight="1"/>
    <row r="1617" spans="2:23" ht="12.75" customHeight="1"/>
    <row r="1618" spans="2:23" ht="12.75" customHeight="1"/>
    <row r="1619" spans="2:23" ht="12.75" customHeight="1"/>
    <row r="1620" spans="2:23" ht="12.75" customHeight="1"/>
    <row r="1621" spans="2:23" ht="12.75" customHeight="1"/>
    <row r="1622" spans="2:23" ht="12.75" customHeight="1"/>
    <row r="1623" spans="2:23" ht="12.75" customHeight="1"/>
    <row r="1624" spans="2:23" ht="12.75" customHeight="1"/>
    <row r="1625" spans="2:23" ht="12.75" customHeight="1">
      <c r="T1625" s="252" t="s">
        <v>916</v>
      </c>
      <c r="U1625" s="223"/>
      <c r="V1625" s="224"/>
    </row>
    <row r="1626" spans="2:23" ht="12.75" customHeight="1">
      <c r="B1626" s="151"/>
      <c r="C1626" s="151"/>
      <c r="D1626" s="151"/>
      <c r="E1626" s="151"/>
      <c r="F1626" s="151"/>
      <c r="G1626" s="151"/>
      <c r="H1626" s="151"/>
      <c r="I1626" s="151"/>
      <c r="J1626" s="151"/>
      <c r="K1626" s="151"/>
      <c r="L1626" s="151"/>
      <c r="M1626" s="151"/>
      <c r="N1626" s="151"/>
      <c r="O1626" s="151"/>
      <c r="P1626" s="151"/>
      <c r="Q1626" s="151"/>
      <c r="R1626" s="151"/>
      <c r="S1626" s="151"/>
      <c r="T1626" s="151"/>
      <c r="U1626" s="151"/>
      <c r="V1626" s="151"/>
      <c r="W1626" s="151"/>
    </row>
    <row r="1627" spans="2:23" ht="12.75" customHeight="1"/>
    <row r="1628" spans="2:23" ht="12.75" customHeight="1">
      <c r="B1628" s="64" t="s">
        <v>770</v>
      </c>
      <c r="G1628" s="11" t="s">
        <v>10</v>
      </c>
      <c r="H1628" s="78">
        <v>3</v>
      </c>
      <c r="I1628" s="78">
        <v>3</v>
      </c>
      <c r="J1628" s="11"/>
      <c r="M1628" s="246" t="s">
        <v>418</v>
      </c>
      <c r="N1628" s="223"/>
      <c r="O1628" s="223"/>
      <c r="P1628" s="223"/>
      <c r="Q1628" s="223"/>
      <c r="R1628" s="223"/>
      <c r="S1628" s="223"/>
      <c r="T1628" s="223"/>
      <c r="U1628" s="223"/>
      <c r="V1628" s="223"/>
      <c r="W1628" s="224"/>
    </row>
    <row r="1629" spans="2:23" ht="12.75" customHeight="1">
      <c r="G1629" s="11"/>
      <c r="H1629" s="11"/>
      <c r="I1629" s="11"/>
      <c r="J1629" s="11"/>
      <c r="M1629" s="77"/>
      <c r="N1629" s="77"/>
      <c r="O1629" s="77"/>
      <c r="P1629" s="77"/>
      <c r="Q1629" s="77"/>
      <c r="R1629" s="77"/>
      <c r="S1629" s="77"/>
      <c r="T1629" s="77"/>
      <c r="U1629" s="77"/>
      <c r="V1629" s="77"/>
      <c r="W1629" s="77"/>
    </row>
    <row r="1630" spans="2:23" ht="12.75" customHeight="1">
      <c r="B1630" s="64" t="s">
        <v>105</v>
      </c>
      <c r="G1630" s="11" t="s">
        <v>10</v>
      </c>
      <c r="H1630" s="78">
        <v>2</v>
      </c>
      <c r="I1630" s="78">
        <v>7</v>
      </c>
      <c r="J1630" s="11"/>
      <c r="M1630" s="246" t="s">
        <v>106</v>
      </c>
      <c r="N1630" s="223"/>
      <c r="O1630" s="223"/>
      <c r="P1630" s="223"/>
      <c r="Q1630" s="223"/>
      <c r="R1630" s="223"/>
      <c r="S1630" s="223"/>
      <c r="T1630" s="223"/>
      <c r="U1630" s="223"/>
      <c r="V1630" s="223"/>
      <c r="W1630" s="224"/>
    </row>
    <row r="1631" spans="2:23" ht="12.75" customHeight="1">
      <c r="G1631" s="11"/>
      <c r="H1631" s="11"/>
      <c r="I1631" s="11"/>
      <c r="J1631" s="11"/>
      <c r="M1631" s="77"/>
      <c r="N1631" s="77"/>
      <c r="O1631" s="77"/>
      <c r="P1631" s="77"/>
      <c r="Q1631" s="77"/>
      <c r="R1631" s="77"/>
      <c r="S1631" s="77"/>
      <c r="T1631" s="77"/>
      <c r="U1631" s="77"/>
      <c r="V1631" s="77"/>
      <c r="W1631" s="77"/>
    </row>
    <row r="1632" spans="2:23" ht="12.75" customHeight="1">
      <c r="B1632" s="64" t="s">
        <v>103</v>
      </c>
      <c r="G1632" s="11" t="s">
        <v>10</v>
      </c>
      <c r="H1632" s="78">
        <v>4</v>
      </c>
      <c r="I1632" s="78">
        <v>0</v>
      </c>
      <c r="J1632" s="11"/>
      <c r="M1632" s="246" t="s">
        <v>104</v>
      </c>
      <c r="N1632" s="223"/>
      <c r="O1632" s="223"/>
      <c r="P1632" s="223"/>
      <c r="Q1632" s="223"/>
      <c r="R1632" s="223"/>
      <c r="S1632" s="223"/>
      <c r="T1632" s="223"/>
      <c r="U1632" s="223"/>
      <c r="V1632" s="223"/>
      <c r="W1632" s="224"/>
    </row>
    <row r="1633" spans="1:23" ht="12.75" customHeight="1">
      <c r="G1633" s="11"/>
      <c r="H1633" s="11"/>
      <c r="I1633" s="11"/>
      <c r="J1633" s="11"/>
      <c r="M1633" s="77"/>
      <c r="N1633" s="77"/>
      <c r="O1633" s="77"/>
      <c r="P1633" s="77"/>
      <c r="Q1633" s="77"/>
      <c r="R1633" s="77"/>
      <c r="S1633" s="77"/>
      <c r="T1633" s="77"/>
      <c r="U1633" s="77"/>
      <c r="V1633" s="77"/>
      <c r="W1633" s="77"/>
    </row>
    <row r="1634" spans="1:23" ht="12.75" customHeight="1">
      <c r="B1634" s="64" t="s">
        <v>771</v>
      </c>
      <c r="G1634" s="11" t="s">
        <v>10</v>
      </c>
      <c r="H1634" s="78">
        <v>2</v>
      </c>
      <c r="I1634" s="78">
        <v>0</v>
      </c>
      <c r="J1634" s="78">
        <v>1</v>
      </c>
      <c r="K1634" s="91">
        <v>1</v>
      </c>
      <c r="M1634" s="246" t="s">
        <v>102</v>
      </c>
      <c r="N1634" s="223"/>
      <c r="O1634" s="223"/>
      <c r="P1634" s="223"/>
      <c r="Q1634" s="223"/>
      <c r="R1634" s="223"/>
      <c r="S1634" s="223"/>
      <c r="T1634" s="223"/>
      <c r="U1634" s="223"/>
      <c r="V1634" s="223"/>
      <c r="W1634" s="224"/>
    </row>
    <row r="1635" spans="1:23" ht="12.75" customHeight="1">
      <c r="G1635" s="11"/>
    </row>
    <row r="1636" spans="1:23" ht="12.75" customHeight="1">
      <c r="B1636" s="64" t="s">
        <v>772</v>
      </c>
      <c r="G1636" s="11" t="s">
        <v>10</v>
      </c>
      <c r="H1636" s="246" t="s">
        <v>942</v>
      </c>
      <c r="I1636" s="223"/>
      <c r="J1636" s="223"/>
      <c r="K1636" s="223"/>
      <c r="L1636" s="223"/>
      <c r="M1636" s="223"/>
      <c r="N1636" s="223"/>
      <c r="O1636" s="223"/>
      <c r="P1636" s="223"/>
      <c r="Q1636" s="223"/>
      <c r="R1636" s="223"/>
      <c r="S1636" s="223"/>
      <c r="T1636" s="223"/>
      <c r="U1636" s="223"/>
      <c r="V1636" s="223"/>
      <c r="W1636" s="224"/>
    </row>
    <row r="1637" spans="1:23" ht="12.75" customHeight="1"/>
    <row r="1638" spans="1:23" ht="12.75" customHeight="1">
      <c r="B1638" s="196" t="s">
        <v>917</v>
      </c>
      <c r="C1638" s="194"/>
      <c r="D1638" s="194"/>
      <c r="E1638" s="194"/>
      <c r="F1638" s="194"/>
      <c r="G1638" s="194"/>
      <c r="H1638" s="194"/>
      <c r="I1638" s="194"/>
      <c r="J1638" s="194"/>
      <c r="K1638" s="194"/>
      <c r="L1638" s="194"/>
      <c r="M1638" s="194"/>
      <c r="N1638" s="194"/>
      <c r="O1638" s="194"/>
      <c r="P1638" s="194"/>
      <c r="Q1638" s="194"/>
      <c r="R1638" s="194"/>
      <c r="S1638" s="194"/>
      <c r="T1638" s="194"/>
      <c r="U1638" s="194"/>
      <c r="V1638" s="194"/>
      <c r="W1638" s="194"/>
    </row>
    <row r="1639" spans="1:23" ht="12.75" customHeight="1">
      <c r="B1639" s="225" t="s">
        <v>853</v>
      </c>
      <c r="C1639" s="194"/>
      <c r="D1639" s="194"/>
      <c r="E1639" s="194"/>
      <c r="F1639" s="194"/>
      <c r="G1639" s="194"/>
      <c r="H1639" s="194"/>
      <c r="I1639" s="194"/>
      <c r="J1639" s="194"/>
      <c r="K1639" s="194"/>
      <c r="L1639" s="194"/>
      <c r="M1639" s="194"/>
      <c r="N1639" s="194"/>
      <c r="O1639" s="194"/>
      <c r="P1639" s="194"/>
      <c r="Q1639" s="194"/>
      <c r="R1639" s="194"/>
      <c r="S1639" s="194"/>
      <c r="T1639" s="194"/>
      <c r="U1639" s="194"/>
      <c r="V1639" s="194"/>
      <c r="W1639" s="194"/>
    </row>
    <row r="1640" spans="1:23" ht="12.75" customHeight="1">
      <c r="B1640" s="225" t="s">
        <v>951</v>
      </c>
      <c r="C1640" s="194"/>
      <c r="D1640" s="194"/>
      <c r="E1640" s="194"/>
      <c r="F1640" s="194"/>
      <c r="G1640" s="194"/>
      <c r="H1640" s="194"/>
      <c r="I1640" s="194"/>
      <c r="J1640" s="194"/>
      <c r="K1640" s="194"/>
      <c r="L1640" s="194"/>
      <c r="M1640" s="194"/>
      <c r="N1640" s="194"/>
      <c r="O1640" s="194"/>
      <c r="P1640" s="194"/>
      <c r="Q1640" s="194"/>
      <c r="R1640" s="194"/>
      <c r="S1640" s="194"/>
      <c r="T1640" s="194"/>
      <c r="U1640" s="194"/>
      <c r="V1640" s="194"/>
      <c r="W1640" s="194"/>
    </row>
    <row r="1641" spans="1:23" ht="12.75" customHeight="1">
      <c r="A1641" s="11"/>
      <c r="B1641" s="38" t="s">
        <v>777</v>
      </c>
    </row>
    <row r="1642" spans="1:23" ht="12.75" customHeight="1"/>
    <row r="1643" spans="1:23" ht="12.75" customHeight="1">
      <c r="B1643" s="152" t="s">
        <v>111</v>
      </c>
      <c r="C1643" s="64" t="s">
        <v>387</v>
      </c>
      <c r="H1643" s="78">
        <v>3</v>
      </c>
      <c r="I1643" s="78">
        <v>3</v>
      </c>
      <c r="J1643" s="78">
        <v>0</v>
      </c>
      <c r="K1643" s="78">
        <v>3</v>
      </c>
      <c r="L1643" s="78">
        <v>1</v>
      </c>
      <c r="M1643" s="78">
        <v>7</v>
      </c>
      <c r="N1643" s="78">
        <v>0</v>
      </c>
      <c r="O1643" s="78">
        <v>5</v>
      </c>
      <c r="P1643" s="78">
        <v>0</v>
      </c>
      <c r="Q1643" s="78">
        <v>3</v>
      </c>
      <c r="R1643" s="78">
        <v>0</v>
      </c>
      <c r="S1643" s="78">
        <v>5</v>
      </c>
      <c r="T1643" s="78">
        <v>1</v>
      </c>
      <c r="U1643" s="78">
        <v>5</v>
      </c>
      <c r="V1643" s="78">
        <v>7</v>
      </c>
      <c r="W1643" s="78">
        <v>7</v>
      </c>
    </row>
    <row r="1644" spans="1:23" ht="12.75" customHeight="1">
      <c r="B1644" s="11"/>
    </row>
    <row r="1645" spans="1:23" ht="12.75" customHeight="1">
      <c r="B1645" s="152" t="s">
        <v>115</v>
      </c>
      <c r="C1645" s="64" t="s">
        <v>385</v>
      </c>
      <c r="H1645" s="246" t="s">
        <v>952</v>
      </c>
      <c r="I1645" s="223"/>
      <c r="J1645" s="223"/>
      <c r="K1645" s="223"/>
      <c r="L1645" s="223"/>
      <c r="M1645" s="223"/>
      <c r="N1645" s="223"/>
      <c r="O1645" s="223"/>
      <c r="P1645" s="223"/>
      <c r="Q1645" s="223"/>
      <c r="R1645" s="223"/>
      <c r="S1645" s="223"/>
      <c r="T1645" s="223"/>
      <c r="U1645" s="223"/>
      <c r="V1645" s="223"/>
      <c r="W1645" s="224"/>
    </row>
    <row r="1646" spans="1:23" ht="12.75" customHeight="1">
      <c r="B1646" s="11"/>
    </row>
    <row r="1647" spans="1:23" ht="12.75" customHeight="1">
      <c r="B1647" s="152" t="s">
        <v>118</v>
      </c>
      <c r="C1647" s="64" t="s">
        <v>345</v>
      </c>
      <c r="H1647" s="246" t="s">
        <v>953</v>
      </c>
      <c r="I1647" s="223"/>
      <c r="J1647" s="223"/>
      <c r="K1647" s="223"/>
      <c r="L1647" s="223"/>
      <c r="M1647" s="223"/>
      <c r="N1647" s="223"/>
      <c r="O1647" s="224"/>
      <c r="P1647" s="64" t="s">
        <v>675</v>
      </c>
      <c r="Q1647" s="78">
        <v>0</v>
      </c>
      <c r="R1647" s="78">
        <v>0</v>
      </c>
      <c r="S1647" s="78">
        <v>4</v>
      </c>
      <c r="T1647" s="11" t="s">
        <v>676</v>
      </c>
      <c r="U1647" s="78">
        <v>0</v>
      </c>
      <c r="V1647" s="78">
        <v>0</v>
      </c>
      <c r="W1647" s="78">
        <v>1</v>
      </c>
    </row>
    <row r="1648" spans="1:23" ht="12.75" customHeight="1">
      <c r="B1648" s="11"/>
    </row>
    <row r="1649" spans="1:23" ht="12.75" customHeight="1">
      <c r="B1649" s="11"/>
      <c r="H1649" s="64" t="s">
        <v>779</v>
      </c>
      <c r="L1649" s="248" t="s">
        <v>953</v>
      </c>
      <c r="M1649" s="223"/>
      <c r="N1649" s="223"/>
      <c r="O1649" s="223"/>
      <c r="P1649" s="223"/>
      <c r="Q1649" s="223"/>
      <c r="R1649" s="223"/>
      <c r="S1649" s="223"/>
      <c r="T1649" s="223"/>
      <c r="U1649" s="223"/>
      <c r="V1649" s="223"/>
      <c r="W1649" s="224"/>
    </row>
    <row r="1650" spans="1:23" ht="12.75" customHeight="1">
      <c r="B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</row>
    <row r="1651" spans="1:23" ht="12.75" customHeight="1">
      <c r="B1651" s="11"/>
      <c r="C1651" s="64" t="s">
        <v>414</v>
      </c>
      <c r="H1651" s="246" t="s">
        <v>954</v>
      </c>
      <c r="I1651" s="223"/>
      <c r="J1651" s="223"/>
      <c r="K1651" s="223"/>
      <c r="L1651" s="223"/>
      <c r="M1651" s="224"/>
      <c r="O1651" s="64" t="s">
        <v>562</v>
      </c>
      <c r="R1651" s="246" t="s">
        <v>860</v>
      </c>
      <c r="S1651" s="223"/>
      <c r="T1651" s="223"/>
      <c r="U1651" s="223"/>
      <c r="V1651" s="223"/>
      <c r="W1651" s="224"/>
    </row>
    <row r="1652" spans="1:23" ht="12.75" customHeight="1">
      <c r="B1652" s="11"/>
      <c r="R1652" s="77"/>
      <c r="S1652" s="77"/>
      <c r="T1652" s="77"/>
      <c r="U1652" s="77"/>
      <c r="V1652" s="77"/>
      <c r="W1652" s="77"/>
    </row>
    <row r="1653" spans="1:23" ht="12.75" customHeight="1">
      <c r="B1653" s="11"/>
      <c r="C1653" s="64" t="s">
        <v>416</v>
      </c>
      <c r="H1653" s="246" t="s">
        <v>861</v>
      </c>
      <c r="I1653" s="223"/>
      <c r="J1653" s="223"/>
      <c r="K1653" s="223"/>
      <c r="L1653" s="223"/>
      <c r="M1653" s="224"/>
      <c r="O1653" s="64" t="s">
        <v>417</v>
      </c>
      <c r="R1653" s="246" t="s">
        <v>418</v>
      </c>
      <c r="S1653" s="223"/>
      <c r="T1653" s="223"/>
      <c r="U1653" s="223"/>
      <c r="V1653" s="223"/>
      <c r="W1653" s="224"/>
    </row>
    <row r="1654" spans="1:23" ht="12.75" customHeight="1">
      <c r="B1654" s="11"/>
      <c r="H1654" s="11"/>
      <c r="I1654" s="11"/>
      <c r="J1654" s="11"/>
      <c r="K1654" s="11"/>
      <c r="L1654" s="11"/>
      <c r="M1654" s="11"/>
      <c r="R1654" s="11"/>
      <c r="S1654" s="11"/>
      <c r="T1654" s="11"/>
      <c r="U1654" s="11"/>
      <c r="V1654" s="11"/>
      <c r="W1654" s="11"/>
    </row>
    <row r="1655" spans="1:23" ht="12.75" customHeight="1">
      <c r="B1655" s="11"/>
      <c r="H1655" s="11" t="s">
        <v>674</v>
      </c>
      <c r="I1655" s="11"/>
      <c r="J1655" s="78">
        <v>5</v>
      </c>
      <c r="K1655" s="78">
        <v>3</v>
      </c>
      <c r="L1655" s="78">
        <v>3</v>
      </c>
      <c r="M1655" s="78">
        <v>5</v>
      </c>
      <c r="N1655" s="78">
        <v>9</v>
      </c>
      <c r="P1655" s="64" t="s">
        <v>680</v>
      </c>
      <c r="R1655" s="78"/>
      <c r="S1655" s="78"/>
      <c r="T1655" s="78"/>
      <c r="U1655" s="78"/>
      <c r="V1655" s="78"/>
      <c r="W1655" s="78"/>
    </row>
    <row r="1656" spans="1:23" ht="12.75" customHeight="1">
      <c r="B1656" s="11"/>
    </row>
    <row r="1657" spans="1:23" ht="12.75" customHeight="1">
      <c r="B1657" s="152" t="s">
        <v>121</v>
      </c>
      <c r="C1657" s="64" t="s">
        <v>780</v>
      </c>
      <c r="H1657" s="78">
        <v>3</v>
      </c>
      <c r="I1657" s="78">
        <v>3</v>
      </c>
      <c r="J1657" s="78">
        <v>0</v>
      </c>
      <c r="K1657" s="78">
        <v>3</v>
      </c>
      <c r="L1657" s="78">
        <v>1</v>
      </c>
      <c r="M1657" s="78">
        <v>7</v>
      </c>
      <c r="N1657" s="78">
        <v>1</v>
      </c>
      <c r="O1657" s="78">
        <v>2</v>
      </c>
      <c r="P1657" s="78">
        <v>0</v>
      </c>
      <c r="Q1657" s="78">
        <v>9</v>
      </c>
      <c r="R1657" s="78">
        <v>9</v>
      </c>
      <c r="S1657" s="78">
        <v>8</v>
      </c>
      <c r="T1657" s="78">
        <v>0</v>
      </c>
      <c r="U1657" s="78">
        <v>0</v>
      </c>
      <c r="V1657" s="78">
        <v>0</v>
      </c>
      <c r="W1657" s="78">
        <v>1</v>
      </c>
    </row>
    <row r="1658" spans="1:23" ht="12.75" customHeight="1">
      <c r="B1658" s="11"/>
    </row>
    <row r="1659" spans="1:23" ht="12.75" customHeight="1">
      <c r="B1659" s="152" t="s">
        <v>124</v>
      </c>
      <c r="C1659" s="64" t="s">
        <v>391</v>
      </c>
      <c r="H1659" s="246" t="s">
        <v>955</v>
      </c>
      <c r="I1659" s="223"/>
      <c r="J1659" s="223"/>
      <c r="K1659" s="223"/>
      <c r="L1659" s="223"/>
      <c r="M1659" s="223"/>
      <c r="N1659" s="223"/>
      <c r="O1659" s="223"/>
      <c r="P1659" s="223"/>
      <c r="Q1659" s="223"/>
      <c r="R1659" s="223"/>
      <c r="S1659" s="223"/>
      <c r="T1659" s="223"/>
      <c r="U1659" s="223"/>
      <c r="V1659" s="223"/>
      <c r="W1659" s="224"/>
    </row>
    <row r="1660" spans="1:23" ht="12.75" customHeight="1"/>
    <row r="1661" spans="1:23" ht="12.75" customHeight="1"/>
    <row r="1662" spans="1:23" ht="12.75" customHeight="1">
      <c r="B1662" s="38" t="s">
        <v>782</v>
      </c>
      <c r="I1662" s="225"/>
      <c r="J1662" s="194"/>
      <c r="K1662" s="194"/>
      <c r="L1662" s="194"/>
    </row>
    <row r="1663" spans="1:23" ht="12.75" customHeight="1"/>
    <row r="1664" spans="1:23" ht="12.75" customHeight="1">
      <c r="A1664" s="11"/>
      <c r="B1664" s="152" t="s">
        <v>111</v>
      </c>
      <c r="C1664" s="64" t="s">
        <v>783</v>
      </c>
      <c r="H1664" s="78">
        <v>2</v>
      </c>
      <c r="I1664" s="64" t="s">
        <v>784</v>
      </c>
    </row>
    <row r="1665" spans="1:23" ht="12.75" customHeight="1">
      <c r="A1665" s="11"/>
      <c r="B1665" s="11"/>
    </row>
    <row r="1666" spans="1:23" ht="12.75" customHeight="1">
      <c r="A1666" s="11"/>
      <c r="B1666" s="152" t="s">
        <v>115</v>
      </c>
      <c r="C1666" s="64" t="s">
        <v>387</v>
      </c>
      <c r="H1666" s="78"/>
      <c r="I1666" s="78"/>
      <c r="J1666" s="78"/>
      <c r="K1666" s="78"/>
      <c r="L1666" s="78"/>
      <c r="M1666" s="78"/>
      <c r="N1666" s="78"/>
      <c r="O1666" s="78"/>
      <c r="P1666" s="78"/>
      <c r="Q1666" s="78"/>
      <c r="R1666" s="78"/>
      <c r="S1666" s="78"/>
      <c r="T1666" s="78"/>
      <c r="U1666" s="78"/>
      <c r="V1666" s="78"/>
      <c r="W1666" s="78"/>
    </row>
    <row r="1667" spans="1:23" ht="12.75" customHeight="1">
      <c r="A1667" s="11"/>
      <c r="B1667" s="11"/>
    </row>
    <row r="1668" spans="1:23" ht="12.75" customHeight="1">
      <c r="A1668" s="11"/>
      <c r="B1668" s="152" t="s">
        <v>118</v>
      </c>
      <c r="C1668" s="64" t="s">
        <v>785</v>
      </c>
      <c r="H1668" s="78">
        <v>3</v>
      </c>
      <c r="I1668" s="78">
        <v>3</v>
      </c>
      <c r="J1668" s="78">
        <v>0</v>
      </c>
      <c r="K1668" s="78">
        <v>3</v>
      </c>
      <c r="L1668" s="78">
        <v>1</v>
      </c>
      <c r="M1668" s="78">
        <v>7</v>
      </c>
      <c r="N1668" s="78">
        <v>1</v>
      </c>
      <c r="O1668" s="78">
        <v>2</v>
      </c>
      <c r="P1668" s="78">
        <v>0</v>
      </c>
      <c r="Q1668" s="78">
        <v>9</v>
      </c>
      <c r="R1668" s="78">
        <v>9</v>
      </c>
      <c r="S1668" s="78">
        <v>8</v>
      </c>
      <c r="T1668" s="78">
        <v>0</v>
      </c>
      <c r="U1668" s="78">
        <v>0</v>
      </c>
      <c r="V1668" s="78">
        <v>0</v>
      </c>
      <c r="W1668" s="78">
        <v>1</v>
      </c>
    </row>
    <row r="1669" spans="1:23" ht="12.75" customHeight="1">
      <c r="A1669" s="11"/>
      <c r="B1669" s="11"/>
    </row>
    <row r="1670" spans="1:23" ht="12.75" customHeight="1">
      <c r="A1670" s="11"/>
      <c r="B1670" s="152" t="s">
        <v>121</v>
      </c>
      <c r="C1670" s="64" t="s">
        <v>385</v>
      </c>
      <c r="H1670" s="246" t="s">
        <v>955</v>
      </c>
      <c r="I1670" s="223"/>
      <c r="J1670" s="223"/>
      <c r="K1670" s="223"/>
      <c r="L1670" s="223"/>
      <c r="M1670" s="223"/>
      <c r="N1670" s="223"/>
      <c r="O1670" s="223"/>
      <c r="P1670" s="223"/>
      <c r="Q1670" s="223"/>
      <c r="R1670" s="223"/>
      <c r="S1670" s="223"/>
      <c r="T1670" s="223"/>
      <c r="U1670" s="223"/>
      <c r="V1670" s="223"/>
      <c r="W1670" s="224"/>
    </row>
    <row r="1671" spans="1:23" ht="12.75" customHeight="1">
      <c r="A1671" s="11"/>
      <c r="B1671" s="11"/>
    </row>
    <row r="1672" spans="1:23" ht="12.75" customHeight="1">
      <c r="A1672" s="11"/>
      <c r="B1672" s="152" t="s">
        <v>124</v>
      </c>
      <c r="C1672" s="64" t="s">
        <v>786</v>
      </c>
      <c r="H1672" s="78">
        <v>2</v>
      </c>
      <c r="I1672" s="78">
        <v>1</v>
      </c>
      <c r="J1672" s="11"/>
      <c r="K1672" s="78">
        <v>0</v>
      </c>
      <c r="L1672" s="78">
        <v>7</v>
      </c>
      <c r="M1672" s="11"/>
      <c r="N1672" s="78">
        <v>2</v>
      </c>
      <c r="O1672" s="78">
        <v>0</v>
      </c>
      <c r="P1672" s="78">
        <v>2</v>
      </c>
      <c r="Q1672" s="78">
        <v>3</v>
      </c>
    </row>
    <row r="1673" spans="1:23" ht="12.75" customHeight="1">
      <c r="A1673" s="11"/>
      <c r="B1673" s="11"/>
    </row>
    <row r="1674" spans="1:23" ht="12.75" customHeight="1">
      <c r="A1674" s="11"/>
      <c r="B1674" s="152" t="s">
        <v>127</v>
      </c>
      <c r="C1674" s="64" t="s">
        <v>345</v>
      </c>
      <c r="F1674" s="91"/>
      <c r="H1674" s="246" t="s">
        <v>102</v>
      </c>
      <c r="I1674" s="223"/>
      <c r="J1674" s="223"/>
      <c r="K1674" s="223"/>
      <c r="L1674" s="223"/>
      <c r="M1674" s="223"/>
      <c r="N1674" s="224"/>
      <c r="P1674" s="64" t="s">
        <v>675</v>
      </c>
      <c r="Q1674" s="78">
        <v>0</v>
      </c>
      <c r="R1674" s="78">
        <v>1</v>
      </c>
      <c r="S1674" s="78">
        <v>0</v>
      </c>
      <c r="T1674" s="11" t="s">
        <v>676</v>
      </c>
      <c r="U1674" s="78">
        <v>0</v>
      </c>
      <c r="V1674" s="78">
        <v>0</v>
      </c>
      <c r="W1674" s="78">
        <v>2</v>
      </c>
    </row>
    <row r="1675" spans="1:23" ht="12.75" customHeight="1">
      <c r="A1675" s="11"/>
      <c r="B1675" s="11"/>
    </row>
    <row r="1676" spans="1:23" ht="12.75" customHeight="1">
      <c r="A1676" s="11"/>
      <c r="B1676" s="11"/>
      <c r="F1676" s="91"/>
      <c r="H1676" s="64" t="s">
        <v>779</v>
      </c>
      <c r="L1676" s="246" t="s">
        <v>942</v>
      </c>
      <c r="M1676" s="223"/>
      <c r="N1676" s="223"/>
      <c r="O1676" s="223"/>
      <c r="P1676" s="223"/>
      <c r="Q1676" s="223"/>
      <c r="R1676" s="223"/>
      <c r="S1676" s="223"/>
      <c r="T1676" s="223"/>
      <c r="U1676" s="223"/>
      <c r="V1676" s="223"/>
      <c r="W1676" s="224"/>
    </row>
    <row r="1677" spans="1:23" ht="12.75" customHeight="1">
      <c r="A1677" s="11"/>
      <c r="B1677" s="11"/>
      <c r="H1677" s="77"/>
      <c r="I1677" s="77"/>
      <c r="J1677" s="77"/>
      <c r="K1677" s="77"/>
      <c r="L1677" s="77"/>
      <c r="M1677" s="77"/>
    </row>
    <row r="1678" spans="1:23" ht="12.75" customHeight="1">
      <c r="A1678" s="11"/>
      <c r="B1678" s="11"/>
      <c r="C1678" s="64" t="s">
        <v>414</v>
      </c>
      <c r="H1678" s="246" t="s">
        <v>102</v>
      </c>
      <c r="I1678" s="223"/>
      <c r="J1678" s="223"/>
      <c r="K1678" s="223"/>
      <c r="L1678" s="223"/>
      <c r="M1678" s="224"/>
      <c r="O1678" s="64" t="s">
        <v>562</v>
      </c>
      <c r="R1678" s="246" t="s">
        <v>106</v>
      </c>
      <c r="S1678" s="223"/>
      <c r="T1678" s="223"/>
      <c r="U1678" s="223"/>
      <c r="V1678" s="223"/>
      <c r="W1678" s="224"/>
    </row>
    <row r="1679" spans="1:23" ht="12.75" customHeight="1">
      <c r="A1679" s="11"/>
      <c r="B1679" s="11"/>
      <c r="H1679" s="77"/>
      <c r="I1679" s="77"/>
      <c r="J1679" s="77"/>
      <c r="K1679" s="77"/>
      <c r="L1679" s="77"/>
      <c r="M1679" s="77"/>
    </row>
    <row r="1680" spans="1:23" ht="12.75" customHeight="1">
      <c r="A1680" s="11"/>
      <c r="B1680" s="11"/>
      <c r="C1680" s="64" t="s">
        <v>563</v>
      </c>
      <c r="H1680" s="246" t="s">
        <v>104</v>
      </c>
      <c r="I1680" s="223"/>
      <c r="J1680" s="223"/>
      <c r="K1680" s="223"/>
      <c r="L1680" s="223"/>
      <c r="M1680" s="224"/>
      <c r="O1680" s="64" t="s">
        <v>417</v>
      </c>
      <c r="R1680" s="246" t="s">
        <v>418</v>
      </c>
      <c r="S1680" s="223"/>
      <c r="T1680" s="223"/>
      <c r="U1680" s="223"/>
      <c r="V1680" s="223"/>
      <c r="W1680" s="224"/>
    </row>
    <row r="1681" spans="1:23" ht="12.75" customHeight="1">
      <c r="A1681" s="11"/>
      <c r="B1681" s="11"/>
    </row>
    <row r="1682" spans="1:23" ht="12.75" customHeight="1">
      <c r="A1682" s="11"/>
      <c r="B1682" s="152" t="s">
        <v>130</v>
      </c>
      <c r="C1682" s="64" t="s">
        <v>926</v>
      </c>
    </row>
    <row r="1683" spans="1:23" ht="12.75" customHeight="1"/>
    <row r="1684" spans="1:23" ht="12.75" customHeight="1">
      <c r="B1684" s="104" t="s">
        <v>684</v>
      </c>
      <c r="C1684" s="275" t="s">
        <v>340</v>
      </c>
      <c r="D1684" s="223"/>
      <c r="E1684" s="223"/>
      <c r="F1684" s="223"/>
      <c r="G1684" s="223"/>
      <c r="H1684" s="223"/>
      <c r="I1684" s="223"/>
      <c r="J1684" s="223"/>
      <c r="K1684" s="224"/>
      <c r="L1684" s="275" t="s">
        <v>791</v>
      </c>
      <c r="M1684" s="223"/>
      <c r="N1684" s="223"/>
      <c r="O1684" s="223"/>
      <c r="P1684" s="223"/>
      <c r="Q1684" s="224"/>
      <c r="R1684" s="286" t="s">
        <v>939</v>
      </c>
      <c r="S1684" s="223"/>
      <c r="T1684" s="224"/>
      <c r="U1684" s="275" t="s">
        <v>793</v>
      </c>
      <c r="V1684" s="223"/>
      <c r="W1684" s="224"/>
    </row>
    <row r="1685" spans="1:23" ht="12.75" customHeight="1">
      <c r="B1685" s="78">
        <v>1</v>
      </c>
      <c r="C1685" s="288" t="s">
        <v>956</v>
      </c>
      <c r="D1685" s="223"/>
      <c r="E1685" s="223"/>
      <c r="F1685" s="223"/>
      <c r="G1685" s="223"/>
      <c r="H1685" s="223"/>
      <c r="I1685" s="223"/>
      <c r="J1685" s="223"/>
      <c r="K1685" s="224"/>
      <c r="L1685" s="246" t="s">
        <v>955</v>
      </c>
      <c r="M1685" s="223"/>
      <c r="N1685" s="223"/>
      <c r="O1685" s="223"/>
      <c r="P1685" s="223"/>
      <c r="Q1685" s="224"/>
      <c r="R1685" s="287">
        <v>36050</v>
      </c>
      <c r="S1685" s="223"/>
      <c r="T1685" s="224"/>
      <c r="U1685" s="252" t="s">
        <v>795</v>
      </c>
      <c r="V1685" s="223"/>
      <c r="W1685" s="224"/>
    </row>
    <row r="1686" spans="1:23" ht="12.75" customHeight="1">
      <c r="B1686" s="78">
        <v>2</v>
      </c>
      <c r="C1686" s="246"/>
      <c r="D1686" s="223"/>
      <c r="E1686" s="223"/>
      <c r="F1686" s="223"/>
      <c r="G1686" s="223"/>
      <c r="H1686" s="223"/>
      <c r="I1686" s="223"/>
      <c r="J1686" s="223"/>
      <c r="K1686" s="224"/>
      <c r="L1686" s="246"/>
      <c r="M1686" s="223"/>
      <c r="N1686" s="223"/>
      <c r="O1686" s="223"/>
      <c r="P1686" s="223"/>
      <c r="Q1686" s="224"/>
      <c r="R1686" s="287"/>
      <c r="S1686" s="223"/>
      <c r="T1686" s="224"/>
      <c r="U1686" s="252"/>
      <c r="V1686" s="223"/>
      <c r="W1686" s="224"/>
    </row>
    <row r="1687" spans="1:23" ht="12.75" customHeight="1">
      <c r="B1687" s="78">
        <v>3</v>
      </c>
      <c r="C1687" s="246"/>
      <c r="D1687" s="223"/>
      <c r="E1687" s="223"/>
      <c r="F1687" s="223"/>
      <c r="G1687" s="223"/>
      <c r="H1687" s="223"/>
      <c r="I1687" s="223"/>
      <c r="J1687" s="223"/>
      <c r="K1687" s="224"/>
      <c r="L1687" s="246"/>
      <c r="M1687" s="223"/>
      <c r="N1687" s="223"/>
      <c r="O1687" s="223"/>
      <c r="P1687" s="223"/>
      <c r="Q1687" s="224"/>
      <c r="R1687" s="287"/>
      <c r="S1687" s="223"/>
      <c r="T1687" s="224"/>
      <c r="U1687" s="252"/>
      <c r="V1687" s="223"/>
      <c r="W1687" s="224"/>
    </row>
    <row r="1688" spans="1:23" ht="12.75" customHeight="1">
      <c r="B1688" s="78">
        <v>4</v>
      </c>
      <c r="C1688" s="252"/>
      <c r="D1688" s="223"/>
      <c r="E1688" s="223"/>
      <c r="F1688" s="223"/>
      <c r="G1688" s="223"/>
      <c r="H1688" s="223"/>
      <c r="I1688" s="223"/>
      <c r="J1688" s="223"/>
      <c r="K1688" s="224"/>
      <c r="L1688" s="252"/>
      <c r="M1688" s="223"/>
      <c r="N1688" s="223"/>
      <c r="O1688" s="223"/>
      <c r="P1688" s="223"/>
      <c r="Q1688" s="224"/>
      <c r="R1688" s="252"/>
      <c r="S1688" s="223"/>
      <c r="T1688" s="224"/>
      <c r="U1688" s="252"/>
      <c r="V1688" s="223"/>
      <c r="W1688" s="224"/>
    </row>
    <row r="1689" spans="1:23" ht="12.75" customHeight="1">
      <c r="B1689" s="78">
        <v>5</v>
      </c>
      <c r="C1689" s="252"/>
      <c r="D1689" s="223"/>
      <c r="E1689" s="223"/>
      <c r="F1689" s="223"/>
      <c r="G1689" s="223"/>
      <c r="H1689" s="223"/>
      <c r="I1689" s="223"/>
      <c r="J1689" s="223"/>
      <c r="K1689" s="224"/>
      <c r="L1689" s="252"/>
      <c r="M1689" s="223"/>
      <c r="N1689" s="223"/>
      <c r="O1689" s="223"/>
      <c r="P1689" s="223"/>
      <c r="Q1689" s="224"/>
      <c r="R1689" s="252"/>
      <c r="S1689" s="223"/>
      <c r="T1689" s="224"/>
      <c r="U1689" s="252"/>
      <c r="V1689" s="223"/>
      <c r="W1689" s="224"/>
    </row>
    <row r="1690" spans="1:23" ht="12.75" customHeight="1">
      <c r="B1690" s="78">
        <v>6</v>
      </c>
      <c r="C1690" s="252"/>
      <c r="D1690" s="223"/>
      <c r="E1690" s="223"/>
      <c r="F1690" s="223"/>
      <c r="G1690" s="223"/>
      <c r="H1690" s="223"/>
      <c r="I1690" s="223"/>
      <c r="J1690" s="223"/>
      <c r="K1690" s="224"/>
      <c r="L1690" s="252"/>
      <c r="M1690" s="223"/>
      <c r="N1690" s="223"/>
      <c r="O1690" s="223"/>
      <c r="P1690" s="223"/>
      <c r="Q1690" s="224"/>
      <c r="R1690" s="252"/>
      <c r="S1690" s="223"/>
      <c r="T1690" s="224"/>
      <c r="U1690" s="252"/>
      <c r="V1690" s="223"/>
      <c r="W1690" s="224"/>
    </row>
    <row r="1691" spans="1:23" ht="12.75" customHeight="1">
      <c r="B1691" s="78">
        <v>7</v>
      </c>
      <c r="C1691" s="252"/>
      <c r="D1691" s="223"/>
      <c r="E1691" s="223"/>
      <c r="F1691" s="223"/>
      <c r="G1691" s="223"/>
      <c r="H1691" s="223"/>
      <c r="I1691" s="223"/>
      <c r="J1691" s="223"/>
      <c r="K1691" s="224"/>
      <c r="L1691" s="252"/>
      <c r="M1691" s="223"/>
      <c r="N1691" s="223"/>
      <c r="O1691" s="223"/>
      <c r="P1691" s="223"/>
      <c r="Q1691" s="224"/>
      <c r="R1691" s="252"/>
      <c r="S1691" s="223"/>
      <c r="T1691" s="224"/>
      <c r="U1691" s="252"/>
      <c r="V1691" s="223"/>
      <c r="W1691" s="224"/>
    </row>
    <row r="1692" spans="1:23" ht="12.75" customHeight="1"/>
    <row r="1693" spans="1:23" ht="12.75" customHeight="1"/>
    <row r="1694" spans="1:23" ht="12.75" customHeight="1">
      <c r="L1694" s="64" t="s">
        <v>480</v>
      </c>
      <c r="R1694" s="64" t="s">
        <v>957</v>
      </c>
    </row>
    <row r="1695" spans="1:23" ht="12.75" customHeight="1">
      <c r="D1695" s="64" t="s">
        <v>797</v>
      </c>
      <c r="J1695" s="225" t="s">
        <v>932</v>
      </c>
      <c r="K1695" s="194"/>
      <c r="L1695" s="194"/>
      <c r="M1695" s="194"/>
      <c r="N1695" s="194"/>
      <c r="O1695" s="194"/>
      <c r="S1695" s="64" t="s">
        <v>799</v>
      </c>
    </row>
    <row r="1696" spans="1:23" ht="12.75" customHeight="1">
      <c r="K1696" s="225" t="s">
        <v>365</v>
      </c>
      <c r="L1696" s="194"/>
      <c r="M1696" s="194"/>
      <c r="N1696" s="194"/>
      <c r="O1696" s="194"/>
    </row>
    <row r="1697" spans="4:22" ht="12.75" customHeight="1"/>
    <row r="1698" spans="4:22" ht="12.75" customHeight="1"/>
    <row r="1699" spans="4:22" ht="12.75" customHeight="1"/>
    <row r="1700" spans="4:22" ht="12.75" customHeight="1">
      <c r="D1700" s="225" t="s">
        <v>501</v>
      </c>
      <c r="E1700" s="194"/>
      <c r="F1700" s="194"/>
      <c r="K1700" s="225" t="s">
        <v>366</v>
      </c>
      <c r="L1700" s="194"/>
      <c r="M1700" s="194"/>
      <c r="N1700" s="194"/>
      <c r="Q1700" s="225" t="str">
        <f>L1685</f>
        <v>IRHAS FISIGIT</v>
      </c>
      <c r="R1700" s="194"/>
      <c r="S1700" s="194"/>
      <c r="T1700" s="194"/>
      <c r="U1700" s="194"/>
      <c r="V1700" s="194"/>
    </row>
    <row r="1701" spans="4:22" ht="12.75" customHeight="1"/>
    <row r="1702" spans="4:22" ht="12.75" customHeight="1"/>
    <row r="1703" spans="4:22" ht="12.75" customHeight="1"/>
    <row r="1704" spans="4:22" ht="12.75" customHeight="1"/>
    <row r="1705" spans="4:22" ht="12.75" customHeight="1"/>
    <row r="1706" spans="4:22" ht="12.75" customHeight="1"/>
    <row r="1707" spans="4:22" ht="12.75" customHeight="1"/>
    <row r="1708" spans="4:22" ht="12.75" customHeight="1"/>
    <row r="1709" spans="4:22" ht="12.75" customHeight="1"/>
    <row r="1710" spans="4:22" ht="12.75" customHeight="1"/>
    <row r="1711" spans="4:22" ht="12.75" customHeight="1"/>
    <row r="1712" spans="4:2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spans="2:23" ht="12.75" customHeight="1"/>
    <row r="1746" spans="2:23" ht="12.75" customHeight="1"/>
    <row r="1747" spans="2:23" ht="12.75" customHeight="1"/>
    <row r="1748" spans="2:23" ht="12.75" customHeight="1"/>
    <row r="1749" spans="2:23" ht="12.75" customHeight="1"/>
    <row r="1750" spans="2:23" ht="12.75" customHeight="1"/>
    <row r="1751" spans="2:23" ht="12.75" customHeight="1"/>
    <row r="1752" spans="2:23" ht="12.75" customHeight="1"/>
    <row r="1753" spans="2:23" ht="12.75" customHeight="1"/>
    <row r="1754" spans="2:23" ht="12.75" customHeight="1"/>
    <row r="1755" spans="2:23" ht="12.75" customHeight="1"/>
    <row r="1756" spans="2:23" ht="12.75" customHeight="1">
      <c r="T1756" s="252" t="s">
        <v>800</v>
      </c>
      <c r="U1756" s="223"/>
      <c r="V1756" s="224"/>
    </row>
    <row r="1757" spans="2:23" ht="12.75" customHeight="1">
      <c r="B1757" s="151"/>
      <c r="C1757" s="151"/>
      <c r="D1757" s="151"/>
      <c r="E1757" s="151"/>
      <c r="F1757" s="151"/>
      <c r="G1757" s="151"/>
      <c r="H1757" s="151"/>
      <c r="I1757" s="151"/>
      <c r="J1757" s="151"/>
      <c r="K1757" s="151"/>
      <c r="L1757" s="151"/>
      <c r="M1757" s="151"/>
      <c r="N1757" s="151"/>
      <c r="O1757" s="151"/>
      <c r="P1757" s="151"/>
      <c r="Q1757" s="151"/>
      <c r="R1757" s="151"/>
      <c r="S1757" s="151"/>
      <c r="T1757" s="151"/>
      <c r="U1757" s="151"/>
      <c r="V1757" s="151"/>
      <c r="W1757" s="151"/>
    </row>
    <row r="1758" spans="2:23" ht="12.75" customHeight="1"/>
    <row r="1759" spans="2:23" ht="12.75" customHeight="1">
      <c r="B1759" s="64" t="s">
        <v>770</v>
      </c>
      <c r="G1759" s="11" t="s">
        <v>10</v>
      </c>
      <c r="H1759" s="78">
        <v>3</v>
      </c>
      <c r="I1759" s="78">
        <v>3</v>
      </c>
      <c r="J1759" s="11"/>
      <c r="M1759" s="246" t="s">
        <v>418</v>
      </c>
      <c r="N1759" s="223"/>
      <c r="O1759" s="223"/>
      <c r="P1759" s="223"/>
      <c r="Q1759" s="223"/>
      <c r="R1759" s="223"/>
      <c r="S1759" s="223"/>
      <c r="T1759" s="223"/>
      <c r="U1759" s="223"/>
      <c r="V1759" s="223"/>
      <c r="W1759" s="224"/>
    </row>
    <row r="1760" spans="2:23" ht="12.75" customHeight="1">
      <c r="G1760" s="11"/>
      <c r="H1760" s="11"/>
      <c r="I1760" s="11"/>
      <c r="J1760" s="11"/>
      <c r="M1760" s="77"/>
      <c r="N1760" s="77"/>
      <c r="O1760" s="77"/>
      <c r="P1760" s="77"/>
      <c r="Q1760" s="77"/>
      <c r="R1760" s="77"/>
      <c r="S1760" s="77"/>
      <c r="T1760" s="77"/>
      <c r="U1760" s="77"/>
      <c r="V1760" s="77"/>
      <c r="W1760" s="77"/>
    </row>
    <row r="1761" spans="1:23" ht="12.75" customHeight="1">
      <c r="B1761" s="64" t="s">
        <v>105</v>
      </c>
      <c r="G1761" s="11" t="s">
        <v>10</v>
      </c>
      <c r="H1761" s="78">
        <v>2</v>
      </c>
      <c r="I1761" s="78">
        <v>7</v>
      </c>
      <c r="J1761" s="11"/>
      <c r="M1761" s="246" t="s">
        <v>106</v>
      </c>
      <c r="N1761" s="223"/>
      <c r="O1761" s="223"/>
      <c r="P1761" s="223"/>
      <c r="Q1761" s="223"/>
      <c r="R1761" s="223"/>
      <c r="S1761" s="223"/>
      <c r="T1761" s="223"/>
      <c r="U1761" s="223"/>
      <c r="V1761" s="223"/>
      <c r="W1761" s="224"/>
    </row>
    <row r="1762" spans="1:23" ht="12.75" customHeight="1">
      <c r="G1762" s="11"/>
      <c r="H1762" s="11"/>
      <c r="I1762" s="11"/>
      <c r="J1762" s="11"/>
      <c r="M1762" s="77"/>
      <c r="N1762" s="77"/>
      <c r="O1762" s="77"/>
      <c r="P1762" s="77"/>
      <c r="Q1762" s="77"/>
      <c r="R1762" s="77"/>
      <c r="S1762" s="77"/>
      <c r="T1762" s="77"/>
      <c r="U1762" s="77"/>
      <c r="V1762" s="77"/>
      <c r="W1762" s="77"/>
    </row>
    <row r="1763" spans="1:23" ht="12.75" customHeight="1">
      <c r="B1763" s="64" t="s">
        <v>103</v>
      </c>
      <c r="G1763" s="11" t="s">
        <v>10</v>
      </c>
      <c r="H1763" s="78">
        <v>4</v>
      </c>
      <c r="I1763" s="78">
        <v>0</v>
      </c>
      <c r="J1763" s="11"/>
      <c r="M1763" s="246" t="s">
        <v>104</v>
      </c>
      <c r="N1763" s="223"/>
      <c r="O1763" s="223"/>
      <c r="P1763" s="223"/>
      <c r="Q1763" s="223"/>
      <c r="R1763" s="223"/>
      <c r="S1763" s="223"/>
      <c r="T1763" s="223"/>
      <c r="U1763" s="223"/>
      <c r="V1763" s="223"/>
      <c r="W1763" s="224"/>
    </row>
    <row r="1764" spans="1:23" ht="12.75" customHeight="1">
      <c r="G1764" s="11"/>
      <c r="H1764" s="11"/>
      <c r="I1764" s="11"/>
      <c r="J1764" s="11"/>
      <c r="M1764" s="77"/>
      <c r="N1764" s="77"/>
      <c r="O1764" s="77"/>
      <c r="P1764" s="77"/>
      <c r="Q1764" s="77"/>
      <c r="R1764" s="77"/>
      <c r="S1764" s="77"/>
      <c r="T1764" s="77"/>
      <c r="U1764" s="77"/>
      <c r="V1764" s="77"/>
      <c r="W1764" s="77"/>
    </row>
    <row r="1765" spans="1:23" ht="12.75" customHeight="1">
      <c r="B1765" s="64" t="s">
        <v>771</v>
      </c>
      <c r="G1765" s="11" t="s">
        <v>10</v>
      </c>
      <c r="H1765" s="78">
        <v>0</v>
      </c>
      <c r="I1765" s="78">
        <v>1</v>
      </c>
      <c r="J1765" s="78">
        <v>1</v>
      </c>
      <c r="K1765" s="91"/>
      <c r="M1765" s="246" t="s">
        <v>102</v>
      </c>
      <c r="N1765" s="223"/>
      <c r="O1765" s="223"/>
      <c r="P1765" s="223"/>
      <c r="Q1765" s="223"/>
      <c r="R1765" s="223"/>
      <c r="S1765" s="223"/>
      <c r="T1765" s="223"/>
      <c r="U1765" s="223"/>
      <c r="V1765" s="223"/>
      <c r="W1765" s="224"/>
    </row>
    <row r="1766" spans="1:23" ht="12.75" customHeight="1">
      <c r="G1766" s="11"/>
    </row>
    <row r="1767" spans="1:23" ht="12.75" customHeight="1">
      <c r="B1767" s="64" t="s">
        <v>772</v>
      </c>
      <c r="G1767" s="11" t="s">
        <v>10</v>
      </c>
      <c r="H1767" s="246" t="s">
        <v>773</v>
      </c>
      <c r="I1767" s="223"/>
      <c r="J1767" s="223"/>
      <c r="K1767" s="223"/>
      <c r="L1767" s="223"/>
      <c r="M1767" s="223"/>
      <c r="N1767" s="223"/>
      <c r="O1767" s="223"/>
      <c r="P1767" s="223"/>
      <c r="Q1767" s="223"/>
      <c r="R1767" s="223"/>
      <c r="S1767" s="223"/>
      <c r="T1767" s="223"/>
      <c r="U1767" s="223"/>
      <c r="V1767" s="223"/>
      <c r="W1767" s="224"/>
    </row>
    <row r="1768" spans="1:23" ht="12.75" customHeight="1"/>
    <row r="1769" spans="1:23" ht="12.75" customHeight="1">
      <c r="B1769" s="196" t="s">
        <v>822</v>
      </c>
      <c r="C1769" s="194"/>
      <c r="D1769" s="194"/>
      <c r="E1769" s="194"/>
      <c r="F1769" s="194"/>
      <c r="G1769" s="194"/>
      <c r="H1769" s="194"/>
      <c r="I1769" s="194"/>
      <c r="J1769" s="194"/>
      <c r="K1769" s="194"/>
      <c r="L1769" s="194"/>
      <c r="M1769" s="194"/>
      <c r="N1769" s="194"/>
      <c r="O1769" s="194"/>
      <c r="P1769" s="194"/>
      <c r="Q1769" s="194"/>
      <c r="R1769" s="194"/>
      <c r="S1769" s="194"/>
      <c r="T1769" s="194"/>
      <c r="U1769" s="194"/>
      <c r="V1769" s="194"/>
      <c r="W1769" s="194"/>
    </row>
    <row r="1770" spans="1:23" ht="12.75" customHeight="1">
      <c r="B1770" s="225" t="s">
        <v>775</v>
      </c>
      <c r="C1770" s="194"/>
      <c r="D1770" s="194"/>
      <c r="E1770" s="194"/>
      <c r="F1770" s="194"/>
      <c r="G1770" s="194"/>
      <c r="H1770" s="194"/>
      <c r="I1770" s="194"/>
      <c r="J1770" s="194"/>
      <c r="K1770" s="194"/>
      <c r="L1770" s="194"/>
      <c r="M1770" s="194"/>
      <c r="N1770" s="194"/>
      <c r="O1770" s="194"/>
      <c r="P1770" s="194"/>
      <c r="Q1770" s="194"/>
      <c r="R1770" s="194"/>
      <c r="S1770" s="194"/>
      <c r="T1770" s="194"/>
      <c r="U1770" s="194"/>
      <c r="V1770" s="194"/>
      <c r="W1770" s="194"/>
    </row>
    <row r="1771" spans="1:23" ht="12.75" customHeight="1">
      <c r="B1771" s="225" t="s">
        <v>958</v>
      </c>
      <c r="C1771" s="194"/>
      <c r="D1771" s="194"/>
      <c r="E1771" s="194"/>
      <c r="F1771" s="194"/>
      <c r="G1771" s="194"/>
      <c r="H1771" s="194"/>
      <c r="I1771" s="194"/>
      <c r="J1771" s="194"/>
      <c r="K1771" s="194"/>
      <c r="L1771" s="194"/>
      <c r="M1771" s="194"/>
      <c r="N1771" s="194"/>
      <c r="O1771" s="194"/>
      <c r="P1771" s="194"/>
      <c r="Q1771" s="194"/>
      <c r="R1771" s="194"/>
      <c r="S1771" s="194"/>
      <c r="T1771" s="194"/>
      <c r="U1771" s="194"/>
      <c r="V1771" s="194"/>
      <c r="W1771" s="194"/>
    </row>
    <row r="1772" spans="1:23" ht="12.75" customHeight="1">
      <c r="A1772" s="11"/>
      <c r="B1772" s="38" t="s">
        <v>777</v>
      </c>
    </row>
    <row r="1773" spans="1:23" ht="12.75" customHeight="1"/>
    <row r="1774" spans="1:23" ht="12.75" customHeight="1">
      <c r="B1774" s="152" t="s">
        <v>111</v>
      </c>
      <c r="C1774" s="64" t="s">
        <v>387</v>
      </c>
      <c r="H1774" s="78">
        <v>3</v>
      </c>
      <c r="I1774" s="78">
        <v>3</v>
      </c>
      <c r="J1774" s="78">
        <v>2</v>
      </c>
      <c r="K1774" s="78">
        <v>7</v>
      </c>
      <c r="L1774" s="78">
        <v>0</v>
      </c>
      <c r="M1774" s="78">
        <v>2</v>
      </c>
      <c r="N1774" s="78">
        <v>2</v>
      </c>
      <c r="O1774" s="78">
        <v>6</v>
      </c>
      <c r="P1774" s="78">
        <v>0</v>
      </c>
      <c r="Q1774" s="78">
        <v>9</v>
      </c>
      <c r="R1774" s="78">
        <v>0</v>
      </c>
      <c r="S1774" s="78">
        <v>5</v>
      </c>
      <c r="T1774" s="78">
        <v>1</v>
      </c>
      <c r="U1774" s="78">
        <v>0</v>
      </c>
      <c r="V1774" s="78">
        <v>5</v>
      </c>
      <c r="W1774" s="78">
        <v>2</v>
      </c>
    </row>
    <row r="1775" spans="1:23" ht="12.75" customHeight="1">
      <c r="B1775" s="11"/>
    </row>
    <row r="1776" spans="1:23" ht="12.75" customHeight="1">
      <c r="B1776" s="152" t="s">
        <v>115</v>
      </c>
      <c r="C1776" s="64" t="s">
        <v>385</v>
      </c>
      <c r="H1776" s="246" t="s">
        <v>959</v>
      </c>
      <c r="I1776" s="223"/>
      <c r="J1776" s="223"/>
      <c r="K1776" s="223"/>
      <c r="L1776" s="223"/>
      <c r="M1776" s="223"/>
      <c r="N1776" s="223"/>
      <c r="O1776" s="223"/>
      <c r="P1776" s="223"/>
      <c r="Q1776" s="223"/>
      <c r="R1776" s="223"/>
      <c r="S1776" s="223"/>
      <c r="T1776" s="223"/>
      <c r="U1776" s="223"/>
      <c r="V1776" s="223"/>
      <c r="W1776" s="224"/>
    </row>
    <row r="1777" spans="2:23" ht="12.75" customHeight="1">
      <c r="B1777" s="11"/>
    </row>
    <row r="1778" spans="2:23" ht="12.75" customHeight="1">
      <c r="B1778" s="152" t="s">
        <v>118</v>
      </c>
      <c r="C1778" s="64" t="s">
        <v>345</v>
      </c>
      <c r="H1778" s="246" t="s">
        <v>102</v>
      </c>
      <c r="I1778" s="223"/>
      <c r="J1778" s="223"/>
      <c r="K1778" s="223"/>
      <c r="L1778" s="223"/>
      <c r="M1778" s="223"/>
      <c r="N1778" s="223"/>
      <c r="O1778" s="224"/>
      <c r="P1778" s="64" t="s">
        <v>675</v>
      </c>
      <c r="Q1778" s="78">
        <v>0</v>
      </c>
      <c r="R1778" s="78">
        <v>2</v>
      </c>
      <c r="S1778" s="78">
        <v>0</v>
      </c>
      <c r="T1778" s="11" t="s">
        <v>676</v>
      </c>
      <c r="U1778" s="78">
        <v>0</v>
      </c>
      <c r="V1778" s="78">
        <v>0</v>
      </c>
      <c r="W1778" s="78">
        <v>3</v>
      </c>
    </row>
    <row r="1779" spans="2:23" ht="12.75" customHeight="1">
      <c r="B1779" s="11"/>
    </row>
    <row r="1780" spans="2:23" ht="12.75" customHeight="1">
      <c r="B1780" s="11"/>
      <c r="H1780" s="64" t="s">
        <v>779</v>
      </c>
      <c r="L1780" s="246" t="s">
        <v>909</v>
      </c>
      <c r="M1780" s="223"/>
      <c r="N1780" s="223"/>
      <c r="O1780" s="223"/>
      <c r="P1780" s="223"/>
      <c r="Q1780" s="223"/>
      <c r="R1780" s="223"/>
      <c r="S1780" s="223"/>
      <c r="T1780" s="223"/>
      <c r="U1780" s="223"/>
      <c r="V1780" s="223"/>
      <c r="W1780" s="224"/>
    </row>
    <row r="1781" spans="2:23" ht="12.75" customHeight="1">
      <c r="B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</row>
    <row r="1782" spans="2:23" ht="12.75" customHeight="1">
      <c r="B1782" s="11"/>
      <c r="C1782" s="64" t="s">
        <v>414</v>
      </c>
      <c r="H1782" s="246" t="s">
        <v>102</v>
      </c>
      <c r="I1782" s="223"/>
      <c r="J1782" s="223"/>
      <c r="K1782" s="223"/>
      <c r="L1782" s="223"/>
      <c r="M1782" s="224"/>
      <c r="O1782" s="64" t="s">
        <v>562</v>
      </c>
      <c r="R1782" s="246" t="s">
        <v>106</v>
      </c>
      <c r="S1782" s="223"/>
      <c r="T1782" s="223"/>
      <c r="U1782" s="223"/>
      <c r="V1782" s="223"/>
      <c r="W1782" s="224"/>
    </row>
    <row r="1783" spans="2:23" ht="12.75" customHeight="1">
      <c r="B1783" s="11"/>
      <c r="H1783" s="77"/>
      <c r="I1783" s="77"/>
      <c r="J1783" s="77"/>
      <c r="K1783" s="77"/>
      <c r="L1783" s="77"/>
      <c r="M1783" s="77"/>
      <c r="R1783" s="77"/>
      <c r="S1783" s="77"/>
      <c r="T1783" s="77"/>
      <c r="U1783" s="77"/>
      <c r="V1783" s="77"/>
      <c r="W1783" s="77"/>
    </row>
    <row r="1784" spans="2:23" ht="12.75" customHeight="1">
      <c r="B1784" s="11"/>
      <c r="C1784" s="64" t="s">
        <v>416</v>
      </c>
      <c r="H1784" s="246" t="s">
        <v>104</v>
      </c>
      <c r="I1784" s="223"/>
      <c r="J1784" s="223"/>
      <c r="K1784" s="223"/>
      <c r="L1784" s="223"/>
      <c r="M1784" s="224"/>
      <c r="O1784" s="64" t="s">
        <v>417</v>
      </c>
      <c r="R1784" s="246" t="s">
        <v>418</v>
      </c>
      <c r="S1784" s="223"/>
      <c r="T1784" s="223"/>
      <c r="U1784" s="223"/>
      <c r="V1784" s="223"/>
      <c r="W1784" s="224"/>
    </row>
    <row r="1785" spans="2:23" ht="12.75" customHeight="1">
      <c r="B1785" s="11"/>
      <c r="H1785" s="77"/>
      <c r="I1785" s="77"/>
      <c r="J1785" s="77"/>
      <c r="K1785" s="77"/>
      <c r="L1785" s="77"/>
      <c r="M1785" s="77"/>
      <c r="R1785" s="11"/>
      <c r="S1785" s="11"/>
      <c r="T1785" s="11"/>
      <c r="U1785" s="11"/>
      <c r="V1785" s="11"/>
      <c r="W1785" s="11"/>
    </row>
    <row r="1786" spans="2:23" ht="12.75" customHeight="1">
      <c r="B1786" s="11"/>
      <c r="H1786" s="11" t="s">
        <v>674</v>
      </c>
      <c r="I1786" s="11"/>
      <c r="J1786" s="78">
        <v>5</v>
      </c>
      <c r="K1786" s="78">
        <v>2</v>
      </c>
      <c r="L1786" s="78">
        <v>3</v>
      </c>
      <c r="M1786" s="78">
        <v>5</v>
      </c>
      <c r="N1786" s="78">
        <v>7</v>
      </c>
      <c r="P1786" s="64" t="s">
        <v>680</v>
      </c>
      <c r="R1786" s="78"/>
      <c r="S1786" s="78"/>
      <c r="T1786" s="78"/>
      <c r="U1786" s="78"/>
      <c r="V1786" s="78"/>
      <c r="W1786" s="78"/>
    </row>
    <row r="1787" spans="2:23" ht="12.75" customHeight="1">
      <c r="B1787" s="11"/>
    </row>
    <row r="1788" spans="2:23" ht="12.75" customHeight="1">
      <c r="B1788" s="152" t="s">
        <v>121</v>
      </c>
      <c r="C1788" s="64" t="s">
        <v>780</v>
      </c>
      <c r="H1788" s="78">
        <v>3</v>
      </c>
      <c r="I1788" s="78">
        <v>3</v>
      </c>
      <c r="J1788" s="78">
        <v>2</v>
      </c>
      <c r="K1788" s="78">
        <v>7</v>
      </c>
      <c r="L1788" s="78">
        <v>0</v>
      </c>
      <c r="M1788" s="78">
        <v>2</v>
      </c>
      <c r="N1788" s="78">
        <v>4</v>
      </c>
      <c r="O1788" s="78">
        <v>3</v>
      </c>
      <c r="P1788" s="78">
        <v>0</v>
      </c>
      <c r="Q1788" s="78">
        <v>9</v>
      </c>
      <c r="R1788" s="78">
        <v>0</v>
      </c>
      <c r="S1788" s="78">
        <v>1</v>
      </c>
      <c r="T1788" s="78">
        <v>0</v>
      </c>
      <c r="U1788" s="78">
        <v>0</v>
      </c>
      <c r="V1788" s="78">
        <v>0</v>
      </c>
      <c r="W1788" s="78">
        <v>5</v>
      </c>
    </row>
    <row r="1789" spans="2:23" ht="12.75" customHeight="1">
      <c r="B1789" s="11"/>
    </row>
    <row r="1790" spans="2:23" ht="12.75" customHeight="1">
      <c r="B1790" s="152" t="s">
        <v>124</v>
      </c>
      <c r="C1790" s="64" t="s">
        <v>391</v>
      </c>
      <c r="H1790" s="246" t="s">
        <v>960</v>
      </c>
      <c r="I1790" s="223"/>
      <c r="J1790" s="223"/>
      <c r="K1790" s="223"/>
      <c r="L1790" s="223"/>
      <c r="M1790" s="223"/>
      <c r="N1790" s="223"/>
      <c r="O1790" s="223"/>
      <c r="P1790" s="223"/>
      <c r="Q1790" s="223"/>
      <c r="R1790" s="223"/>
      <c r="S1790" s="223"/>
      <c r="T1790" s="223"/>
      <c r="U1790" s="223"/>
      <c r="V1790" s="223"/>
      <c r="W1790" s="224"/>
    </row>
    <row r="1791" spans="2:23" ht="12.75" customHeight="1"/>
    <row r="1792" spans="2:23" ht="12.75" customHeight="1"/>
    <row r="1793" spans="1:23" ht="12.75" customHeight="1">
      <c r="B1793" s="38" t="s">
        <v>782</v>
      </c>
    </row>
    <row r="1794" spans="1:23" ht="12.75" customHeight="1"/>
    <row r="1795" spans="1:23" ht="12.75" customHeight="1">
      <c r="A1795" s="11"/>
      <c r="B1795" s="152" t="s">
        <v>111</v>
      </c>
      <c r="C1795" s="64" t="s">
        <v>783</v>
      </c>
      <c r="H1795" s="78">
        <v>2</v>
      </c>
      <c r="I1795" s="64" t="s">
        <v>784</v>
      </c>
    </row>
    <row r="1796" spans="1:23" ht="12.75" customHeight="1">
      <c r="A1796" s="11"/>
      <c r="B1796" s="11"/>
    </row>
    <row r="1797" spans="1:23" ht="12.75" customHeight="1">
      <c r="A1797" s="11"/>
      <c r="B1797" s="152" t="s">
        <v>115</v>
      </c>
      <c r="C1797" s="64" t="s">
        <v>387</v>
      </c>
      <c r="H1797" s="78"/>
      <c r="I1797" s="78"/>
      <c r="J1797" s="78"/>
      <c r="K1797" s="78"/>
      <c r="L1797" s="78"/>
      <c r="M1797" s="78"/>
      <c r="N1797" s="78"/>
      <c r="O1797" s="78"/>
      <c r="P1797" s="78"/>
      <c r="Q1797" s="78"/>
      <c r="R1797" s="78"/>
      <c r="S1797" s="78"/>
      <c r="T1797" s="78"/>
      <c r="U1797" s="78"/>
      <c r="V1797" s="78"/>
      <c r="W1797" s="78"/>
    </row>
    <row r="1798" spans="1:23" ht="12.75" customHeight="1">
      <c r="A1798" s="11"/>
      <c r="B1798" s="11"/>
    </row>
    <row r="1799" spans="1:23" ht="12.75" customHeight="1">
      <c r="A1799" s="11"/>
      <c r="B1799" s="152" t="s">
        <v>118</v>
      </c>
      <c r="C1799" s="64" t="s">
        <v>785</v>
      </c>
      <c r="H1799" s="78">
        <v>3</v>
      </c>
      <c r="I1799" s="78">
        <v>3</v>
      </c>
      <c r="J1799" s="78">
        <v>2</v>
      </c>
      <c r="K1799" s="78">
        <v>7</v>
      </c>
      <c r="L1799" s="78">
        <v>0</v>
      </c>
      <c r="M1799" s="78">
        <v>4</v>
      </c>
      <c r="N1799" s="78">
        <v>2</v>
      </c>
      <c r="O1799" s="78">
        <v>2</v>
      </c>
      <c r="P1799" s="78">
        <v>0</v>
      </c>
      <c r="Q1799" s="78">
        <v>3</v>
      </c>
      <c r="R1799" s="78">
        <v>8</v>
      </c>
      <c r="S1799" s="78">
        <v>9</v>
      </c>
      <c r="T1799" s="78">
        <v>0</v>
      </c>
      <c r="U1799" s="78">
        <v>0</v>
      </c>
      <c r="V1799" s="78">
        <v>0</v>
      </c>
      <c r="W1799" s="78">
        <v>1</v>
      </c>
    </row>
    <row r="1800" spans="1:23" ht="12.75" customHeight="1">
      <c r="A1800" s="11"/>
      <c r="B1800" s="11"/>
    </row>
    <row r="1801" spans="1:23" ht="12.75" customHeight="1">
      <c r="A1801" s="11"/>
      <c r="B1801" s="152" t="s">
        <v>121</v>
      </c>
      <c r="C1801" s="64" t="s">
        <v>385</v>
      </c>
      <c r="H1801" s="246" t="s">
        <v>961</v>
      </c>
      <c r="I1801" s="223"/>
      <c r="J1801" s="223"/>
      <c r="K1801" s="223"/>
      <c r="L1801" s="223"/>
      <c r="M1801" s="223"/>
      <c r="N1801" s="223"/>
      <c r="O1801" s="223"/>
      <c r="P1801" s="223"/>
      <c r="Q1801" s="223"/>
      <c r="R1801" s="223"/>
      <c r="S1801" s="223"/>
      <c r="T1801" s="223"/>
      <c r="U1801" s="223"/>
      <c r="V1801" s="223"/>
      <c r="W1801" s="224"/>
    </row>
    <row r="1802" spans="1:23" ht="12.75" customHeight="1">
      <c r="A1802" s="11"/>
      <c r="B1802" s="11"/>
    </row>
    <row r="1803" spans="1:23" ht="12.75" customHeight="1">
      <c r="A1803" s="11"/>
      <c r="B1803" s="152" t="s">
        <v>124</v>
      </c>
      <c r="C1803" s="64" t="s">
        <v>786</v>
      </c>
      <c r="H1803" s="78">
        <v>1</v>
      </c>
      <c r="I1803" s="78">
        <v>7</v>
      </c>
      <c r="J1803" s="11"/>
      <c r="K1803" s="78">
        <v>0</v>
      </c>
      <c r="L1803" s="78">
        <v>4</v>
      </c>
      <c r="M1803" s="11"/>
      <c r="N1803" s="78">
        <v>2</v>
      </c>
      <c r="O1803" s="78">
        <v>0</v>
      </c>
      <c r="P1803" s="78">
        <v>2</v>
      </c>
      <c r="Q1803" s="78">
        <v>3</v>
      </c>
      <c r="R1803" s="11"/>
    </row>
    <row r="1804" spans="1:23" ht="12.75" customHeight="1">
      <c r="A1804" s="11"/>
      <c r="B1804" s="11"/>
    </row>
    <row r="1805" spans="1:23" ht="12.75" customHeight="1">
      <c r="A1805" s="11"/>
      <c r="B1805" s="152" t="s">
        <v>127</v>
      </c>
      <c r="C1805" s="64" t="s">
        <v>345</v>
      </c>
      <c r="F1805" s="91"/>
      <c r="H1805" s="246" t="s">
        <v>102</v>
      </c>
      <c r="I1805" s="223"/>
      <c r="J1805" s="223"/>
      <c r="K1805" s="223"/>
      <c r="L1805" s="223"/>
      <c r="M1805" s="223"/>
      <c r="N1805" s="224"/>
      <c r="P1805" s="64" t="s">
        <v>675</v>
      </c>
      <c r="Q1805" s="78">
        <v>0</v>
      </c>
      <c r="R1805" s="78">
        <v>0</v>
      </c>
      <c r="S1805" s="78">
        <v>9</v>
      </c>
      <c r="T1805" s="11" t="s">
        <v>676</v>
      </c>
      <c r="U1805" s="78">
        <v>0</v>
      </c>
      <c r="V1805" s="78">
        <v>0</v>
      </c>
      <c r="W1805" s="78">
        <v>2</v>
      </c>
    </row>
    <row r="1806" spans="1:23" ht="12.75" customHeight="1">
      <c r="A1806" s="11"/>
      <c r="B1806" s="11"/>
    </row>
    <row r="1807" spans="1:23" ht="12.75" customHeight="1">
      <c r="A1807" s="11"/>
      <c r="B1807" s="11"/>
      <c r="F1807" s="91"/>
      <c r="H1807" s="64" t="s">
        <v>779</v>
      </c>
      <c r="L1807" s="246" t="s">
        <v>877</v>
      </c>
      <c r="M1807" s="223"/>
      <c r="N1807" s="223"/>
      <c r="O1807" s="223"/>
      <c r="P1807" s="223"/>
      <c r="Q1807" s="223"/>
      <c r="R1807" s="223"/>
      <c r="S1807" s="223"/>
      <c r="T1807" s="223"/>
      <c r="U1807" s="223"/>
      <c r="V1807" s="223"/>
      <c r="W1807" s="224"/>
    </row>
    <row r="1808" spans="1:23" ht="12.75" customHeight="1">
      <c r="A1808" s="11"/>
      <c r="B1808" s="11"/>
    </row>
    <row r="1809" spans="1:23" ht="12.75" customHeight="1">
      <c r="A1809" s="11"/>
      <c r="B1809" s="11"/>
      <c r="C1809" s="64" t="s">
        <v>414</v>
      </c>
      <c r="H1809" s="246" t="s">
        <v>102</v>
      </c>
      <c r="I1809" s="223"/>
      <c r="J1809" s="223"/>
      <c r="K1809" s="223"/>
      <c r="L1809" s="223"/>
      <c r="M1809" s="224"/>
      <c r="O1809" s="64" t="s">
        <v>562</v>
      </c>
      <c r="R1809" s="246" t="s">
        <v>106</v>
      </c>
      <c r="S1809" s="223"/>
      <c r="T1809" s="223"/>
      <c r="U1809" s="223"/>
      <c r="V1809" s="223"/>
      <c r="W1809" s="224"/>
    </row>
    <row r="1810" spans="1:23" ht="12.75" customHeight="1">
      <c r="A1810" s="11"/>
      <c r="B1810" s="11"/>
      <c r="H1810" s="77"/>
      <c r="I1810" s="77"/>
      <c r="J1810" s="77"/>
      <c r="K1810" s="77"/>
      <c r="L1810" s="77"/>
      <c r="M1810" s="77"/>
      <c r="R1810" s="77"/>
      <c r="S1810" s="77"/>
      <c r="T1810" s="77"/>
      <c r="U1810" s="77"/>
      <c r="V1810" s="77"/>
      <c r="W1810" s="77"/>
    </row>
    <row r="1811" spans="1:23" ht="12.75" customHeight="1">
      <c r="A1811" s="11"/>
      <c r="B1811" s="11"/>
      <c r="C1811" s="64" t="s">
        <v>563</v>
      </c>
      <c r="H1811" s="246" t="s">
        <v>104</v>
      </c>
      <c r="I1811" s="223"/>
      <c r="J1811" s="223"/>
      <c r="K1811" s="223"/>
      <c r="L1811" s="223"/>
      <c r="M1811" s="224"/>
      <c r="O1811" s="64" t="s">
        <v>417</v>
      </c>
      <c r="R1811" s="246" t="s">
        <v>418</v>
      </c>
      <c r="S1811" s="223"/>
      <c r="T1811" s="223"/>
      <c r="U1811" s="223"/>
      <c r="V1811" s="223"/>
      <c r="W1811" s="224"/>
    </row>
    <row r="1812" spans="1:23" ht="12.75" customHeight="1">
      <c r="A1812" s="11"/>
      <c r="B1812" s="11"/>
      <c r="H1812" s="77"/>
      <c r="I1812" s="77"/>
      <c r="J1812" s="77"/>
      <c r="K1812" s="77"/>
      <c r="L1812" s="77"/>
      <c r="M1812" s="77"/>
      <c r="R1812" s="77"/>
      <c r="S1812" s="77"/>
      <c r="T1812" s="77"/>
      <c r="U1812" s="77"/>
      <c r="V1812" s="77"/>
      <c r="W1812" s="77"/>
    </row>
    <row r="1813" spans="1:23" ht="12.75" customHeight="1">
      <c r="A1813" s="11"/>
      <c r="B1813" s="152" t="s">
        <v>130</v>
      </c>
      <c r="C1813" s="64" t="s">
        <v>790</v>
      </c>
    </row>
    <row r="1814" spans="1:23" ht="12.75" customHeight="1"/>
    <row r="1815" spans="1:23" ht="12.75" customHeight="1">
      <c r="B1815" s="104" t="s">
        <v>684</v>
      </c>
      <c r="C1815" s="275" t="s">
        <v>340</v>
      </c>
      <c r="D1815" s="223"/>
      <c r="E1815" s="223"/>
      <c r="F1815" s="223"/>
      <c r="G1815" s="223"/>
      <c r="H1815" s="223"/>
      <c r="I1815" s="223"/>
      <c r="J1815" s="223"/>
      <c r="K1815" s="224"/>
      <c r="L1815" s="275" t="s">
        <v>791</v>
      </c>
      <c r="M1815" s="223"/>
      <c r="N1815" s="223"/>
      <c r="O1815" s="223"/>
      <c r="P1815" s="223"/>
      <c r="Q1815" s="224"/>
      <c r="R1815" s="286" t="s">
        <v>792</v>
      </c>
      <c r="S1815" s="223"/>
      <c r="T1815" s="224"/>
      <c r="U1815" s="275" t="s">
        <v>793</v>
      </c>
      <c r="V1815" s="223"/>
      <c r="W1815" s="224"/>
    </row>
    <row r="1816" spans="1:23" ht="12.75" customHeight="1">
      <c r="B1816" s="78">
        <v>1</v>
      </c>
      <c r="C1816" s="288" t="s">
        <v>962</v>
      </c>
      <c r="D1816" s="223"/>
      <c r="E1816" s="223"/>
      <c r="F1816" s="223"/>
      <c r="G1816" s="223"/>
      <c r="H1816" s="223"/>
      <c r="I1816" s="223"/>
      <c r="J1816" s="223"/>
      <c r="K1816" s="224"/>
      <c r="L1816" s="246" t="s">
        <v>960</v>
      </c>
      <c r="M1816" s="223"/>
      <c r="N1816" s="223"/>
      <c r="O1816" s="223"/>
      <c r="P1816" s="223"/>
      <c r="Q1816" s="224"/>
      <c r="R1816" s="252"/>
      <c r="S1816" s="223"/>
      <c r="T1816" s="224"/>
      <c r="U1816" s="252" t="s">
        <v>795</v>
      </c>
      <c r="V1816" s="223"/>
      <c r="W1816" s="224"/>
    </row>
    <row r="1817" spans="1:23" ht="12.75" customHeight="1">
      <c r="B1817" s="78">
        <v>2</v>
      </c>
      <c r="C1817" s="246"/>
      <c r="D1817" s="223"/>
      <c r="E1817" s="223"/>
      <c r="F1817" s="223"/>
      <c r="G1817" s="223"/>
      <c r="H1817" s="223"/>
      <c r="I1817" s="223"/>
      <c r="J1817" s="223"/>
      <c r="K1817" s="224"/>
      <c r="L1817" s="246"/>
      <c r="M1817" s="223"/>
      <c r="N1817" s="223"/>
      <c r="O1817" s="223"/>
      <c r="P1817" s="223"/>
      <c r="Q1817" s="224"/>
      <c r="R1817" s="252"/>
      <c r="S1817" s="223"/>
      <c r="T1817" s="224"/>
      <c r="U1817" s="252"/>
      <c r="V1817" s="223"/>
      <c r="W1817" s="224"/>
    </row>
    <row r="1818" spans="1:23" ht="12.75" customHeight="1">
      <c r="B1818" s="78">
        <v>3</v>
      </c>
      <c r="C1818" s="252"/>
      <c r="D1818" s="223"/>
      <c r="E1818" s="223"/>
      <c r="F1818" s="223"/>
      <c r="G1818" s="223"/>
      <c r="H1818" s="223"/>
      <c r="I1818" s="223"/>
      <c r="J1818" s="223"/>
      <c r="K1818" s="224"/>
      <c r="L1818" s="252"/>
      <c r="M1818" s="223"/>
      <c r="N1818" s="223"/>
      <c r="O1818" s="223"/>
      <c r="P1818" s="223"/>
      <c r="Q1818" s="224"/>
      <c r="R1818" s="252"/>
      <c r="S1818" s="223"/>
      <c r="T1818" s="224"/>
      <c r="U1818" s="252"/>
      <c r="V1818" s="223"/>
      <c r="W1818" s="224"/>
    </row>
    <row r="1819" spans="1:23" ht="12.75" customHeight="1">
      <c r="B1819" s="78">
        <v>4</v>
      </c>
      <c r="C1819" s="252"/>
      <c r="D1819" s="223"/>
      <c r="E1819" s="223"/>
      <c r="F1819" s="223"/>
      <c r="G1819" s="223"/>
      <c r="H1819" s="223"/>
      <c r="I1819" s="223"/>
      <c r="J1819" s="223"/>
      <c r="K1819" s="224"/>
      <c r="L1819" s="252"/>
      <c r="M1819" s="223"/>
      <c r="N1819" s="223"/>
      <c r="O1819" s="223"/>
      <c r="P1819" s="223"/>
      <c r="Q1819" s="224"/>
      <c r="R1819" s="252"/>
      <c r="S1819" s="223"/>
      <c r="T1819" s="224"/>
      <c r="U1819" s="252"/>
      <c r="V1819" s="223"/>
      <c r="W1819" s="224"/>
    </row>
    <row r="1820" spans="1:23" ht="12.75" customHeight="1">
      <c r="B1820" s="78">
        <v>5</v>
      </c>
      <c r="C1820" s="252"/>
      <c r="D1820" s="223"/>
      <c r="E1820" s="223"/>
      <c r="F1820" s="223"/>
      <c r="G1820" s="223"/>
      <c r="H1820" s="223"/>
      <c r="I1820" s="223"/>
      <c r="J1820" s="223"/>
      <c r="K1820" s="224"/>
      <c r="L1820" s="252"/>
      <c r="M1820" s="223"/>
      <c r="N1820" s="223"/>
      <c r="O1820" s="223"/>
      <c r="P1820" s="223"/>
      <c r="Q1820" s="224"/>
      <c r="R1820" s="252"/>
      <c r="S1820" s="223"/>
      <c r="T1820" s="224"/>
      <c r="U1820" s="252"/>
      <c r="V1820" s="223"/>
      <c r="W1820" s="224"/>
    </row>
    <row r="1821" spans="1:23" ht="12.75" customHeight="1">
      <c r="B1821" s="78">
        <v>6</v>
      </c>
      <c r="C1821" s="252"/>
      <c r="D1821" s="223"/>
      <c r="E1821" s="223"/>
      <c r="F1821" s="223"/>
      <c r="G1821" s="223"/>
      <c r="H1821" s="223"/>
      <c r="I1821" s="223"/>
      <c r="J1821" s="223"/>
      <c r="K1821" s="224"/>
      <c r="L1821" s="252"/>
      <c r="M1821" s="223"/>
      <c r="N1821" s="223"/>
      <c r="O1821" s="223"/>
      <c r="P1821" s="223"/>
      <c r="Q1821" s="224"/>
      <c r="R1821" s="252"/>
      <c r="S1821" s="223"/>
      <c r="T1821" s="224"/>
      <c r="U1821" s="252"/>
      <c r="V1821" s="223"/>
      <c r="W1821" s="224"/>
    </row>
    <row r="1822" spans="1:23" ht="12.75" customHeight="1">
      <c r="B1822" s="78">
        <v>7</v>
      </c>
      <c r="C1822" s="252"/>
      <c r="D1822" s="223"/>
      <c r="E1822" s="223"/>
      <c r="F1822" s="223"/>
      <c r="G1822" s="223"/>
      <c r="H1822" s="223"/>
      <c r="I1822" s="223"/>
      <c r="J1822" s="223"/>
      <c r="K1822" s="224"/>
      <c r="L1822" s="252"/>
      <c r="M1822" s="223"/>
      <c r="N1822" s="223"/>
      <c r="O1822" s="223"/>
      <c r="P1822" s="223"/>
      <c r="Q1822" s="224"/>
      <c r="R1822" s="252"/>
      <c r="S1822" s="223"/>
      <c r="T1822" s="224"/>
      <c r="U1822" s="252"/>
      <c r="V1822" s="223"/>
      <c r="W1822" s="224"/>
    </row>
    <row r="1823" spans="1:23" ht="12.75" customHeight="1"/>
    <row r="1824" spans="1:23" ht="12.75" customHeight="1"/>
    <row r="1825" spans="4:21" ht="12.75" customHeight="1">
      <c r="J1825" s="225" t="s">
        <v>480</v>
      </c>
      <c r="K1825" s="194"/>
      <c r="L1825" s="194"/>
      <c r="M1825" s="194"/>
      <c r="N1825" s="194"/>
      <c r="O1825" s="194"/>
      <c r="R1825" s="3" t="s">
        <v>963</v>
      </c>
    </row>
    <row r="1826" spans="4:21" ht="12.75" customHeight="1">
      <c r="D1826" s="64" t="s">
        <v>797</v>
      </c>
      <c r="J1826" s="225" t="s">
        <v>885</v>
      </c>
      <c r="K1826" s="194"/>
      <c r="L1826" s="194"/>
      <c r="M1826" s="194"/>
      <c r="N1826" s="194"/>
      <c r="O1826" s="194"/>
      <c r="S1826" s="64" t="s">
        <v>799</v>
      </c>
    </row>
    <row r="1827" spans="4:21" ht="12.75" customHeight="1">
      <c r="J1827" s="225" t="s">
        <v>365</v>
      </c>
      <c r="K1827" s="194"/>
      <c r="L1827" s="194"/>
      <c r="M1827" s="194"/>
      <c r="N1827" s="194"/>
      <c r="O1827" s="194"/>
    </row>
    <row r="1828" spans="4:21" ht="12.75" customHeight="1"/>
    <row r="1829" spans="4:21" ht="12.75" customHeight="1"/>
    <row r="1830" spans="4:21" ht="12.75" customHeight="1"/>
    <row r="1831" spans="4:21" ht="12.75" customHeight="1">
      <c r="D1831" s="3" t="s">
        <v>964</v>
      </c>
      <c r="K1831" s="225" t="s">
        <v>366</v>
      </c>
      <c r="L1831" s="194"/>
      <c r="M1831" s="194"/>
      <c r="N1831" s="194"/>
      <c r="R1831" s="225" t="s">
        <v>960</v>
      </c>
      <c r="S1831" s="194"/>
      <c r="T1831" s="194"/>
      <c r="U1831" s="194"/>
    </row>
    <row r="1832" spans="4:21" ht="12.75" customHeight="1"/>
    <row r="1833" spans="4:21" ht="12.75" customHeight="1"/>
    <row r="1834" spans="4:21" ht="12.75" customHeight="1"/>
    <row r="1835" spans="4:21" ht="12.75" customHeight="1"/>
    <row r="1836" spans="4:21" ht="12.75" customHeight="1"/>
    <row r="1837" spans="4:21" ht="12.75" customHeight="1"/>
    <row r="1838" spans="4:21" ht="12.75" customHeight="1"/>
    <row r="1839" spans="4:21" ht="12.75" customHeight="1"/>
    <row r="1840" spans="4:21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spans="2:23" ht="12.75" customHeight="1"/>
    <row r="1858" spans="2:23" ht="12.75" customHeight="1"/>
    <row r="1859" spans="2:23" ht="12.75" customHeight="1"/>
    <row r="1860" spans="2:23" ht="12.75" customHeight="1"/>
    <row r="1861" spans="2:23" ht="12.75" customHeight="1"/>
    <row r="1862" spans="2:23" ht="12.75" customHeight="1"/>
    <row r="1863" spans="2:23" ht="12.75" customHeight="1"/>
    <row r="1864" spans="2:23" ht="12.75" customHeight="1"/>
    <row r="1865" spans="2:23" ht="12.75" customHeight="1"/>
    <row r="1866" spans="2:23" ht="12.75" customHeight="1">
      <c r="T1866" s="252" t="s">
        <v>800</v>
      </c>
      <c r="U1866" s="223"/>
      <c r="V1866" s="224"/>
    </row>
    <row r="1867" spans="2:23" ht="12.75" customHeight="1">
      <c r="B1867" s="151"/>
      <c r="C1867" s="151"/>
      <c r="D1867" s="151"/>
      <c r="E1867" s="151"/>
      <c r="F1867" s="151"/>
      <c r="G1867" s="151"/>
      <c r="H1867" s="151"/>
      <c r="I1867" s="151"/>
      <c r="J1867" s="151"/>
      <c r="K1867" s="151"/>
      <c r="L1867" s="151"/>
      <c r="M1867" s="151"/>
      <c r="N1867" s="151"/>
      <c r="O1867" s="151"/>
      <c r="P1867" s="151"/>
      <c r="Q1867" s="151"/>
      <c r="R1867" s="151"/>
      <c r="S1867" s="151"/>
      <c r="T1867" s="151"/>
      <c r="U1867" s="151"/>
      <c r="V1867" s="151"/>
      <c r="W1867" s="151"/>
    </row>
    <row r="1868" spans="2:23" ht="12.75" customHeight="1"/>
    <row r="1869" spans="2:23" ht="12.75" customHeight="1">
      <c r="B1869" s="64" t="s">
        <v>770</v>
      </c>
      <c r="G1869" s="11" t="s">
        <v>10</v>
      </c>
      <c r="H1869" s="78">
        <v>3</v>
      </c>
      <c r="I1869" s="78">
        <v>3</v>
      </c>
      <c r="J1869" s="11"/>
      <c r="M1869" s="246" t="s">
        <v>418</v>
      </c>
      <c r="N1869" s="223"/>
      <c r="O1869" s="223"/>
      <c r="P1869" s="223"/>
      <c r="Q1869" s="223"/>
      <c r="R1869" s="223"/>
      <c r="S1869" s="223"/>
      <c r="T1869" s="223"/>
      <c r="U1869" s="223"/>
      <c r="V1869" s="223"/>
      <c r="W1869" s="224"/>
    </row>
    <row r="1870" spans="2:23" ht="12.75" customHeight="1">
      <c r="G1870" s="11"/>
      <c r="H1870" s="11"/>
      <c r="I1870" s="11"/>
      <c r="J1870" s="11"/>
      <c r="M1870" s="77"/>
      <c r="N1870" s="77"/>
      <c r="O1870" s="77"/>
      <c r="P1870" s="77"/>
      <c r="Q1870" s="77"/>
      <c r="R1870" s="77"/>
      <c r="S1870" s="77"/>
      <c r="T1870" s="77"/>
      <c r="U1870" s="77"/>
      <c r="V1870" s="77"/>
      <c r="W1870" s="77"/>
    </row>
    <row r="1871" spans="2:23" ht="12.75" customHeight="1">
      <c r="B1871" s="64" t="s">
        <v>105</v>
      </c>
      <c r="G1871" s="11" t="s">
        <v>10</v>
      </c>
      <c r="H1871" s="78">
        <v>2</v>
      </c>
      <c r="I1871" s="78">
        <v>7</v>
      </c>
      <c r="J1871" s="11"/>
      <c r="M1871" s="246" t="s">
        <v>106</v>
      </c>
      <c r="N1871" s="223"/>
      <c r="O1871" s="223"/>
      <c r="P1871" s="223"/>
      <c r="Q1871" s="223"/>
      <c r="R1871" s="223"/>
      <c r="S1871" s="223"/>
      <c r="T1871" s="223"/>
      <c r="U1871" s="223"/>
      <c r="V1871" s="223"/>
      <c r="W1871" s="224"/>
    </row>
    <row r="1872" spans="2:23" ht="12.75" customHeight="1">
      <c r="G1872" s="11"/>
      <c r="H1872" s="11"/>
      <c r="I1872" s="11"/>
      <c r="J1872" s="11"/>
      <c r="M1872" s="77"/>
      <c r="N1872" s="77"/>
      <c r="O1872" s="77"/>
      <c r="P1872" s="77"/>
      <c r="Q1872" s="77"/>
      <c r="R1872" s="77"/>
      <c r="S1872" s="77"/>
      <c r="T1872" s="77"/>
      <c r="U1872" s="77"/>
      <c r="V1872" s="77"/>
      <c r="W1872" s="77"/>
    </row>
    <row r="1873" spans="1:23" ht="12.75" customHeight="1">
      <c r="B1873" s="64" t="s">
        <v>103</v>
      </c>
      <c r="G1873" s="11" t="s">
        <v>10</v>
      </c>
      <c r="H1873" s="78">
        <v>4</v>
      </c>
      <c r="I1873" s="78">
        <v>0</v>
      </c>
      <c r="J1873" s="11"/>
      <c r="M1873" s="246" t="s">
        <v>104</v>
      </c>
      <c r="N1873" s="223"/>
      <c r="O1873" s="223"/>
      <c r="P1873" s="223"/>
      <c r="Q1873" s="223"/>
      <c r="R1873" s="223"/>
      <c r="S1873" s="223"/>
      <c r="T1873" s="223"/>
      <c r="U1873" s="223"/>
      <c r="V1873" s="223"/>
      <c r="W1873" s="224"/>
    </row>
    <row r="1874" spans="1:23" ht="12.75" customHeight="1">
      <c r="G1874" s="11"/>
      <c r="H1874" s="11"/>
      <c r="I1874" s="11"/>
      <c r="J1874" s="11"/>
      <c r="M1874" s="77"/>
      <c r="N1874" s="77"/>
      <c r="O1874" s="77"/>
      <c r="P1874" s="77"/>
      <c r="Q1874" s="77"/>
      <c r="R1874" s="77"/>
      <c r="S1874" s="77"/>
      <c r="T1874" s="77"/>
      <c r="U1874" s="77"/>
      <c r="V1874" s="77"/>
      <c r="W1874" s="77"/>
    </row>
    <row r="1875" spans="1:23" ht="12.75" customHeight="1">
      <c r="B1875" s="64" t="s">
        <v>771</v>
      </c>
      <c r="G1875" s="11" t="s">
        <v>10</v>
      </c>
      <c r="H1875" s="78">
        <v>0</v>
      </c>
      <c r="I1875" s="78">
        <v>1</v>
      </c>
      <c r="J1875" s="78">
        <v>1</v>
      </c>
      <c r="K1875" s="91"/>
      <c r="M1875" s="246" t="s">
        <v>102</v>
      </c>
      <c r="N1875" s="223"/>
      <c r="O1875" s="223"/>
      <c r="P1875" s="223"/>
      <c r="Q1875" s="223"/>
      <c r="R1875" s="223"/>
      <c r="S1875" s="223"/>
      <c r="T1875" s="223"/>
      <c r="U1875" s="223"/>
      <c r="V1875" s="223"/>
      <c r="W1875" s="224"/>
    </row>
    <row r="1876" spans="1:23" ht="12.75" customHeight="1">
      <c r="G1876" s="11"/>
    </row>
    <row r="1877" spans="1:23" ht="12.75" customHeight="1">
      <c r="B1877" s="64" t="s">
        <v>772</v>
      </c>
      <c r="G1877" s="11" t="s">
        <v>10</v>
      </c>
      <c r="H1877" s="246" t="s">
        <v>773</v>
      </c>
      <c r="I1877" s="223"/>
      <c r="J1877" s="223"/>
      <c r="K1877" s="223"/>
      <c r="L1877" s="223"/>
      <c r="M1877" s="223"/>
      <c r="N1877" s="223"/>
      <c r="O1877" s="223"/>
      <c r="P1877" s="223"/>
      <c r="Q1877" s="223"/>
      <c r="R1877" s="223"/>
      <c r="S1877" s="223"/>
      <c r="T1877" s="223"/>
      <c r="U1877" s="223"/>
      <c r="V1877" s="223"/>
      <c r="W1877" s="224"/>
    </row>
    <row r="1878" spans="1:23" ht="12.75" customHeight="1"/>
    <row r="1879" spans="1:23" ht="12.75" customHeight="1">
      <c r="B1879" s="196" t="s">
        <v>774</v>
      </c>
      <c r="C1879" s="194"/>
      <c r="D1879" s="194"/>
      <c r="E1879" s="194"/>
      <c r="F1879" s="194"/>
      <c r="G1879" s="194"/>
      <c r="H1879" s="194"/>
      <c r="I1879" s="194"/>
      <c r="J1879" s="194"/>
      <c r="K1879" s="194"/>
      <c r="L1879" s="194"/>
      <c r="M1879" s="194"/>
      <c r="N1879" s="194"/>
      <c r="O1879" s="194"/>
      <c r="P1879" s="194"/>
      <c r="Q1879" s="194"/>
      <c r="R1879" s="194"/>
      <c r="S1879" s="194"/>
      <c r="T1879" s="194"/>
      <c r="U1879" s="194"/>
      <c r="V1879" s="194"/>
      <c r="W1879" s="194"/>
    </row>
    <row r="1880" spans="1:23" ht="12.75" customHeight="1">
      <c r="B1880" s="225" t="s">
        <v>853</v>
      </c>
      <c r="C1880" s="194"/>
      <c r="D1880" s="194"/>
      <c r="E1880" s="194"/>
      <c r="F1880" s="194"/>
      <c r="G1880" s="194"/>
      <c r="H1880" s="194"/>
      <c r="I1880" s="194"/>
      <c r="J1880" s="194"/>
      <c r="K1880" s="194"/>
      <c r="L1880" s="194"/>
      <c r="M1880" s="194"/>
      <c r="N1880" s="194"/>
      <c r="O1880" s="194"/>
      <c r="P1880" s="194"/>
      <c r="Q1880" s="194"/>
      <c r="R1880" s="194"/>
      <c r="S1880" s="194"/>
      <c r="T1880" s="194"/>
      <c r="U1880" s="194"/>
      <c r="V1880" s="194"/>
      <c r="W1880" s="194"/>
    </row>
    <row r="1881" spans="1:23" ht="12.75" customHeight="1">
      <c r="B1881" s="225" t="s">
        <v>965</v>
      </c>
      <c r="C1881" s="194"/>
      <c r="D1881" s="194"/>
      <c r="E1881" s="194"/>
      <c r="F1881" s="194"/>
      <c r="G1881" s="194"/>
      <c r="H1881" s="194"/>
      <c r="I1881" s="194"/>
      <c r="J1881" s="194"/>
      <c r="K1881" s="194"/>
      <c r="L1881" s="194"/>
      <c r="M1881" s="194"/>
      <c r="N1881" s="194"/>
      <c r="O1881" s="194"/>
      <c r="P1881" s="194"/>
      <c r="Q1881" s="194"/>
      <c r="R1881" s="194"/>
      <c r="S1881" s="194"/>
      <c r="T1881" s="194"/>
      <c r="U1881" s="194"/>
      <c r="V1881" s="194"/>
      <c r="W1881" s="194"/>
    </row>
    <row r="1882" spans="1:23" ht="12.75" customHeight="1">
      <c r="A1882" s="11"/>
      <c r="B1882" s="38" t="s">
        <v>777</v>
      </c>
    </row>
    <row r="1883" spans="1:23" ht="12.75" customHeight="1"/>
    <row r="1884" spans="1:23" ht="12.75" customHeight="1">
      <c r="B1884" s="152" t="s">
        <v>111</v>
      </c>
      <c r="C1884" s="64" t="s">
        <v>387</v>
      </c>
      <c r="H1884" s="78">
        <v>3</v>
      </c>
      <c r="I1884" s="78">
        <v>3</v>
      </c>
      <c r="J1884" s="78">
        <v>2</v>
      </c>
      <c r="K1884" s="78">
        <v>7</v>
      </c>
      <c r="L1884" s="78">
        <v>0</v>
      </c>
      <c r="M1884" s="78">
        <v>4</v>
      </c>
      <c r="N1884" s="78">
        <v>2</v>
      </c>
      <c r="O1884" s="78">
        <v>6</v>
      </c>
      <c r="P1884" s="78">
        <v>0</v>
      </c>
      <c r="Q1884" s="78">
        <v>6</v>
      </c>
      <c r="R1884" s="78">
        <v>2</v>
      </c>
      <c r="S1884" s="78">
        <v>3</v>
      </c>
      <c r="T1884" s="78">
        <v>0</v>
      </c>
      <c r="U1884" s="78">
        <v>0</v>
      </c>
      <c r="V1884" s="78">
        <v>0</v>
      </c>
      <c r="W1884" s="78">
        <v>7</v>
      </c>
    </row>
    <row r="1885" spans="1:23" ht="12.75" customHeight="1">
      <c r="B1885" s="11"/>
    </row>
    <row r="1886" spans="1:23" ht="12.75" customHeight="1">
      <c r="B1886" s="152" t="s">
        <v>115</v>
      </c>
      <c r="C1886" s="64" t="s">
        <v>385</v>
      </c>
      <c r="H1886" s="246" t="s">
        <v>966</v>
      </c>
      <c r="I1886" s="223"/>
      <c r="J1886" s="223"/>
      <c r="K1886" s="223"/>
      <c r="L1886" s="223"/>
      <c r="M1886" s="223"/>
      <c r="N1886" s="223"/>
      <c r="O1886" s="223"/>
      <c r="P1886" s="223"/>
      <c r="Q1886" s="223"/>
      <c r="R1886" s="223"/>
      <c r="S1886" s="223"/>
      <c r="T1886" s="223"/>
      <c r="U1886" s="223"/>
      <c r="V1886" s="223"/>
      <c r="W1886" s="224"/>
    </row>
    <row r="1887" spans="1:23" ht="12.75" customHeight="1">
      <c r="B1887" s="11"/>
    </row>
    <row r="1888" spans="1:23" ht="12.75" customHeight="1">
      <c r="B1888" s="152" t="s">
        <v>118</v>
      </c>
      <c r="C1888" s="64" t="s">
        <v>345</v>
      </c>
      <c r="H1888" s="246" t="s">
        <v>102</v>
      </c>
      <c r="I1888" s="223"/>
      <c r="J1888" s="223"/>
      <c r="K1888" s="223"/>
      <c r="L1888" s="223"/>
      <c r="M1888" s="223"/>
      <c r="N1888" s="223"/>
      <c r="O1888" s="224"/>
      <c r="P1888" s="64" t="s">
        <v>675</v>
      </c>
      <c r="Q1888" s="78">
        <v>0</v>
      </c>
      <c r="R1888" s="78">
        <v>0</v>
      </c>
      <c r="S1888" s="78">
        <v>5</v>
      </c>
      <c r="T1888" s="11" t="s">
        <v>676</v>
      </c>
      <c r="U1888" s="78">
        <v>0</v>
      </c>
      <c r="V1888" s="78">
        <v>0</v>
      </c>
      <c r="W1888" s="78">
        <v>1</v>
      </c>
    </row>
    <row r="1889" spans="2:23" ht="12.75" customHeight="1">
      <c r="B1889" s="11"/>
    </row>
    <row r="1890" spans="2:23" ht="12.75" customHeight="1">
      <c r="B1890" s="11"/>
      <c r="H1890" s="64" t="s">
        <v>779</v>
      </c>
      <c r="L1890" s="246" t="s">
        <v>909</v>
      </c>
      <c r="M1890" s="223"/>
      <c r="N1890" s="223"/>
      <c r="O1890" s="223"/>
      <c r="P1890" s="223"/>
      <c r="Q1890" s="223"/>
      <c r="R1890" s="223"/>
      <c r="S1890" s="223"/>
      <c r="T1890" s="223"/>
      <c r="U1890" s="223"/>
      <c r="V1890" s="223"/>
      <c r="W1890" s="224"/>
    </row>
    <row r="1891" spans="2:23" ht="12.75" customHeight="1">
      <c r="B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</row>
    <row r="1892" spans="2:23" ht="12.75" customHeight="1">
      <c r="B1892" s="11"/>
      <c r="C1892" s="64" t="s">
        <v>414</v>
      </c>
      <c r="H1892" s="246" t="s">
        <v>102</v>
      </c>
      <c r="I1892" s="223"/>
      <c r="J1892" s="223"/>
      <c r="K1892" s="223"/>
      <c r="L1892" s="223"/>
      <c r="M1892" s="224"/>
      <c r="O1892" s="64" t="s">
        <v>562</v>
      </c>
      <c r="R1892" s="246" t="s">
        <v>106</v>
      </c>
      <c r="S1892" s="223"/>
      <c r="T1892" s="223"/>
      <c r="U1892" s="223"/>
      <c r="V1892" s="223"/>
      <c r="W1892" s="224"/>
    </row>
    <row r="1893" spans="2:23" ht="12.75" customHeight="1">
      <c r="B1893" s="11"/>
      <c r="H1893" s="77"/>
      <c r="I1893" s="77"/>
      <c r="J1893" s="77"/>
      <c r="K1893" s="77"/>
      <c r="L1893" s="77"/>
      <c r="M1893" s="77"/>
      <c r="R1893" s="77"/>
      <c r="S1893" s="77"/>
      <c r="T1893" s="77"/>
      <c r="U1893" s="77"/>
      <c r="V1893" s="77"/>
      <c r="W1893" s="77"/>
    </row>
    <row r="1894" spans="2:23" ht="12.75" customHeight="1">
      <c r="B1894" s="11"/>
      <c r="C1894" s="64" t="s">
        <v>416</v>
      </c>
      <c r="H1894" s="246" t="s">
        <v>104</v>
      </c>
      <c r="I1894" s="223"/>
      <c r="J1894" s="223"/>
      <c r="K1894" s="223"/>
      <c r="L1894" s="223"/>
      <c r="M1894" s="224"/>
      <c r="O1894" s="64" t="s">
        <v>417</v>
      </c>
      <c r="R1894" s="246" t="s">
        <v>418</v>
      </c>
      <c r="S1894" s="223"/>
      <c r="T1894" s="223"/>
      <c r="U1894" s="223"/>
      <c r="V1894" s="223"/>
      <c r="W1894" s="224"/>
    </row>
    <row r="1895" spans="2:23" ht="12.75" customHeight="1">
      <c r="B1895" s="11"/>
      <c r="H1895" s="77"/>
      <c r="I1895" s="77"/>
      <c r="J1895" s="77"/>
      <c r="K1895" s="77"/>
      <c r="L1895" s="77"/>
      <c r="M1895" s="77"/>
      <c r="R1895" s="11"/>
      <c r="S1895" s="11"/>
      <c r="T1895" s="11"/>
      <c r="U1895" s="11"/>
      <c r="V1895" s="11"/>
      <c r="W1895" s="11"/>
    </row>
    <row r="1896" spans="2:23" ht="12.75" customHeight="1">
      <c r="B1896" s="11"/>
      <c r="H1896" s="11" t="s">
        <v>674</v>
      </c>
      <c r="I1896" s="11"/>
      <c r="J1896" s="78">
        <v>5</v>
      </c>
      <c r="K1896" s="78">
        <v>2</v>
      </c>
      <c r="L1896" s="78">
        <v>3</v>
      </c>
      <c r="M1896" s="78">
        <v>5</v>
      </c>
      <c r="N1896" s="78">
        <v>7</v>
      </c>
      <c r="P1896" s="64" t="s">
        <v>680</v>
      </c>
      <c r="R1896" s="78"/>
      <c r="S1896" s="78"/>
      <c r="T1896" s="78"/>
      <c r="U1896" s="78"/>
      <c r="V1896" s="78"/>
      <c r="W1896" s="78"/>
    </row>
    <row r="1897" spans="2:23" ht="12.75" customHeight="1">
      <c r="B1897" s="11"/>
    </row>
    <row r="1898" spans="2:23" ht="12.75" customHeight="1">
      <c r="B1898" s="152" t="s">
        <v>121</v>
      </c>
      <c r="C1898" s="64" t="s">
        <v>780</v>
      </c>
      <c r="H1898" s="78">
        <v>3</v>
      </c>
      <c r="I1898" s="78">
        <v>3</v>
      </c>
      <c r="J1898" s="78">
        <v>2</v>
      </c>
      <c r="K1898" s="78">
        <v>7</v>
      </c>
      <c r="L1898" s="78">
        <v>0</v>
      </c>
      <c r="M1898" s="78">
        <v>4</v>
      </c>
      <c r="N1898" s="78">
        <v>6</v>
      </c>
      <c r="O1898" s="78">
        <v>8</v>
      </c>
      <c r="P1898" s="78">
        <v>1</v>
      </c>
      <c r="Q1898" s="78">
        <v>1</v>
      </c>
      <c r="R1898" s="78">
        <v>9</v>
      </c>
      <c r="S1898" s="78">
        <v>7</v>
      </c>
      <c r="T1898" s="78">
        <v>0</v>
      </c>
      <c r="U1898" s="78">
        <v>0</v>
      </c>
      <c r="V1898" s="78">
        <v>0</v>
      </c>
      <c r="W1898" s="78">
        <v>4</v>
      </c>
    </row>
    <row r="1899" spans="2:23" ht="12.75" customHeight="1">
      <c r="B1899" s="11"/>
    </row>
    <row r="1900" spans="2:23" ht="12.75" customHeight="1">
      <c r="B1900" s="152" t="s">
        <v>124</v>
      </c>
      <c r="C1900" s="64" t="s">
        <v>391</v>
      </c>
      <c r="H1900" s="246" t="s">
        <v>966</v>
      </c>
      <c r="I1900" s="223"/>
      <c r="J1900" s="223"/>
      <c r="K1900" s="223"/>
      <c r="L1900" s="223"/>
      <c r="M1900" s="223"/>
      <c r="N1900" s="223"/>
      <c r="O1900" s="223"/>
      <c r="P1900" s="223"/>
      <c r="Q1900" s="223"/>
      <c r="R1900" s="223"/>
      <c r="S1900" s="223"/>
      <c r="T1900" s="223"/>
      <c r="U1900" s="223"/>
      <c r="V1900" s="223"/>
      <c r="W1900" s="224"/>
    </row>
    <row r="1901" spans="2:23" ht="12.75" customHeight="1"/>
    <row r="1902" spans="2:23" ht="12.75" customHeight="1"/>
    <row r="1903" spans="2:23" ht="12.75" customHeight="1">
      <c r="B1903" s="38" t="s">
        <v>782</v>
      </c>
    </row>
    <row r="1904" spans="2:23" ht="12.75" customHeight="1"/>
    <row r="1905" spans="1:23" ht="12.75" customHeight="1">
      <c r="A1905" s="11"/>
      <c r="B1905" s="152" t="s">
        <v>111</v>
      </c>
      <c r="C1905" s="64" t="s">
        <v>783</v>
      </c>
      <c r="H1905" s="78">
        <v>1</v>
      </c>
      <c r="I1905" s="64" t="s">
        <v>784</v>
      </c>
    </row>
    <row r="1906" spans="1:23" ht="12.75" customHeight="1">
      <c r="A1906" s="11"/>
      <c r="B1906" s="11"/>
    </row>
    <row r="1907" spans="1:23" ht="12.75" customHeight="1">
      <c r="A1907" s="11"/>
      <c r="B1907" s="152" t="s">
        <v>115</v>
      </c>
      <c r="C1907" s="64" t="s">
        <v>387</v>
      </c>
      <c r="H1907" s="78">
        <v>3</v>
      </c>
      <c r="I1907" s="78">
        <v>3</v>
      </c>
      <c r="J1907" s="78">
        <v>0</v>
      </c>
      <c r="K1907" s="78">
        <v>4</v>
      </c>
      <c r="L1907" s="78">
        <v>0</v>
      </c>
      <c r="M1907" s="78">
        <v>8</v>
      </c>
      <c r="N1907" s="78">
        <v>1</v>
      </c>
      <c r="O1907" s="78">
        <v>1</v>
      </c>
      <c r="P1907" s="78">
        <v>0</v>
      </c>
      <c r="Q1907" s="78">
        <v>1</v>
      </c>
      <c r="R1907" s="78">
        <v>2</v>
      </c>
      <c r="S1907" s="78">
        <v>1</v>
      </c>
      <c r="T1907" s="78">
        <v>0</v>
      </c>
      <c r="U1907" s="78">
        <v>0</v>
      </c>
      <c r="V1907" s="78">
        <v>0</v>
      </c>
      <c r="W1907" s="78">
        <v>8</v>
      </c>
    </row>
    <row r="1908" spans="1:23" ht="12.75" customHeight="1">
      <c r="A1908" s="11"/>
      <c r="B1908" s="11"/>
    </row>
    <row r="1909" spans="1:23" ht="12.75" customHeight="1">
      <c r="A1909" s="11"/>
      <c r="B1909" s="152" t="s">
        <v>118</v>
      </c>
      <c r="C1909" s="64" t="s">
        <v>785</v>
      </c>
      <c r="H1909" s="78">
        <v>3</v>
      </c>
      <c r="I1909" s="78">
        <v>3</v>
      </c>
      <c r="J1909" s="78">
        <v>0</v>
      </c>
      <c r="K1909" s="78">
        <v>4</v>
      </c>
      <c r="L1909" s="78">
        <v>0</v>
      </c>
      <c r="M1909" s="78">
        <v>2</v>
      </c>
      <c r="N1909" s="78">
        <v>2</v>
      </c>
      <c r="O1909" s="78">
        <v>3</v>
      </c>
      <c r="P1909" s="78">
        <v>0</v>
      </c>
      <c r="Q1909" s="78">
        <v>5</v>
      </c>
      <c r="R1909" s="78">
        <v>8</v>
      </c>
      <c r="S1909" s="78">
        <v>8</v>
      </c>
      <c r="T1909" s="78">
        <v>0</v>
      </c>
      <c r="U1909" s="78">
        <v>0</v>
      </c>
      <c r="V1909" s="78">
        <v>0</v>
      </c>
      <c r="W1909" s="78">
        <v>2</v>
      </c>
    </row>
    <row r="1910" spans="1:23" ht="12.75" customHeight="1">
      <c r="A1910" s="11"/>
      <c r="B1910" s="11"/>
    </row>
    <row r="1911" spans="1:23" ht="12.75" customHeight="1">
      <c r="A1911" s="11"/>
      <c r="B1911" s="152" t="s">
        <v>121</v>
      </c>
      <c r="C1911" s="64" t="s">
        <v>385</v>
      </c>
      <c r="H1911" s="246" t="s">
        <v>967</v>
      </c>
      <c r="I1911" s="223"/>
      <c r="J1911" s="223"/>
      <c r="K1911" s="223"/>
      <c r="L1911" s="223"/>
      <c r="M1911" s="223"/>
      <c r="N1911" s="223"/>
      <c r="O1911" s="223"/>
      <c r="P1911" s="223"/>
      <c r="Q1911" s="223"/>
      <c r="R1911" s="223"/>
      <c r="S1911" s="223"/>
      <c r="T1911" s="223"/>
      <c r="U1911" s="223"/>
      <c r="V1911" s="223"/>
      <c r="W1911" s="224"/>
    </row>
    <row r="1912" spans="1:23" ht="12.75" customHeight="1">
      <c r="A1912" s="11"/>
      <c r="B1912" s="11"/>
    </row>
    <row r="1913" spans="1:23" ht="12.75" customHeight="1">
      <c r="A1913" s="11"/>
      <c r="B1913" s="152" t="s">
        <v>124</v>
      </c>
      <c r="C1913" s="64" t="s">
        <v>786</v>
      </c>
      <c r="H1913" s="78"/>
      <c r="I1913" s="78"/>
      <c r="J1913" s="11"/>
      <c r="K1913" s="78"/>
      <c r="L1913" s="78"/>
      <c r="M1913" s="11"/>
      <c r="N1913" s="78"/>
      <c r="O1913" s="78"/>
      <c r="P1913" s="78"/>
      <c r="Q1913" s="78"/>
      <c r="R1913" s="11"/>
    </row>
    <row r="1914" spans="1:23" ht="12.75" customHeight="1">
      <c r="A1914" s="11"/>
      <c r="B1914" s="11"/>
    </row>
    <row r="1915" spans="1:23" ht="12.75" customHeight="1">
      <c r="A1915" s="11"/>
      <c r="B1915" s="152" t="s">
        <v>127</v>
      </c>
      <c r="C1915" s="64" t="s">
        <v>345</v>
      </c>
      <c r="F1915" s="91"/>
      <c r="H1915" s="246" t="s">
        <v>968</v>
      </c>
      <c r="I1915" s="223"/>
      <c r="J1915" s="223"/>
      <c r="K1915" s="223"/>
      <c r="L1915" s="223"/>
      <c r="M1915" s="223"/>
      <c r="N1915" s="224"/>
      <c r="P1915" s="64" t="s">
        <v>675</v>
      </c>
      <c r="Q1915" s="78">
        <v>0</v>
      </c>
      <c r="R1915" s="78">
        <v>0</v>
      </c>
      <c r="S1915" s="78">
        <v>3</v>
      </c>
      <c r="T1915" s="11" t="s">
        <v>676</v>
      </c>
      <c r="U1915" s="78">
        <v>0</v>
      </c>
      <c r="V1915" s="78">
        <v>0</v>
      </c>
      <c r="W1915" s="78">
        <v>7</v>
      </c>
    </row>
    <row r="1916" spans="1:23" ht="12.75" customHeight="1">
      <c r="A1916" s="11"/>
      <c r="B1916" s="11"/>
    </row>
    <row r="1917" spans="1:23" ht="12.75" customHeight="1">
      <c r="A1917" s="11"/>
      <c r="B1917" s="11"/>
      <c r="F1917" s="91"/>
      <c r="H1917" s="64" t="s">
        <v>779</v>
      </c>
      <c r="L1917" s="246" t="s">
        <v>968</v>
      </c>
      <c r="M1917" s="223"/>
      <c r="N1917" s="223"/>
      <c r="O1917" s="223"/>
      <c r="P1917" s="223"/>
      <c r="Q1917" s="223"/>
      <c r="R1917" s="223"/>
      <c r="S1917" s="223"/>
      <c r="T1917" s="223"/>
      <c r="U1917" s="223"/>
      <c r="V1917" s="223"/>
      <c r="W1917" s="224"/>
    </row>
    <row r="1918" spans="1:23" ht="12.75" customHeight="1">
      <c r="A1918" s="11"/>
      <c r="B1918" s="11"/>
    </row>
    <row r="1919" spans="1:23" ht="12.75" customHeight="1">
      <c r="A1919" s="11"/>
      <c r="B1919" s="11"/>
      <c r="C1919" s="64" t="s">
        <v>414</v>
      </c>
      <c r="H1919" s="246" t="s">
        <v>968</v>
      </c>
      <c r="I1919" s="223"/>
      <c r="J1919" s="223"/>
      <c r="K1919" s="223"/>
      <c r="L1919" s="223"/>
      <c r="M1919" s="224"/>
      <c r="O1919" s="64" t="s">
        <v>562</v>
      </c>
      <c r="R1919" s="246" t="s">
        <v>969</v>
      </c>
      <c r="S1919" s="223"/>
      <c r="T1919" s="223"/>
      <c r="U1919" s="223"/>
      <c r="V1919" s="223"/>
      <c r="W1919" s="224"/>
    </row>
    <row r="1920" spans="1:23" ht="12.75" customHeight="1">
      <c r="A1920" s="11"/>
      <c r="B1920" s="11"/>
      <c r="H1920" s="77"/>
      <c r="I1920" s="77"/>
      <c r="J1920" s="77"/>
      <c r="K1920" s="77"/>
      <c r="L1920" s="77"/>
      <c r="M1920" s="77"/>
      <c r="R1920" s="77"/>
      <c r="S1920" s="77"/>
      <c r="T1920" s="77"/>
      <c r="U1920" s="77"/>
      <c r="V1920" s="77"/>
      <c r="W1920" s="77"/>
    </row>
    <row r="1921" spans="1:23" ht="12.75" customHeight="1">
      <c r="A1921" s="11"/>
      <c r="B1921" s="11"/>
      <c r="C1921" s="64" t="s">
        <v>563</v>
      </c>
      <c r="H1921" s="246" t="s">
        <v>968</v>
      </c>
      <c r="I1921" s="223"/>
      <c r="J1921" s="223"/>
      <c r="K1921" s="223"/>
      <c r="L1921" s="223"/>
      <c r="M1921" s="224"/>
      <c r="O1921" s="64" t="s">
        <v>417</v>
      </c>
      <c r="R1921" s="246" t="s">
        <v>418</v>
      </c>
      <c r="S1921" s="223"/>
      <c r="T1921" s="223"/>
      <c r="U1921" s="223"/>
      <c r="V1921" s="223"/>
      <c r="W1921" s="224"/>
    </row>
    <row r="1922" spans="1:23" ht="12.75" customHeight="1">
      <c r="A1922" s="11"/>
      <c r="B1922" s="11"/>
      <c r="H1922" s="77"/>
      <c r="I1922" s="77"/>
      <c r="J1922" s="77"/>
      <c r="K1922" s="77"/>
      <c r="L1922" s="77"/>
      <c r="M1922" s="77"/>
      <c r="R1922" s="77"/>
      <c r="S1922" s="77"/>
      <c r="T1922" s="77"/>
      <c r="U1922" s="77"/>
      <c r="V1922" s="77"/>
      <c r="W1922" s="77"/>
    </row>
    <row r="1923" spans="1:23" ht="12.75" customHeight="1">
      <c r="A1923" s="11"/>
      <c r="B1923" s="152" t="s">
        <v>130</v>
      </c>
      <c r="C1923" s="64" t="s">
        <v>790</v>
      </c>
    </row>
    <row r="1924" spans="1:23" ht="12.75" customHeight="1"/>
    <row r="1925" spans="1:23" ht="12.75" customHeight="1">
      <c r="B1925" s="104" t="s">
        <v>684</v>
      </c>
      <c r="C1925" s="275" t="s">
        <v>340</v>
      </c>
      <c r="D1925" s="223"/>
      <c r="E1925" s="223"/>
      <c r="F1925" s="223"/>
      <c r="G1925" s="223"/>
      <c r="H1925" s="223"/>
      <c r="I1925" s="223"/>
      <c r="J1925" s="223"/>
      <c r="K1925" s="224"/>
      <c r="L1925" s="275" t="s">
        <v>791</v>
      </c>
      <c r="M1925" s="223"/>
      <c r="N1925" s="223"/>
      <c r="O1925" s="223"/>
      <c r="P1925" s="223"/>
      <c r="Q1925" s="224"/>
      <c r="R1925" s="286" t="s">
        <v>792</v>
      </c>
      <c r="S1925" s="223"/>
      <c r="T1925" s="224"/>
      <c r="U1925" s="275" t="s">
        <v>793</v>
      </c>
      <c r="V1925" s="223"/>
      <c r="W1925" s="224"/>
    </row>
    <row r="1926" spans="1:23" ht="12.75" customHeight="1">
      <c r="B1926" s="78">
        <v>1</v>
      </c>
      <c r="C1926" s="288" t="s">
        <v>970</v>
      </c>
      <c r="D1926" s="223"/>
      <c r="E1926" s="223"/>
      <c r="F1926" s="223"/>
      <c r="G1926" s="223"/>
      <c r="H1926" s="223"/>
      <c r="I1926" s="223"/>
      <c r="J1926" s="223"/>
      <c r="K1926" s="224"/>
      <c r="L1926" s="246" t="s">
        <v>966</v>
      </c>
      <c r="M1926" s="223"/>
      <c r="N1926" s="223"/>
      <c r="O1926" s="223"/>
      <c r="P1926" s="223"/>
      <c r="Q1926" s="224"/>
      <c r="R1926" s="252"/>
      <c r="S1926" s="223"/>
      <c r="T1926" s="224"/>
      <c r="U1926" s="252" t="s">
        <v>817</v>
      </c>
      <c r="V1926" s="223"/>
      <c r="W1926" s="224"/>
    </row>
    <row r="1927" spans="1:23" ht="12.75" customHeight="1">
      <c r="B1927" s="78">
        <v>2</v>
      </c>
      <c r="C1927" s="246"/>
      <c r="D1927" s="223"/>
      <c r="E1927" s="223"/>
      <c r="F1927" s="223"/>
      <c r="G1927" s="223"/>
      <c r="H1927" s="223"/>
      <c r="I1927" s="223"/>
      <c r="J1927" s="223"/>
      <c r="K1927" s="224"/>
      <c r="L1927" s="246"/>
      <c r="M1927" s="223"/>
      <c r="N1927" s="223"/>
      <c r="O1927" s="223"/>
      <c r="P1927" s="223"/>
      <c r="Q1927" s="224"/>
      <c r="R1927" s="252"/>
      <c r="S1927" s="223"/>
      <c r="T1927" s="224"/>
      <c r="U1927" s="252"/>
      <c r="V1927" s="223"/>
      <c r="W1927" s="224"/>
    </row>
    <row r="1928" spans="1:23" ht="12.75" customHeight="1">
      <c r="B1928" s="78">
        <v>3</v>
      </c>
      <c r="C1928" s="252"/>
      <c r="D1928" s="223"/>
      <c r="E1928" s="223"/>
      <c r="F1928" s="223"/>
      <c r="G1928" s="223"/>
      <c r="H1928" s="223"/>
      <c r="I1928" s="223"/>
      <c r="J1928" s="223"/>
      <c r="K1928" s="224"/>
      <c r="L1928" s="252"/>
      <c r="M1928" s="223"/>
      <c r="N1928" s="223"/>
      <c r="O1928" s="223"/>
      <c r="P1928" s="223"/>
      <c r="Q1928" s="224"/>
      <c r="R1928" s="252"/>
      <c r="S1928" s="223"/>
      <c r="T1928" s="224"/>
      <c r="U1928" s="252"/>
      <c r="V1928" s="223"/>
      <c r="W1928" s="224"/>
    </row>
    <row r="1929" spans="1:23" ht="12.75" customHeight="1">
      <c r="B1929" s="78">
        <v>4</v>
      </c>
      <c r="C1929" s="252"/>
      <c r="D1929" s="223"/>
      <c r="E1929" s="223"/>
      <c r="F1929" s="223"/>
      <c r="G1929" s="223"/>
      <c r="H1929" s="223"/>
      <c r="I1929" s="223"/>
      <c r="J1929" s="223"/>
      <c r="K1929" s="224"/>
      <c r="L1929" s="252"/>
      <c r="M1929" s="223"/>
      <c r="N1929" s="223"/>
      <c r="O1929" s="223"/>
      <c r="P1929" s="223"/>
      <c r="Q1929" s="224"/>
      <c r="R1929" s="252"/>
      <c r="S1929" s="223"/>
      <c r="T1929" s="224"/>
      <c r="U1929" s="252"/>
      <c r="V1929" s="223"/>
      <c r="W1929" s="224"/>
    </row>
    <row r="1930" spans="1:23" ht="12.75" customHeight="1">
      <c r="B1930" s="78">
        <v>5</v>
      </c>
      <c r="C1930" s="252"/>
      <c r="D1930" s="223"/>
      <c r="E1930" s="223"/>
      <c r="F1930" s="223"/>
      <c r="G1930" s="223"/>
      <c r="H1930" s="223"/>
      <c r="I1930" s="223"/>
      <c r="J1930" s="223"/>
      <c r="K1930" s="224"/>
      <c r="L1930" s="252"/>
      <c r="M1930" s="223"/>
      <c r="N1930" s="223"/>
      <c r="O1930" s="223"/>
      <c r="P1930" s="223"/>
      <c r="Q1930" s="224"/>
      <c r="R1930" s="252"/>
      <c r="S1930" s="223"/>
      <c r="T1930" s="224"/>
      <c r="U1930" s="252"/>
      <c r="V1930" s="223"/>
      <c r="W1930" s="224"/>
    </row>
    <row r="1931" spans="1:23" ht="12.75" customHeight="1">
      <c r="B1931" s="78">
        <v>6</v>
      </c>
      <c r="C1931" s="252"/>
      <c r="D1931" s="223"/>
      <c r="E1931" s="223"/>
      <c r="F1931" s="223"/>
      <c r="G1931" s="223"/>
      <c r="H1931" s="223"/>
      <c r="I1931" s="223"/>
      <c r="J1931" s="223"/>
      <c r="K1931" s="224"/>
      <c r="L1931" s="252"/>
      <c r="M1931" s="223"/>
      <c r="N1931" s="223"/>
      <c r="O1931" s="223"/>
      <c r="P1931" s="223"/>
      <c r="Q1931" s="224"/>
      <c r="R1931" s="252"/>
      <c r="S1931" s="223"/>
      <c r="T1931" s="224"/>
      <c r="U1931" s="252"/>
      <c r="V1931" s="223"/>
      <c r="W1931" s="224"/>
    </row>
    <row r="1932" spans="1:23" ht="12.75" customHeight="1">
      <c r="B1932" s="78">
        <v>7</v>
      </c>
      <c r="C1932" s="252"/>
      <c r="D1932" s="223"/>
      <c r="E1932" s="223"/>
      <c r="F1932" s="223"/>
      <c r="G1932" s="223"/>
      <c r="H1932" s="223"/>
      <c r="I1932" s="223"/>
      <c r="J1932" s="223"/>
      <c r="K1932" s="224"/>
      <c r="L1932" s="252"/>
      <c r="M1932" s="223"/>
      <c r="N1932" s="223"/>
      <c r="O1932" s="223"/>
      <c r="P1932" s="223"/>
      <c r="Q1932" s="224"/>
      <c r="R1932" s="252"/>
      <c r="S1932" s="223"/>
      <c r="T1932" s="224"/>
      <c r="U1932" s="252"/>
      <c r="V1932" s="223"/>
      <c r="W1932" s="224"/>
    </row>
    <row r="1933" spans="1:23" ht="12.75" customHeight="1"/>
    <row r="1934" spans="1:23" ht="12.75" customHeight="1"/>
    <row r="1935" spans="1:23" ht="12.75" customHeight="1">
      <c r="J1935" s="225" t="s">
        <v>480</v>
      </c>
      <c r="K1935" s="194"/>
      <c r="L1935" s="194"/>
      <c r="M1935" s="194"/>
      <c r="N1935" s="194"/>
      <c r="O1935" s="194"/>
      <c r="R1935" s="3" t="s">
        <v>971</v>
      </c>
    </row>
    <row r="1936" spans="1:23" ht="12.75" customHeight="1">
      <c r="D1936" s="64" t="s">
        <v>797</v>
      </c>
      <c r="J1936" s="225" t="s">
        <v>808</v>
      </c>
      <c r="K1936" s="194"/>
      <c r="L1936" s="194"/>
      <c r="M1936" s="194"/>
      <c r="N1936" s="194"/>
      <c r="O1936" s="194"/>
      <c r="S1936" s="64" t="s">
        <v>799</v>
      </c>
    </row>
    <row r="1937" spans="4:22" ht="12.75" customHeight="1">
      <c r="J1937" s="225" t="s">
        <v>365</v>
      </c>
      <c r="K1937" s="194"/>
      <c r="L1937" s="194"/>
      <c r="M1937" s="194"/>
      <c r="N1937" s="194"/>
      <c r="O1937" s="194"/>
    </row>
    <row r="1938" spans="4:22" ht="12.75" customHeight="1"/>
    <row r="1939" spans="4:22" ht="12.75" customHeight="1"/>
    <row r="1940" spans="4:22" ht="12.75" customHeight="1"/>
    <row r="1941" spans="4:22" ht="12.75" customHeight="1">
      <c r="D1941" s="3" t="s">
        <v>27</v>
      </c>
      <c r="K1941" s="225" t="s">
        <v>366</v>
      </c>
      <c r="L1941" s="194"/>
      <c r="M1941" s="194"/>
      <c r="N1941" s="194"/>
      <c r="Q1941" s="225" t="s">
        <v>966</v>
      </c>
      <c r="R1941" s="194"/>
      <c r="S1941" s="194"/>
      <c r="T1941" s="194"/>
      <c r="U1941" s="194"/>
      <c r="V1941" s="194"/>
    </row>
    <row r="1942" spans="4:22" ht="12.75" customHeight="1"/>
    <row r="1943" spans="4:22" ht="12.75" customHeight="1"/>
    <row r="1944" spans="4:22" ht="12.75" customHeight="1"/>
    <row r="1945" spans="4:22" ht="12.75" customHeight="1"/>
    <row r="1946" spans="4:22" ht="12.75" customHeight="1"/>
    <row r="1947" spans="4:22" ht="12.75" customHeight="1"/>
    <row r="1948" spans="4:22" ht="12.75" customHeight="1"/>
    <row r="1949" spans="4:22" ht="12.75" customHeight="1"/>
    <row r="1950" spans="4:22" ht="12.75" customHeight="1"/>
    <row r="1951" spans="4:22" ht="12.75" customHeight="1"/>
    <row r="1952" spans="4:2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spans="2:23" ht="12.75" customHeight="1"/>
    <row r="1970" spans="2:23" ht="12.75" customHeight="1"/>
    <row r="1971" spans="2:23" ht="12.75" customHeight="1"/>
    <row r="1972" spans="2:23" ht="12.75" customHeight="1"/>
    <row r="1973" spans="2:23" ht="12.75" customHeight="1"/>
    <row r="1974" spans="2:23" ht="12.75" customHeight="1"/>
    <row r="1975" spans="2:23" ht="12.75" customHeight="1"/>
    <row r="1976" spans="2:23" ht="12.75" customHeight="1"/>
    <row r="1977" spans="2:23" ht="12.75" customHeight="1"/>
    <row r="1978" spans="2:23" ht="12.75" customHeight="1"/>
    <row r="1979" spans="2:23" ht="12.75" customHeight="1"/>
    <row r="1980" spans="2:23" ht="12.75" customHeight="1">
      <c r="T1980" s="252" t="s">
        <v>800</v>
      </c>
      <c r="U1980" s="223"/>
      <c r="V1980" s="224"/>
    </row>
    <row r="1981" spans="2:23" ht="12.75" customHeight="1">
      <c r="B1981" s="151"/>
      <c r="C1981" s="151"/>
      <c r="D1981" s="151"/>
      <c r="E1981" s="151"/>
      <c r="F1981" s="151"/>
      <c r="G1981" s="151"/>
      <c r="H1981" s="151"/>
      <c r="I1981" s="151"/>
      <c r="J1981" s="151"/>
      <c r="K1981" s="151"/>
      <c r="L1981" s="151"/>
      <c r="M1981" s="151"/>
      <c r="N1981" s="151"/>
      <c r="O1981" s="151"/>
      <c r="P1981" s="151"/>
      <c r="Q1981" s="151"/>
      <c r="R1981" s="151"/>
      <c r="S1981" s="151"/>
      <c r="T1981" s="151"/>
      <c r="U1981" s="151"/>
      <c r="V1981" s="151"/>
      <c r="W1981" s="151"/>
    </row>
    <row r="1982" spans="2:23" ht="12.75" customHeight="1"/>
    <row r="1983" spans="2:23" ht="12.75" customHeight="1">
      <c r="B1983" s="64" t="s">
        <v>770</v>
      </c>
      <c r="G1983" s="11" t="s">
        <v>10</v>
      </c>
      <c r="H1983" s="78">
        <v>3</v>
      </c>
      <c r="I1983" s="78">
        <v>3</v>
      </c>
      <c r="J1983" s="11"/>
      <c r="M1983" s="246" t="s">
        <v>418</v>
      </c>
      <c r="N1983" s="223"/>
      <c r="O1983" s="223"/>
      <c r="P1983" s="223"/>
      <c r="Q1983" s="223"/>
      <c r="R1983" s="223"/>
      <c r="S1983" s="223"/>
      <c r="T1983" s="223"/>
      <c r="U1983" s="223"/>
      <c r="V1983" s="223"/>
      <c r="W1983" s="224"/>
    </row>
    <row r="1984" spans="2:23" ht="12.75" customHeight="1">
      <c r="G1984" s="11"/>
      <c r="H1984" s="11"/>
      <c r="I1984" s="11"/>
      <c r="J1984" s="11"/>
      <c r="M1984" s="77"/>
      <c r="N1984" s="77"/>
      <c r="O1984" s="77"/>
      <c r="P1984" s="77"/>
      <c r="Q1984" s="77"/>
      <c r="R1984" s="77"/>
      <c r="S1984" s="77"/>
      <c r="T1984" s="77"/>
      <c r="U1984" s="77"/>
      <c r="V1984" s="77"/>
      <c r="W1984" s="77"/>
    </row>
    <row r="1985" spans="1:23" ht="12.75" customHeight="1">
      <c r="B1985" s="64" t="s">
        <v>105</v>
      </c>
      <c r="G1985" s="11" t="s">
        <v>10</v>
      </c>
      <c r="H1985" s="78">
        <v>2</v>
      </c>
      <c r="I1985" s="78">
        <v>7</v>
      </c>
      <c r="J1985" s="11"/>
      <c r="M1985" s="246" t="s">
        <v>106</v>
      </c>
      <c r="N1985" s="223"/>
      <c r="O1985" s="223"/>
      <c r="P1985" s="223"/>
      <c r="Q1985" s="223"/>
      <c r="R1985" s="223"/>
      <c r="S1985" s="223"/>
      <c r="T1985" s="223"/>
      <c r="U1985" s="223"/>
      <c r="V1985" s="223"/>
      <c r="W1985" s="224"/>
    </row>
    <row r="1986" spans="1:23" ht="12.75" customHeight="1">
      <c r="G1986" s="11"/>
      <c r="H1986" s="11"/>
      <c r="I1986" s="11"/>
      <c r="J1986" s="11"/>
      <c r="M1986" s="77"/>
      <c r="N1986" s="77"/>
      <c r="O1986" s="77"/>
      <c r="P1986" s="77"/>
      <c r="Q1986" s="77"/>
      <c r="R1986" s="77"/>
      <c r="S1986" s="77"/>
      <c r="T1986" s="77"/>
      <c r="U1986" s="77"/>
      <c r="V1986" s="77"/>
      <c r="W1986" s="77"/>
    </row>
    <row r="1987" spans="1:23" ht="12.75" customHeight="1">
      <c r="B1987" s="64" t="s">
        <v>103</v>
      </c>
      <c r="G1987" s="11" t="s">
        <v>10</v>
      </c>
      <c r="H1987" s="78">
        <v>4</v>
      </c>
      <c r="I1987" s="78">
        <v>0</v>
      </c>
      <c r="J1987" s="11"/>
      <c r="M1987" s="246" t="s">
        <v>104</v>
      </c>
      <c r="N1987" s="223"/>
      <c r="O1987" s="223"/>
      <c r="P1987" s="223"/>
      <c r="Q1987" s="223"/>
      <c r="R1987" s="223"/>
      <c r="S1987" s="223"/>
      <c r="T1987" s="223"/>
      <c r="U1987" s="223"/>
      <c r="V1987" s="223"/>
      <c r="W1987" s="224"/>
    </row>
    <row r="1988" spans="1:23" ht="12.75" customHeight="1">
      <c r="G1988" s="11"/>
      <c r="H1988" s="11"/>
      <c r="I1988" s="11"/>
      <c r="J1988" s="11"/>
      <c r="M1988" s="77"/>
      <c r="N1988" s="77"/>
      <c r="O1988" s="77"/>
      <c r="P1988" s="77"/>
      <c r="Q1988" s="77"/>
      <c r="R1988" s="77"/>
      <c r="S1988" s="77"/>
      <c r="T1988" s="77"/>
      <c r="U1988" s="77"/>
      <c r="V1988" s="77"/>
      <c r="W1988" s="77"/>
    </row>
    <row r="1989" spans="1:23" ht="12.75" customHeight="1">
      <c r="B1989" s="64" t="s">
        <v>771</v>
      </c>
      <c r="G1989" s="11" t="s">
        <v>10</v>
      </c>
      <c r="H1989" s="78">
        <v>0</v>
      </c>
      <c r="I1989" s="78">
        <v>1</v>
      </c>
      <c r="J1989" s="78">
        <v>1</v>
      </c>
      <c r="K1989" s="91"/>
      <c r="M1989" s="246" t="s">
        <v>102</v>
      </c>
      <c r="N1989" s="223"/>
      <c r="O1989" s="223"/>
      <c r="P1989" s="223"/>
      <c r="Q1989" s="223"/>
      <c r="R1989" s="223"/>
      <c r="S1989" s="223"/>
      <c r="T1989" s="223"/>
      <c r="U1989" s="223"/>
      <c r="V1989" s="223"/>
      <c r="W1989" s="224"/>
    </row>
    <row r="1990" spans="1:23" ht="12.75" customHeight="1">
      <c r="G1990" s="11"/>
    </row>
    <row r="1991" spans="1:23" ht="12.75" customHeight="1">
      <c r="B1991" s="64" t="s">
        <v>772</v>
      </c>
      <c r="G1991" s="11" t="s">
        <v>10</v>
      </c>
      <c r="H1991" s="246" t="s">
        <v>773</v>
      </c>
      <c r="I1991" s="223"/>
      <c r="J1991" s="223"/>
      <c r="K1991" s="223"/>
      <c r="L1991" s="223"/>
      <c r="M1991" s="223"/>
      <c r="N1991" s="223"/>
      <c r="O1991" s="223"/>
      <c r="P1991" s="223"/>
      <c r="Q1991" s="223"/>
      <c r="R1991" s="223"/>
      <c r="S1991" s="223"/>
      <c r="T1991" s="223"/>
      <c r="U1991" s="223"/>
      <c r="V1991" s="223"/>
      <c r="W1991" s="224"/>
    </row>
    <row r="1992" spans="1:23" ht="12.75" customHeight="1"/>
    <row r="1993" spans="1:23" ht="12.75" customHeight="1">
      <c r="B1993" s="196" t="s">
        <v>774</v>
      </c>
      <c r="C1993" s="194"/>
      <c r="D1993" s="194"/>
      <c r="E1993" s="194"/>
      <c r="F1993" s="194"/>
      <c r="G1993" s="194"/>
      <c r="H1993" s="194"/>
      <c r="I1993" s="194"/>
      <c r="J1993" s="194"/>
      <c r="K1993" s="194"/>
      <c r="L1993" s="194"/>
      <c r="M1993" s="194"/>
      <c r="N1993" s="194"/>
      <c r="O1993" s="194"/>
      <c r="P1993" s="194"/>
      <c r="Q1993" s="194"/>
      <c r="R1993" s="194"/>
      <c r="S1993" s="194"/>
      <c r="T1993" s="194"/>
      <c r="U1993" s="194"/>
      <c r="V1993" s="194"/>
      <c r="W1993" s="194"/>
    </row>
    <row r="1994" spans="1:23" ht="12.75" customHeight="1">
      <c r="B1994" s="225" t="s">
        <v>853</v>
      </c>
      <c r="C1994" s="194"/>
      <c r="D1994" s="194"/>
      <c r="E1994" s="194"/>
      <c r="F1994" s="194"/>
      <c r="G1994" s="194"/>
      <c r="H1994" s="194"/>
      <c r="I1994" s="194"/>
      <c r="J1994" s="194"/>
      <c r="K1994" s="194"/>
      <c r="L1994" s="194"/>
      <c r="M1994" s="194"/>
      <c r="N1994" s="194"/>
      <c r="O1994" s="194"/>
      <c r="P1994" s="194"/>
      <c r="Q1994" s="194"/>
      <c r="R1994" s="194"/>
      <c r="S1994" s="194"/>
      <c r="T1994" s="194"/>
      <c r="U1994" s="194"/>
      <c r="V1994" s="194"/>
      <c r="W1994" s="194"/>
    </row>
    <row r="1995" spans="1:23" ht="12.75" customHeight="1">
      <c r="B1995" s="225" t="s">
        <v>972</v>
      </c>
      <c r="C1995" s="194"/>
      <c r="D1995" s="194"/>
      <c r="E1995" s="194"/>
      <c r="F1995" s="194"/>
      <c r="G1995" s="194"/>
      <c r="H1995" s="194"/>
      <c r="I1995" s="194"/>
      <c r="J1995" s="194"/>
      <c r="K1995" s="194"/>
      <c r="L1995" s="194"/>
      <c r="M1995" s="194"/>
      <c r="N1995" s="194"/>
      <c r="O1995" s="194"/>
      <c r="P1995" s="194"/>
      <c r="Q1995" s="194"/>
      <c r="R1995" s="194"/>
      <c r="S1995" s="194"/>
      <c r="T1995" s="194"/>
      <c r="U1995" s="194"/>
      <c r="V1995" s="194"/>
      <c r="W1995" s="194"/>
    </row>
    <row r="1996" spans="1:23" ht="12.75" customHeight="1">
      <c r="A1996" s="11"/>
      <c r="B1996" s="38" t="s">
        <v>777</v>
      </c>
    </row>
    <row r="1997" spans="1:23" ht="12.75" customHeight="1"/>
    <row r="1998" spans="1:23" ht="12.75" customHeight="1">
      <c r="B1998" s="152" t="s">
        <v>111</v>
      </c>
      <c r="C1998" s="64" t="s">
        <v>387</v>
      </c>
      <c r="H1998" s="78">
        <v>3</v>
      </c>
      <c r="I1998" s="78">
        <v>3</v>
      </c>
      <c r="J1998" s="78">
        <v>2</v>
      </c>
      <c r="K1998" s="78">
        <v>7</v>
      </c>
      <c r="L1998" s="78">
        <v>0</v>
      </c>
      <c r="M1998" s="78">
        <v>4</v>
      </c>
      <c r="N1998" s="78">
        <v>2</v>
      </c>
      <c r="O1998" s="78">
        <v>6</v>
      </c>
      <c r="P1998" s="78">
        <v>0</v>
      </c>
      <c r="Q1998" s="78">
        <v>6</v>
      </c>
      <c r="R1998" s="78">
        <v>2</v>
      </c>
      <c r="S1998" s="78">
        <v>3</v>
      </c>
      <c r="T1998" s="78">
        <v>0</v>
      </c>
      <c r="U1998" s="78">
        <v>0</v>
      </c>
      <c r="V1998" s="78">
        <v>0</v>
      </c>
      <c r="W1998" s="78">
        <v>7</v>
      </c>
    </row>
    <row r="1999" spans="1:23" ht="12.75" customHeight="1">
      <c r="B1999" s="11"/>
    </row>
    <row r="2000" spans="1:23" ht="12.75" customHeight="1">
      <c r="B2000" s="152" t="s">
        <v>115</v>
      </c>
      <c r="C2000" s="64" t="s">
        <v>385</v>
      </c>
      <c r="H2000" s="246" t="s">
        <v>966</v>
      </c>
      <c r="I2000" s="223"/>
      <c r="J2000" s="223"/>
      <c r="K2000" s="223"/>
      <c r="L2000" s="223"/>
      <c r="M2000" s="223"/>
      <c r="N2000" s="223"/>
      <c r="O2000" s="223"/>
      <c r="P2000" s="223"/>
      <c r="Q2000" s="223"/>
      <c r="R2000" s="223"/>
      <c r="S2000" s="223"/>
      <c r="T2000" s="223"/>
      <c r="U2000" s="223"/>
      <c r="V2000" s="223"/>
      <c r="W2000" s="224"/>
    </row>
    <row r="2001" spans="2:23" ht="12.75" customHeight="1">
      <c r="B2001" s="11"/>
    </row>
    <row r="2002" spans="2:23" ht="12.75" customHeight="1">
      <c r="B2002" s="152" t="s">
        <v>118</v>
      </c>
      <c r="C2002" s="64" t="s">
        <v>345</v>
      </c>
      <c r="H2002" s="246" t="s">
        <v>102</v>
      </c>
      <c r="I2002" s="223"/>
      <c r="J2002" s="223"/>
      <c r="K2002" s="223"/>
      <c r="L2002" s="223"/>
      <c r="M2002" s="223"/>
      <c r="N2002" s="223"/>
      <c r="O2002" s="224"/>
      <c r="P2002" s="64" t="s">
        <v>675</v>
      </c>
      <c r="Q2002" s="78">
        <v>0</v>
      </c>
      <c r="R2002" s="78">
        <v>0</v>
      </c>
      <c r="S2002" s="78">
        <v>5</v>
      </c>
      <c r="T2002" s="11" t="s">
        <v>676</v>
      </c>
      <c r="U2002" s="78">
        <v>0</v>
      </c>
      <c r="V2002" s="78">
        <v>0</v>
      </c>
      <c r="W2002" s="78">
        <v>1</v>
      </c>
    </row>
    <row r="2003" spans="2:23" ht="12.75" customHeight="1">
      <c r="B2003" s="11"/>
    </row>
    <row r="2004" spans="2:23" ht="12.75" customHeight="1">
      <c r="B2004" s="11"/>
      <c r="H2004" s="64" t="s">
        <v>779</v>
      </c>
      <c r="L2004" s="246" t="s">
        <v>909</v>
      </c>
      <c r="M2004" s="223"/>
      <c r="N2004" s="223"/>
      <c r="O2004" s="223"/>
      <c r="P2004" s="223"/>
      <c r="Q2004" s="223"/>
      <c r="R2004" s="223"/>
      <c r="S2004" s="223"/>
      <c r="T2004" s="223"/>
      <c r="U2004" s="223"/>
      <c r="V2004" s="223"/>
      <c r="W2004" s="224"/>
    </row>
    <row r="2005" spans="2:23" ht="12.75" customHeight="1">
      <c r="B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</row>
    <row r="2006" spans="2:23" ht="12.75" customHeight="1">
      <c r="B2006" s="11"/>
      <c r="C2006" s="64" t="s">
        <v>414</v>
      </c>
      <c r="H2006" s="246" t="s">
        <v>102</v>
      </c>
      <c r="I2006" s="223"/>
      <c r="J2006" s="223"/>
      <c r="K2006" s="223"/>
      <c r="L2006" s="223"/>
      <c r="M2006" s="224"/>
      <c r="O2006" s="64" t="s">
        <v>562</v>
      </c>
      <c r="R2006" s="246" t="s">
        <v>106</v>
      </c>
      <c r="S2006" s="223"/>
      <c r="T2006" s="223"/>
      <c r="U2006" s="223"/>
      <c r="V2006" s="223"/>
      <c r="W2006" s="224"/>
    </row>
    <row r="2007" spans="2:23" ht="12.75" customHeight="1">
      <c r="B2007" s="11"/>
      <c r="H2007" s="77"/>
      <c r="I2007" s="77"/>
      <c r="J2007" s="77"/>
      <c r="K2007" s="77"/>
      <c r="L2007" s="77"/>
      <c r="M2007" s="77"/>
      <c r="R2007" s="77"/>
      <c r="S2007" s="77"/>
      <c r="T2007" s="77"/>
      <c r="U2007" s="77"/>
      <c r="V2007" s="77"/>
      <c r="W2007" s="77"/>
    </row>
    <row r="2008" spans="2:23" ht="12.75" customHeight="1">
      <c r="B2008" s="11"/>
      <c r="C2008" s="64" t="s">
        <v>416</v>
      </c>
      <c r="H2008" s="246" t="s">
        <v>104</v>
      </c>
      <c r="I2008" s="223"/>
      <c r="J2008" s="223"/>
      <c r="K2008" s="223"/>
      <c r="L2008" s="223"/>
      <c r="M2008" s="224"/>
      <c r="O2008" s="64" t="s">
        <v>417</v>
      </c>
      <c r="R2008" s="246" t="s">
        <v>418</v>
      </c>
      <c r="S2008" s="223"/>
      <c r="T2008" s="223"/>
      <c r="U2008" s="223"/>
      <c r="V2008" s="223"/>
      <c r="W2008" s="224"/>
    </row>
    <row r="2009" spans="2:23" ht="12.75" customHeight="1">
      <c r="B2009" s="11"/>
      <c r="H2009" s="77"/>
      <c r="I2009" s="77"/>
      <c r="J2009" s="77"/>
      <c r="K2009" s="77"/>
      <c r="L2009" s="77"/>
      <c r="M2009" s="77"/>
      <c r="R2009" s="11"/>
      <c r="S2009" s="11"/>
      <c r="T2009" s="11"/>
      <c r="U2009" s="11"/>
      <c r="V2009" s="11"/>
      <c r="W2009" s="11"/>
    </row>
    <row r="2010" spans="2:23" ht="12.75" customHeight="1">
      <c r="B2010" s="11"/>
      <c r="H2010" s="11" t="s">
        <v>674</v>
      </c>
      <c r="I2010" s="11"/>
      <c r="J2010" s="78">
        <v>5</v>
      </c>
      <c r="K2010" s="78">
        <v>2</v>
      </c>
      <c r="L2010" s="78">
        <v>3</v>
      </c>
      <c r="M2010" s="78">
        <v>5</v>
      </c>
      <c r="N2010" s="78">
        <v>7</v>
      </c>
      <c r="P2010" s="64" t="s">
        <v>680</v>
      </c>
      <c r="R2010" s="78"/>
      <c r="S2010" s="78"/>
      <c r="T2010" s="78"/>
      <c r="U2010" s="78"/>
      <c r="V2010" s="78"/>
      <c r="W2010" s="78"/>
    </row>
    <row r="2011" spans="2:23" ht="12.75" customHeight="1">
      <c r="B2011" s="11"/>
    </row>
    <row r="2012" spans="2:23" ht="12.75" customHeight="1">
      <c r="B2012" s="152" t="s">
        <v>121</v>
      </c>
      <c r="C2012" s="64" t="s">
        <v>780</v>
      </c>
      <c r="H2012" s="78">
        <v>3</v>
      </c>
      <c r="I2012" s="78">
        <v>3</v>
      </c>
      <c r="J2012" s="78">
        <v>2</v>
      </c>
      <c r="K2012" s="78">
        <v>7</v>
      </c>
      <c r="L2012" s="78">
        <v>0</v>
      </c>
      <c r="M2012" s="78">
        <v>4</v>
      </c>
      <c r="N2012" s="78">
        <v>6</v>
      </c>
      <c r="O2012" s="78">
        <v>8</v>
      </c>
      <c r="P2012" s="78">
        <v>1</v>
      </c>
      <c r="Q2012" s="78">
        <v>1</v>
      </c>
      <c r="R2012" s="78">
        <v>9</v>
      </c>
      <c r="S2012" s="78">
        <v>7</v>
      </c>
      <c r="T2012" s="78">
        <v>0</v>
      </c>
      <c r="U2012" s="78">
        <v>0</v>
      </c>
      <c r="V2012" s="78">
        <v>0</v>
      </c>
      <c r="W2012" s="78">
        <v>4</v>
      </c>
    </row>
    <row r="2013" spans="2:23" ht="12.75" customHeight="1">
      <c r="B2013" s="11"/>
    </row>
    <row r="2014" spans="2:23" ht="12.75" customHeight="1">
      <c r="B2014" s="152" t="s">
        <v>124</v>
      </c>
      <c r="C2014" s="64" t="s">
        <v>391</v>
      </c>
      <c r="H2014" s="246" t="s">
        <v>966</v>
      </c>
      <c r="I2014" s="223"/>
      <c r="J2014" s="223"/>
      <c r="K2014" s="223"/>
      <c r="L2014" s="223"/>
      <c r="M2014" s="223"/>
      <c r="N2014" s="223"/>
      <c r="O2014" s="223"/>
      <c r="P2014" s="223"/>
      <c r="Q2014" s="223"/>
      <c r="R2014" s="223"/>
      <c r="S2014" s="223"/>
      <c r="T2014" s="223"/>
      <c r="U2014" s="223"/>
      <c r="V2014" s="223"/>
      <c r="W2014" s="224"/>
    </row>
    <row r="2015" spans="2:23" ht="12.75" customHeight="1"/>
    <row r="2016" spans="2:23" ht="12.75" customHeight="1"/>
    <row r="2017" spans="1:23" ht="12.75" customHeight="1">
      <c r="B2017" s="38" t="s">
        <v>782</v>
      </c>
    </row>
    <row r="2018" spans="1:23" ht="12.75" customHeight="1"/>
    <row r="2019" spans="1:23" ht="12.75" customHeight="1">
      <c r="A2019" s="11"/>
      <c r="B2019" s="152" t="s">
        <v>111</v>
      </c>
      <c r="C2019" s="64" t="s">
        <v>783</v>
      </c>
      <c r="H2019" s="78">
        <v>1</v>
      </c>
      <c r="I2019" s="64" t="s">
        <v>784</v>
      </c>
    </row>
    <row r="2020" spans="1:23" ht="12.75" customHeight="1">
      <c r="A2020" s="11"/>
      <c r="B2020" s="11"/>
    </row>
    <row r="2021" spans="1:23" ht="12.75" customHeight="1">
      <c r="A2021" s="11"/>
      <c r="B2021" s="152" t="s">
        <v>115</v>
      </c>
      <c r="C2021" s="64" t="s">
        <v>387</v>
      </c>
      <c r="H2021" s="78">
        <v>3</v>
      </c>
      <c r="I2021" s="78">
        <v>3</v>
      </c>
      <c r="J2021" s="78">
        <v>0</v>
      </c>
      <c r="K2021" s="78">
        <v>4</v>
      </c>
      <c r="L2021" s="78">
        <v>0</v>
      </c>
      <c r="M2021" s="78">
        <v>8</v>
      </c>
      <c r="N2021" s="78">
        <v>1</v>
      </c>
      <c r="O2021" s="78">
        <v>1</v>
      </c>
      <c r="P2021" s="78">
        <v>0</v>
      </c>
      <c r="Q2021" s="78">
        <v>1</v>
      </c>
      <c r="R2021" s="78">
        <v>2</v>
      </c>
      <c r="S2021" s="78">
        <v>1</v>
      </c>
      <c r="T2021" s="78">
        <v>0</v>
      </c>
      <c r="U2021" s="78">
        <v>0</v>
      </c>
      <c r="V2021" s="78">
        <v>0</v>
      </c>
      <c r="W2021" s="78">
        <v>8</v>
      </c>
    </row>
    <row r="2022" spans="1:23" ht="12.75" customHeight="1">
      <c r="A2022" s="11"/>
      <c r="B2022" s="11"/>
    </row>
    <row r="2023" spans="1:23" ht="12.75" customHeight="1">
      <c r="A2023" s="11"/>
      <c r="B2023" s="152" t="s">
        <v>118</v>
      </c>
      <c r="C2023" s="64" t="s">
        <v>785</v>
      </c>
      <c r="H2023" s="78">
        <v>3</v>
      </c>
      <c r="I2023" s="78">
        <v>3</v>
      </c>
      <c r="J2023" s="78">
        <v>0</v>
      </c>
      <c r="K2023" s="78">
        <v>4</v>
      </c>
      <c r="L2023" s="78">
        <v>0</v>
      </c>
      <c r="M2023" s="78">
        <v>2</v>
      </c>
      <c r="N2023" s="78">
        <v>2</v>
      </c>
      <c r="O2023" s="78">
        <v>3</v>
      </c>
      <c r="P2023" s="78">
        <v>0</v>
      </c>
      <c r="Q2023" s="78">
        <v>5</v>
      </c>
      <c r="R2023" s="78">
        <v>8</v>
      </c>
      <c r="S2023" s="78">
        <v>8</v>
      </c>
      <c r="T2023" s="78">
        <v>0</v>
      </c>
      <c r="U2023" s="78">
        <v>0</v>
      </c>
      <c r="V2023" s="78">
        <v>0</v>
      </c>
      <c r="W2023" s="78">
        <v>2</v>
      </c>
    </row>
    <row r="2024" spans="1:23" ht="12.75" customHeight="1">
      <c r="A2024" s="11"/>
      <c r="B2024" s="11"/>
    </row>
    <row r="2025" spans="1:23" ht="12.75" customHeight="1">
      <c r="A2025" s="11"/>
      <c r="B2025" s="152" t="s">
        <v>121</v>
      </c>
      <c r="C2025" s="64" t="s">
        <v>385</v>
      </c>
      <c r="H2025" s="246" t="s">
        <v>967</v>
      </c>
      <c r="I2025" s="223"/>
      <c r="J2025" s="223"/>
      <c r="K2025" s="223"/>
      <c r="L2025" s="223"/>
      <c r="M2025" s="223"/>
      <c r="N2025" s="223"/>
      <c r="O2025" s="223"/>
      <c r="P2025" s="223"/>
      <c r="Q2025" s="223"/>
      <c r="R2025" s="223"/>
      <c r="S2025" s="223"/>
      <c r="T2025" s="223"/>
      <c r="U2025" s="223"/>
      <c r="V2025" s="223"/>
      <c r="W2025" s="224"/>
    </row>
    <row r="2026" spans="1:23" ht="12.75" customHeight="1">
      <c r="A2026" s="11"/>
      <c r="B2026" s="11"/>
    </row>
    <row r="2027" spans="1:23" ht="12.75" customHeight="1">
      <c r="A2027" s="11"/>
      <c r="B2027" s="152" t="s">
        <v>124</v>
      </c>
      <c r="C2027" s="64" t="s">
        <v>786</v>
      </c>
      <c r="H2027" s="78"/>
      <c r="I2027" s="78"/>
      <c r="J2027" s="11"/>
      <c r="K2027" s="78"/>
      <c r="L2027" s="78"/>
      <c r="M2027" s="11"/>
      <c r="N2027" s="78"/>
      <c r="O2027" s="78"/>
      <c r="P2027" s="78"/>
      <c r="Q2027" s="78"/>
      <c r="R2027" s="11"/>
    </row>
    <row r="2028" spans="1:23" ht="12.75" customHeight="1">
      <c r="A2028" s="11"/>
      <c r="B2028" s="11"/>
    </row>
    <row r="2029" spans="1:23" ht="12.75" customHeight="1">
      <c r="A2029" s="11"/>
      <c r="B2029" s="152" t="s">
        <v>127</v>
      </c>
      <c r="C2029" s="64" t="s">
        <v>345</v>
      </c>
      <c r="F2029" s="91"/>
      <c r="H2029" s="246" t="s">
        <v>968</v>
      </c>
      <c r="I2029" s="223"/>
      <c r="J2029" s="223"/>
      <c r="K2029" s="223"/>
      <c r="L2029" s="223"/>
      <c r="M2029" s="223"/>
      <c r="N2029" s="224"/>
      <c r="P2029" s="64" t="s">
        <v>675</v>
      </c>
      <c r="Q2029" s="78">
        <v>0</v>
      </c>
      <c r="R2029" s="78">
        <v>0</v>
      </c>
      <c r="S2029" s="78">
        <v>3</v>
      </c>
      <c r="T2029" s="11" t="s">
        <v>676</v>
      </c>
      <c r="U2029" s="78">
        <v>0</v>
      </c>
      <c r="V2029" s="78">
        <v>0</v>
      </c>
      <c r="W2029" s="78">
        <v>7</v>
      </c>
    </row>
    <row r="2030" spans="1:23" ht="12.75" customHeight="1">
      <c r="A2030" s="11"/>
      <c r="B2030" s="11"/>
    </row>
    <row r="2031" spans="1:23" ht="12.75" customHeight="1">
      <c r="A2031" s="11"/>
      <c r="B2031" s="11"/>
      <c r="F2031" s="91"/>
      <c r="H2031" s="64" t="s">
        <v>779</v>
      </c>
      <c r="L2031" s="246" t="s">
        <v>968</v>
      </c>
      <c r="M2031" s="223"/>
      <c r="N2031" s="223"/>
      <c r="O2031" s="223"/>
      <c r="P2031" s="223"/>
      <c r="Q2031" s="223"/>
      <c r="R2031" s="223"/>
      <c r="S2031" s="223"/>
      <c r="T2031" s="223"/>
      <c r="U2031" s="223"/>
      <c r="V2031" s="223"/>
      <c r="W2031" s="224"/>
    </row>
    <row r="2032" spans="1:23" ht="12.75" customHeight="1">
      <c r="A2032" s="11"/>
      <c r="B2032" s="11"/>
    </row>
    <row r="2033" spans="1:23" ht="12.75" customHeight="1">
      <c r="A2033" s="11"/>
      <c r="B2033" s="11"/>
      <c r="C2033" s="64" t="s">
        <v>414</v>
      </c>
      <c r="H2033" s="246" t="s">
        <v>968</v>
      </c>
      <c r="I2033" s="223"/>
      <c r="J2033" s="223"/>
      <c r="K2033" s="223"/>
      <c r="L2033" s="223"/>
      <c r="M2033" s="224"/>
      <c r="O2033" s="64" t="s">
        <v>562</v>
      </c>
      <c r="R2033" s="246" t="s">
        <v>969</v>
      </c>
      <c r="S2033" s="223"/>
      <c r="T2033" s="223"/>
      <c r="U2033" s="223"/>
      <c r="V2033" s="223"/>
      <c r="W2033" s="224"/>
    </row>
    <row r="2034" spans="1:23" ht="12.75" customHeight="1">
      <c r="A2034" s="11"/>
      <c r="B2034" s="11"/>
      <c r="H2034" s="77"/>
      <c r="I2034" s="77"/>
      <c r="J2034" s="77"/>
      <c r="K2034" s="77"/>
      <c r="L2034" s="77"/>
      <c r="M2034" s="77"/>
      <c r="R2034" s="77"/>
      <c r="S2034" s="77"/>
      <c r="T2034" s="77"/>
      <c r="U2034" s="77"/>
      <c r="V2034" s="77"/>
      <c r="W2034" s="77"/>
    </row>
    <row r="2035" spans="1:23" ht="12.75" customHeight="1">
      <c r="A2035" s="11"/>
      <c r="B2035" s="11"/>
      <c r="C2035" s="64" t="s">
        <v>563</v>
      </c>
      <c r="H2035" s="246" t="s">
        <v>968</v>
      </c>
      <c r="I2035" s="223"/>
      <c r="J2035" s="223"/>
      <c r="K2035" s="223"/>
      <c r="L2035" s="223"/>
      <c r="M2035" s="224"/>
      <c r="O2035" s="64" t="s">
        <v>417</v>
      </c>
      <c r="R2035" s="246" t="s">
        <v>418</v>
      </c>
      <c r="S2035" s="223"/>
      <c r="T2035" s="223"/>
      <c r="U2035" s="223"/>
      <c r="V2035" s="223"/>
      <c r="W2035" s="224"/>
    </row>
    <row r="2036" spans="1:23" ht="12.75" customHeight="1">
      <c r="A2036" s="11"/>
      <c r="B2036" s="11"/>
      <c r="H2036" s="77"/>
      <c r="I2036" s="77"/>
      <c r="J2036" s="77"/>
      <c r="K2036" s="77"/>
      <c r="L2036" s="77"/>
      <c r="M2036" s="77"/>
      <c r="R2036" s="77"/>
      <c r="S2036" s="77"/>
      <c r="T2036" s="77"/>
      <c r="U2036" s="77"/>
      <c r="V2036" s="77"/>
      <c r="W2036" s="77"/>
    </row>
    <row r="2037" spans="1:23" ht="12.75" customHeight="1">
      <c r="A2037" s="11"/>
      <c r="B2037" s="152" t="s">
        <v>130</v>
      </c>
      <c r="C2037" s="64" t="s">
        <v>790</v>
      </c>
    </row>
    <row r="2038" spans="1:23" ht="12.75" customHeight="1"/>
    <row r="2039" spans="1:23" ht="12.75" customHeight="1">
      <c r="B2039" s="104" t="s">
        <v>684</v>
      </c>
      <c r="C2039" s="275" t="s">
        <v>340</v>
      </c>
      <c r="D2039" s="223"/>
      <c r="E2039" s="223"/>
      <c r="F2039" s="223"/>
      <c r="G2039" s="223"/>
      <c r="H2039" s="223"/>
      <c r="I2039" s="223"/>
      <c r="J2039" s="223"/>
      <c r="K2039" s="224"/>
      <c r="L2039" s="275" t="s">
        <v>791</v>
      </c>
      <c r="M2039" s="223"/>
      <c r="N2039" s="223"/>
      <c r="O2039" s="223"/>
      <c r="P2039" s="223"/>
      <c r="Q2039" s="224"/>
      <c r="R2039" s="286" t="s">
        <v>792</v>
      </c>
      <c r="S2039" s="223"/>
      <c r="T2039" s="224"/>
      <c r="U2039" s="275" t="s">
        <v>793</v>
      </c>
      <c r="V2039" s="223"/>
      <c r="W2039" s="224"/>
    </row>
    <row r="2040" spans="1:23" ht="12.75" customHeight="1">
      <c r="B2040" s="78">
        <v>1</v>
      </c>
      <c r="C2040" s="288" t="s">
        <v>970</v>
      </c>
      <c r="D2040" s="223"/>
      <c r="E2040" s="223"/>
      <c r="F2040" s="223"/>
      <c r="G2040" s="223"/>
      <c r="H2040" s="223"/>
      <c r="I2040" s="223"/>
      <c r="J2040" s="223"/>
      <c r="K2040" s="224"/>
      <c r="L2040" s="246" t="s">
        <v>966</v>
      </c>
      <c r="M2040" s="223"/>
      <c r="N2040" s="223"/>
      <c r="O2040" s="223"/>
      <c r="P2040" s="223"/>
      <c r="Q2040" s="224"/>
      <c r="R2040" s="252"/>
      <c r="S2040" s="223"/>
      <c r="T2040" s="224"/>
      <c r="U2040" s="252" t="s">
        <v>817</v>
      </c>
      <c r="V2040" s="223"/>
      <c r="W2040" s="224"/>
    </row>
    <row r="2041" spans="1:23" ht="12.75" customHeight="1">
      <c r="B2041" s="78">
        <v>2</v>
      </c>
      <c r="C2041" s="246"/>
      <c r="D2041" s="223"/>
      <c r="E2041" s="223"/>
      <c r="F2041" s="223"/>
      <c r="G2041" s="223"/>
      <c r="H2041" s="223"/>
      <c r="I2041" s="223"/>
      <c r="J2041" s="223"/>
      <c r="K2041" s="224"/>
      <c r="L2041" s="246"/>
      <c r="M2041" s="223"/>
      <c r="N2041" s="223"/>
      <c r="O2041" s="223"/>
      <c r="P2041" s="223"/>
      <c r="Q2041" s="224"/>
      <c r="R2041" s="252"/>
      <c r="S2041" s="223"/>
      <c r="T2041" s="224"/>
      <c r="U2041" s="252"/>
      <c r="V2041" s="223"/>
      <c r="W2041" s="224"/>
    </row>
    <row r="2042" spans="1:23" ht="12.75" customHeight="1">
      <c r="B2042" s="78">
        <v>3</v>
      </c>
      <c r="C2042" s="252"/>
      <c r="D2042" s="223"/>
      <c r="E2042" s="223"/>
      <c r="F2042" s="223"/>
      <c r="G2042" s="223"/>
      <c r="H2042" s="223"/>
      <c r="I2042" s="223"/>
      <c r="J2042" s="223"/>
      <c r="K2042" s="224"/>
      <c r="L2042" s="252"/>
      <c r="M2042" s="223"/>
      <c r="N2042" s="223"/>
      <c r="O2042" s="223"/>
      <c r="P2042" s="223"/>
      <c r="Q2042" s="224"/>
      <c r="R2042" s="252"/>
      <c r="S2042" s="223"/>
      <c r="T2042" s="224"/>
      <c r="U2042" s="252"/>
      <c r="V2042" s="223"/>
      <c r="W2042" s="224"/>
    </row>
    <row r="2043" spans="1:23" ht="12.75" customHeight="1">
      <c r="B2043" s="78">
        <v>4</v>
      </c>
      <c r="C2043" s="252"/>
      <c r="D2043" s="223"/>
      <c r="E2043" s="223"/>
      <c r="F2043" s="223"/>
      <c r="G2043" s="223"/>
      <c r="H2043" s="223"/>
      <c r="I2043" s="223"/>
      <c r="J2043" s="223"/>
      <c r="K2043" s="224"/>
      <c r="L2043" s="252"/>
      <c r="M2043" s="223"/>
      <c r="N2043" s="223"/>
      <c r="O2043" s="223"/>
      <c r="P2043" s="223"/>
      <c r="Q2043" s="224"/>
      <c r="R2043" s="252"/>
      <c r="S2043" s="223"/>
      <c r="T2043" s="224"/>
      <c r="U2043" s="252"/>
      <c r="V2043" s="223"/>
      <c r="W2043" s="224"/>
    </row>
    <row r="2044" spans="1:23" ht="12.75" customHeight="1">
      <c r="B2044" s="78">
        <v>5</v>
      </c>
      <c r="C2044" s="252"/>
      <c r="D2044" s="223"/>
      <c r="E2044" s="223"/>
      <c r="F2044" s="223"/>
      <c r="G2044" s="223"/>
      <c r="H2044" s="223"/>
      <c r="I2044" s="223"/>
      <c r="J2044" s="223"/>
      <c r="K2044" s="224"/>
      <c r="L2044" s="252"/>
      <c r="M2044" s="223"/>
      <c r="N2044" s="223"/>
      <c r="O2044" s="223"/>
      <c r="P2044" s="223"/>
      <c r="Q2044" s="224"/>
      <c r="R2044" s="252"/>
      <c r="S2044" s="223"/>
      <c r="T2044" s="224"/>
      <c r="U2044" s="252"/>
      <c r="V2044" s="223"/>
      <c r="W2044" s="224"/>
    </row>
    <row r="2045" spans="1:23" ht="12.75" customHeight="1">
      <c r="B2045" s="78">
        <v>6</v>
      </c>
      <c r="C2045" s="252"/>
      <c r="D2045" s="223"/>
      <c r="E2045" s="223"/>
      <c r="F2045" s="223"/>
      <c r="G2045" s="223"/>
      <c r="H2045" s="223"/>
      <c r="I2045" s="223"/>
      <c r="J2045" s="223"/>
      <c r="K2045" s="224"/>
      <c r="L2045" s="252"/>
      <c r="M2045" s="223"/>
      <c r="N2045" s="223"/>
      <c r="O2045" s="223"/>
      <c r="P2045" s="223"/>
      <c r="Q2045" s="224"/>
      <c r="R2045" s="252"/>
      <c r="S2045" s="223"/>
      <c r="T2045" s="224"/>
      <c r="U2045" s="252"/>
      <c r="V2045" s="223"/>
      <c r="W2045" s="224"/>
    </row>
    <row r="2046" spans="1:23" ht="12.75" customHeight="1">
      <c r="B2046" s="78">
        <v>7</v>
      </c>
      <c r="C2046" s="252"/>
      <c r="D2046" s="223"/>
      <c r="E2046" s="223"/>
      <c r="F2046" s="223"/>
      <c r="G2046" s="223"/>
      <c r="H2046" s="223"/>
      <c r="I2046" s="223"/>
      <c r="J2046" s="223"/>
      <c r="K2046" s="224"/>
      <c r="L2046" s="252"/>
      <c r="M2046" s="223"/>
      <c r="N2046" s="223"/>
      <c r="O2046" s="223"/>
      <c r="P2046" s="223"/>
      <c r="Q2046" s="224"/>
      <c r="R2046" s="252"/>
      <c r="S2046" s="223"/>
      <c r="T2046" s="224"/>
      <c r="U2046" s="252"/>
      <c r="V2046" s="223"/>
      <c r="W2046" s="224"/>
    </row>
    <row r="2047" spans="1:23" ht="12.75" customHeight="1"/>
    <row r="2048" spans="1:23" ht="12.75" customHeight="1"/>
    <row r="2049" spans="4:22" ht="12.75" customHeight="1">
      <c r="J2049" s="225" t="s">
        <v>480</v>
      </c>
      <c r="K2049" s="194"/>
      <c r="L2049" s="194"/>
      <c r="M2049" s="194"/>
      <c r="N2049" s="194"/>
      <c r="O2049" s="194"/>
      <c r="R2049" s="3" t="s">
        <v>971</v>
      </c>
    </row>
    <row r="2050" spans="4:22" ht="12.75" customHeight="1">
      <c r="D2050" s="64" t="s">
        <v>797</v>
      </c>
      <c r="J2050" s="225" t="s">
        <v>808</v>
      </c>
      <c r="K2050" s="194"/>
      <c r="L2050" s="194"/>
      <c r="M2050" s="194"/>
      <c r="N2050" s="194"/>
      <c r="O2050" s="194"/>
      <c r="S2050" s="64" t="s">
        <v>799</v>
      </c>
    </row>
    <row r="2051" spans="4:22" ht="12.75" customHeight="1">
      <c r="J2051" s="225" t="s">
        <v>365</v>
      </c>
      <c r="K2051" s="194"/>
      <c r="L2051" s="194"/>
      <c r="M2051" s="194"/>
      <c r="N2051" s="194"/>
      <c r="O2051" s="194"/>
    </row>
    <row r="2052" spans="4:22" ht="12.75" customHeight="1"/>
    <row r="2053" spans="4:22" ht="12.75" customHeight="1"/>
    <row r="2054" spans="4:22" ht="12.75" customHeight="1"/>
    <row r="2055" spans="4:22" ht="12.75" customHeight="1">
      <c r="D2055" s="3" t="s">
        <v>27</v>
      </c>
      <c r="K2055" s="225" t="s">
        <v>366</v>
      </c>
      <c r="L2055" s="194"/>
      <c r="M2055" s="194"/>
      <c r="N2055" s="194"/>
      <c r="Q2055" s="225" t="s">
        <v>966</v>
      </c>
      <c r="R2055" s="194"/>
      <c r="S2055" s="194"/>
      <c r="T2055" s="194"/>
      <c r="U2055" s="194"/>
      <c r="V2055" s="194"/>
    </row>
    <row r="2056" spans="4:22" ht="12.75" customHeight="1"/>
    <row r="2057" spans="4:22" ht="12.75" customHeight="1"/>
    <row r="2058" spans="4:22" ht="12.75" customHeight="1"/>
    <row r="2059" spans="4:22" ht="12.75" customHeight="1"/>
    <row r="2060" spans="4:22" ht="12.75" customHeight="1"/>
    <row r="2061" spans="4:22" ht="12.75" customHeight="1"/>
    <row r="2062" spans="4:22" ht="12.75" customHeight="1"/>
    <row r="2063" spans="4:22" ht="12.75" customHeight="1"/>
    <row r="2064" spans="4:22" ht="12.75" customHeight="1"/>
    <row r="2065" spans="2:23" ht="12.75" customHeight="1"/>
    <row r="2066" spans="2:23" ht="12.75" customHeight="1"/>
    <row r="2067" spans="2:23" ht="12.75" customHeight="1"/>
    <row r="2068" spans="2:23" ht="12.75" customHeight="1"/>
    <row r="2069" spans="2:23" ht="12.75" customHeight="1"/>
    <row r="2070" spans="2:23" ht="12.75" customHeight="1"/>
    <row r="2071" spans="2:23" ht="12.75" customHeight="1"/>
    <row r="2072" spans="2:23" ht="12.75" customHeight="1"/>
    <row r="2073" spans="2:23" ht="12.75" customHeight="1"/>
    <row r="2074" spans="2:23" ht="12.75" customHeight="1"/>
    <row r="2075" spans="2:23" ht="12.75" customHeight="1"/>
    <row r="2076" spans="2:23" ht="12.75" customHeight="1"/>
    <row r="2077" spans="2:23" ht="12.75" customHeight="1">
      <c r="T2077" s="252" t="s">
        <v>800</v>
      </c>
      <c r="U2077" s="223"/>
      <c r="V2077" s="224"/>
    </row>
    <row r="2078" spans="2:23" ht="12.75" customHeight="1">
      <c r="B2078" s="151"/>
      <c r="C2078" s="151"/>
      <c r="D2078" s="151"/>
      <c r="E2078" s="151"/>
      <c r="F2078" s="151"/>
      <c r="G2078" s="151"/>
      <c r="H2078" s="151"/>
      <c r="I2078" s="151"/>
      <c r="J2078" s="151"/>
      <c r="K2078" s="151"/>
      <c r="L2078" s="151"/>
      <c r="M2078" s="151"/>
      <c r="N2078" s="151"/>
      <c r="O2078" s="151"/>
      <c r="P2078" s="151"/>
      <c r="Q2078" s="151"/>
      <c r="R2078" s="151"/>
      <c r="S2078" s="151"/>
      <c r="T2078" s="151"/>
      <c r="U2078" s="151"/>
      <c r="V2078" s="151"/>
      <c r="W2078" s="151"/>
    </row>
    <row r="2079" spans="2:23" ht="12.75" customHeight="1"/>
    <row r="2080" spans="2:23" ht="12.75" customHeight="1">
      <c r="B2080" s="64" t="s">
        <v>770</v>
      </c>
      <c r="G2080" s="11" t="s">
        <v>10</v>
      </c>
      <c r="H2080" s="78">
        <v>3</v>
      </c>
      <c r="I2080" s="78">
        <v>3</v>
      </c>
      <c r="J2080" s="11"/>
      <c r="M2080" s="246" t="s">
        <v>418</v>
      </c>
      <c r="N2080" s="223"/>
      <c r="O2080" s="223"/>
      <c r="P2080" s="223"/>
      <c r="Q2080" s="223"/>
      <c r="R2080" s="223"/>
      <c r="S2080" s="223"/>
      <c r="T2080" s="223"/>
      <c r="U2080" s="223"/>
      <c r="V2080" s="223"/>
      <c r="W2080" s="224"/>
    </row>
    <row r="2081" spans="1:23" ht="12.75" customHeight="1">
      <c r="G2081" s="11"/>
      <c r="H2081" s="11"/>
      <c r="I2081" s="11"/>
      <c r="J2081" s="11"/>
      <c r="M2081" s="77"/>
      <c r="N2081" s="77"/>
      <c r="O2081" s="77"/>
      <c r="P2081" s="77"/>
      <c r="Q2081" s="77"/>
      <c r="R2081" s="77"/>
      <c r="S2081" s="77"/>
      <c r="T2081" s="77"/>
      <c r="U2081" s="77"/>
      <c r="V2081" s="77"/>
      <c r="W2081" s="77"/>
    </row>
    <row r="2082" spans="1:23" ht="12.75" customHeight="1">
      <c r="B2082" s="64" t="s">
        <v>105</v>
      </c>
      <c r="G2082" s="11" t="s">
        <v>10</v>
      </c>
      <c r="H2082" s="78">
        <v>2</v>
      </c>
      <c r="I2082" s="78">
        <v>7</v>
      </c>
      <c r="J2082" s="11"/>
      <c r="M2082" s="246" t="s">
        <v>106</v>
      </c>
      <c r="N2082" s="223"/>
      <c r="O2082" s="223"/>
      <c r="P2082" s="223"/>
      <c r="Q2082" s="223"/>
      <c r="R2082" s="223"/>
      <c r="S2082" s="223"/>
      <c r="T2082" s="223"/>
      <c r="U2082" s="223"/>
      <c r="V2082" s="223"/>
      <c r="W2082" s="224"/>
    </row>
    <row r="2083" spans="1:23" ht="12.75" customHeight="1">
      <c r="G2083" s="11"/>
      <c r="H2083" s="11"/>
      <c r="I2083" s="11"/>
      <c r="J2083" s="11"/>
      <c r="M2083" s="77"/>
      <c r="N2083" s="77"/>
      <c r="O2083" s="77"/>
      <c r="P2083" s="77"/>
      <c r="Q2083" s="77"/>
      <c r="R2083" s="77"/>
      <c r="S2083" s="77"/>
      <c r="T2083" s="77"/>
      <c r="U2083" s="77"/>
      <c r="V2083" s="77"/>
      <c r="W2083" s="77"/>
    </row>
    <row r="2084" spans="1:23" ht="12.75" customHeight="1">
      <c r="B2084" s="64" t="s">
        <v>103</v>
      </c>
      <c r="G2084" s="11" t="s">
        <v>10</v>
      </c>
      <c r="H2084" s="78">
        <v>4</v>
      </c>
      <c r="I2084" s="78">
        <v>0</v>
      </c>
      <c r="J2084" s="11"/>
      <c r="M2084" s="246" t="s">
        <v>104</v>
      </c>
      <c r="N2084" s="223"/>
      <c r="O2084" s="223"/>
      <c r="P2084" s="223"/>
      <c r="Q2084" s="223"/>
      <c r="R2084" s="223"/>
      <c r="S2084" s="223"/>
      <c r="T2084" s="223"/>
      <c r="U2084" s="223"/>
      <c r="V2084" s="223"/>
      <c r="W2084" s="224"/>
    </row>
    <row r="2085" spans="1:23" ht="12.75" customHeight="1">
      <c r="G2085" s="11"/>
      <c r="H2085" s="11"/>
      <c r="I2085" s="11"/>
      <c r="J2085" s="11"/>
      <c r="M2085" s="77"/>
      <c r="N2085" s="77"/>
      <c r="O2085" s="77"/>
      <c r="P2085" s="77"/>
      <c r="Q2085" s="77"/>
      <c r="R2085" s="77"/>
      <c r="S2085" s="77"/>
      <c r="T2085" s="77"/>
      <c r="U2085" s="77"/>
      <c r="V2085" s="77"/>
      <c r="W2085" s="77"/>
    </row>
    <row r="2086" spans="1:23" ht="12.75" customHeight="1">
      <c r="B2086" s="64" t="s">
        <v>771</v>
      </c>
      <c r="G2086" s="11" t="s">
        <v>10</v>
      </c>
      <c r="H2086" s="78">
        <v>0</v>
      </c>
      <c r="I2086" s="78">
        <v>1</v>
      </c>
      <c r="J2086" s="78">
        <v>1</v>
      </c>
      <c r="K2086" s="91"/>
      <c r="M2086" s="246" t="s">
        <v>102</v>
      </c>
      <c r="N2086" s="223"/>
      <c r="O2086" s="223"/>
      <c r="P2086" s="223"/>
      <c r="Q2086" s="223"/>
      <c r="R2086" s="223"/>
      <c r="S2086" s="223"/>
      <c r="T2086" s="223"/>
      <c r="U2086" s="223"/>
      <c r="V2086" s="223"/>
      <c r="W2086" s="224"/>
    </row>
    <row r="2087" spans="1:23" ht="12.75" customHeight="1">
      <c r="G2087" s="11"/>
    </row>
    <row r="2088" spans="1:23" ht="12.75" customHeight="1">
      <c r="B2088" s="64" t="s">
        <v>772</v>
      </c>
      <c r="G2088" s="11" t="s">
        <v>10</v>
      </c>
      <c r="H2088" s="246" t="s">
        <v>773</v>
      </c>
      <c r="I2088" s="223"/>
      <c r="J2088" s="223"/>
      <c r="K2088" s="223"/>
      <c r="L2088" s="223"/>
      <c r="M2088" s="223"/>
      <c r="N2088" s="223"/>
      <c r="O2088" s="223"/>
      <c r="P2088" s="223"/>
      <c r="Q2088" s="223"/>
      <c r="R2088" s="223"/>
      <c r="S2088" s="223"/>
      <c r="T2088" s="223"/>
      <c r="U2088" s="223"/>
      <c r="V2088" s="223"/>
      <c r="W2088" s="224"/>
    </row>
    <row r="2089" spans="1:23" ht="12.75" customHeight="1"/>
    <row r="2090" spans="1:23" ht="12.75" customHeight="1">
      <c r="B2090" s="196" t="s">
        <v>774</v>
      </c>
      <c r="C2090" s="194"/>
      <c r="D2090" s="194"/>
      <c r="E2090" s="194"/>
      <c r="F2090" s="194"/>
      <c r="G2090" s="194"/>
      <c r="H2090" s="194"/>
      <c r="I2090" s="194"/>
      <c r="J2090" s="194"/>
      <c r="K2090" s="194"/>
      <c r="L2090" s="194"/>
      <c r="M2090" s="194"/>
      <c r="N2090" s="194"/>
      <c r="O2090" s="194"/>
      <c r="P2090" s="194"/>
      <c r="Q2090" s="194"/>
      <c r="R2090" s="194"/>
      <c r="S2090" s="194"/>
      <c r="T2090" s="194"/>
      <c r="U2090" s="194"/>
      <c r="V2090" s="194"/>
      <c r="W2090" s="194"/>
    </row>
    <row r="2091" spans="1:23" ht="12.75" customHeight="1">
      <c r="B2091" s="225" t="s">
        <v>853</v>
      </c>
      <c r="C2091" s="194"/>
      <c r="D2091" s="194"/>
      <c r="E2091" s="194"/>
      <c r="F2091" s="194"/>
      <c r="G2091" s="194"/>
      <c r="H2091" s="194"/>
      <c r="I2091" s="194"/>
      <c r="J2091" s="194"/>
      <c r="K2091" s="194"/>
      <c r="L2091" s="194"/>
      <c r="M2091" s="194"/>
      <c r="N2091" s="194"/>
      <c r="O2091" s="194"/>
      <c r="P2091" s="194"/>
      <c r="Q2091" s="194"/>
      <c r="R2091" s="194"/>
      <c r="S2091" s="194"/>
      <c r="T2091" s="194"/>
      <c r="U2091" s="194"/>
      <c r="V2091" s="194"/>
      <c r="W2091" s="194"/>
    </row>
    <row r="2092" spans="1:23" ht="12.75" customHeight="1">
      <c r="B2092" s="225" t="s">
        <v>973</v>
      </c>
      <c r="C2092" s="194"/>
      <c r="D2092" s="194"/>
      <c r="E2092" s="194"/>
      <c r="F2092" s="194"/>
      <c r="G2092" s="194"/>
      <c r="H2092" s="194"/>
      <c r="I2092" s="194"/>
      <c r="J2092" s="194"/>
      <c r="K2092" s="194"/>
      <c r="L2092" s="194"/>
      <c r="M2092" s="194"/>
      <c r="N2092" s="194"/>
      <c r="O2092" s="194"/>
      <c r="P2092" s="194"/>
      <c r="Q2092" s="194"/>
      <c r="R2092" s="194"/>
      <c r="S2092" s="194"/>
      <c r="T2092" s="194"/>
      <c r="U2092" s="194"/>
      <c r="V2092" s="194"/>
      <c r="W2092" s="194"/>
    </row>
    <row r="2093" spans="1:23" ht="12.75" customHeight="1">
      <c r="A2093" s="11"/>
      <c r="B2093" s="38" t="s">
        <v>777</v>
      </c>
    </row>
    <row r="2094" spans="1:23" ht="12.75" customHeight="1"/>
    <row r="2095" spans="1:23" ht="12.75" customHeight="1">
      <c r="B2095" s="152" t="s">
        <v>111</v>
      </c>
      <c r="C2095" s="64" t="s">
        <v>387</v>
      </c>
      <c r="H2095" s="78">
        <v>3</v>
      </c>
      <c r="I2095" s="78">
        <v>3</v>
      </c>
      <c r="J2095" s="78">
        <v>2</v>
      </c>
      <c r="K2095" s="78">
        <v>7</v>
      </c>
      <c r="L2095" s="78">
        <v>0</v>
      </c>
      <c r="M2095" s="78">
        <v>4</v>
      </c>
      <c r="N2095" s="78">
        <v>2</v>
      </c>
      <c r="O2095" s="78">
        <v>4</v>
      </c>
      <c r="P2095" s="78">
        <v>0</v>
      </c>
      <c r="Q2095" s="78">
        <v>5</v>
      </c>
      <c r="R2095" s="78">
        <v>2</v>
      </c>
      <c r="S2095" s="78">
        <v>2</v>
      </c>
      <c r="T2095" s="78">
        <v>0</v>
      </c>
      <c r="U2095" s="78">
        <v>0</v>
      </c>
      <c r="V2095" s="78">
        <v>0</v>
      </c>
      <c r="W2095" s="78">
        <v>2</v>
      </c>
    </row>
    <row r="2096" spans="1:23" ht="12.75" customHeight="1">
      <c r="B2096" s="11"/>
    </row>
    <row r="2097" spans="2:23" ht="12.75" customHeight="1">
      <c r="B2097" s="152" t="s">
        <v>115</v>
      </c>
      <c r="C2097" s="64" t="s">
        <v>385</v>
      </c>
      <c r="H2097" s="246" t="s">
        <v>974</v>
      </c>
      <c r="I2097" s="223"/>
      <c r="J2097" s="223"/>
      <c r="K2097" s="223"/>
      <c r="L2097" s="223"/>
      <c r="M2097" s="223"/>
      <c r="N2097" s="223"/>
      <c r="O2097" s="223"/>
      <c r="P2097" s="223"/>
      <c r="Q2097" s="223"/>
      <c r="R2097" s="223"/>
      <c r="S2097" s="223"/>
      <c r="T2097" s="223"/>
      <c r="U2097" s="223"/>
      <c r="V2097" s="223"/>
      <c r="W2097" s="224"/>
    </row>
    <row r="2098" spans="2:23" ht="12.75" customHeight="1">
      <c r="B2098" s="11"/>
    </row>
    <row r="2099" spans="2:23" ht="12.75" customHeight="1">
      <c r="B2099" s="152" t="s">
        <v>118</v>
      </c>
      <c r="C2099" s="64" t="s">
        <v>345</v>
      </c>
      <c r="H2099" s="246" t="s">
        <v>102</v>
      </c>
      <c r="I2099" s="223"/>
      <c r="J2099" s="223"/>
      <c r="K2099" s="223"/>
      <c r="L2099" s="223"/>
      <c r="M2099" s="223"/>
      <c r="N2099" s="223"/>
      <c r="O2099" s="224"/>
      <c r="P2099" s="64" t="s">
        <v>675</v>
      </c>
      <c r="Q2099" s="78">
        <v>0</v>
      </c>
      <c r="R2099" s="78">
        <v>1</v>
      </c>
      <c r="S2099" s="78">
        <v>1</v>
      </c>
      <c r="T2099" s="11" t="s">
        <v>676</v>
      </c>
      <c r="U2099" s="78">
        <v>0</v>
      </c>
      <c r="V2099" s="78">
        <v>0</v>
      </c>
      <c r="W2099" s="78">
        <v>2</v>
      </c>
    </row>
    <row r="2100" spans="2:23" ht="12.75" customHeight="1">
      <c r="B2100" s="11"/>
    </row>
    <row r="2101" spans="2:23" ht="12.75" customHeight="1">
      <c r="B2101" s="11"/>
      <c r="H2101" s="64" t="s">
        <v>779</v>
      </c>
      <c r="L2101" s="246" t="s">
        <v>909</v>
      </c>
      <c r="M2101" s="223"/>
      <c r="N2101" s="223"/>
      <c r="O2101" s="223"/>
      <c r="P2101" s="223"/>
      <c r="Q2101" s="223"/>
      <c r="R2101" s="223"/>
      <c r="S2101" s="223"/>
      <c r="T2101" s="223"/>
      <c r="U2101" s="223"/>
      <c r="V2101" s="223"/>
      <c r="W2101" s="224"/>
    </row>
    <row r="2102" spans="2:23" ht="12.75" customHeight="1">
      <c r="B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</row>
    <row r="2103" spans="2:23" ht="12.75" customHeight="1">
      <c r="B2103" s="11"/>
      <c r="C2103" s="64" t="s">
        <v>414</v>
      </c>
      <c r="H2103" s="246" t="s">
        <v>102</v>
      </c>
      <c r="I2103" s="223"/>
      <c r="J2103" s="223"/>
      <c r="K2103" s="223"/>
      <c r="L2103" s="223"/>
      <c r="M2103" s="224"/>
      <c r="O2103" s="64" t="s">
        <v>562</v>
      </c>
      <c r="R2103" s="246" t="s">
        <v>106</v>
      </c>
      <c r="S2103" s="223"/>
      <c r="T2103" s="223"/>
      <c r="U2103" s="223"/>
      <c r="V2103" s="223"/>
      <c r="W2103" s="224"/>
    </row>
    <row r="2104" spans="2:23" ht="12.75" customHeight="1">
      <c r="B2104" s="11"/>
      <c r="H2104" s="77"/>
      <c r="I2104" s="77"/>
      <c r="J2104" s="77"/>
      <c r="K2104" s="77"/>
      <c r="L2104" s="77"/>
      <c r="M2104" s="77"/>
      <c r="R2104" s="77"/>
      <c r="S2104" s="77"/>
      <c r="T2104" s="77"/>
      <c r="U2104" s="77"/>
      <c r="V2104" s="77"/>
      <c r="W2104" s="77"/>
    </row>
    <row r="2105" spans="2:23" ht="12.75" customHeight="1">
      <c r="B2105" s="11"/>
      <c r="C2105" s="64" t="s">
        <v>416</v>
      </c>
      <c r="H2105" s="246" t="s">
        <v>104</v>
      </c>
      <c r="I2105" s="223"/>
      <c r="J2105" s="223"/>
      <c r="K2105" s="223"/>
      <c r="L2105" s="223"/>
      <c r="M2105" s="224"/>
      <c r="O2105" s="64" t="s">
        <v>417</v>
      </c>
      <c r="R2105" s="246" t="s">
        <v>418</v>
      </c>
      <c r="S2105" s="223"/>
      <c r="T2105" s="223"/>
      <c r="U2105" s="223"/>
      <c r="V2105" s="223"/>
      <c r="W2105" s="224"/>
    </row>
    <row r="2106" spans="2:23" ht="12.75" customHeight="1">
      <c r="B2106" s="11"/>
      <c r="H2106" s="77"/>
      <c r="I2106" s="77"/>
      <c r="J2106" s="77"/>
      <c r="K2106" s="77"/>
      <c r="L2106" s="77"/>
      <c r="M2106" s="77"/>
      <c r="R2106" s="11"/>
      <c r="S2106" s="11"/>
      <c r="T2106" s="11"/>
      <c r="U2106" s="11"/>
      <c r="V2106" s="11"/>
      <c r="W2106" s="11"/>
    </row>
    <row r="2107" spans="2:23" ht="12.75" customHeight="1">
      <c r="B2107" s="11"/>
      <c r="H2107" s="11" t="s">
        <v>674</v>
      </c>
      <c r="I2107" s="11"/>
      <c r="J2107" s="78">
        <v>5</v>
      </c>
      <c r="K2107" s="78">
        <v>2</v>
      </c>
      <c r="L2107" s="78">
        <v>3</v>
      </c>
      <c r="M2107" s="78">
        <v>5</v>
      </c>
      <c r="N2107" s="78">
        <v>7</v>
      </c>
      <c r="P2107" s="64" t="s">
        <v>680</v>
      </c>
      <c r="R2107" s="78"/>
      <c r="S2107" s="78"/>
      <c r="T2107" s="78"/>
      <c r="U2107" s="78"/>
      <c r="V2107" s="78"/>
      <c r="W2107" s="78"/>
    </row>
    <row r="2108" spans="2:23" ht="12.75" customHeight="1">
      <c r="B2108" s="11"/>
    </row>
    <row r="2109" spans="2:23" ht="12.75" customHeight="1">
      <c r="B2109" s="152" t="s">
        <v>121</v>
      </c>
      <c r="C2109" s="64" t="s">
        <v>780</v>
      </c>
      <c r="H2109" s="78">
        <v>3</v>
      </c>
      <c r="I2109" s="78">
        <v>3</v>
      </c>
      <c r="J2109" s="78">
        <v>0</v>
      </c>
      <c r="K2109" s="78">
        <v>3</v>
      </c>
      <c r="L2109" s="78">
        <v>1</v>
      </c>
      <c r="M2109" s="78">
        <v>7</v>
      </c>
      <c r="N2109" s="78">
        <v>4</v>
      </c>
      <c r="O2109" s="78">
        <v>4</v>
      </c>
      <c r="P2109" s="78">
        <v>0</v>
      </c>
      <c r="Q2109" s="78">
        <v>8</v>
      </c>
      <c r="R2109" s="78">
        <v>9</v>
      </c>
      <c r="S2109" s="78">
        <v>6</v>
      </c>
      <c r="T2109" s="78">
        <v>0</v>
      </c>
      <c r="U2109" s="78">
        <v>0</v>
      </c>
      <c r="V2109" s="78">
        <v>0</v>
      </c>
      <c r="W2109" s="78">
        <v>1</v>
      </c>
    </row>
    <row r="2110" spans="2:23" ht="12.75" customHeight="1">
      <c r="B2110" s="11"/>
    </row>
    <row r="2111" spans="2:23" ht="12.75" customHeight="1">
      <c r="B2111" s="152" t="s">
        <v>124</v>
      </c>
      <c r="C2111" s="64" t="s">
        <v>391</v>
      </c>
      <c r="H2111" s="246" t="s">
        <v>975</v>
      </c>
      <c r="I2111" s="223"/>
      <c r="J2111" s="223"/>
      <c r="K2111" s="223"/>
      <c r="L2111" s="223"/>
      <c r="M2111" s="223"/>
      <c r="N2111" s="223"/>
      <c r="O2111" s="223"/>
      <c r="P2111" s="223"/>
      <c r="Q2111" s="223"/>
      <c r="R2111" s="223"/>
      <c r="S2111" s="223"/>
      <c r="T2111" s="223"/>
      <c r="U2111" s="223"/>
      <c r="V2111" s="223"/>
      <c r="W2111" s="224"/>
    </row>
    <row r="2112" spans="2:23" ht="12.75" customHeight="1"/>
    <row r="2113" spans="1:23" ht="12.75" customHeight="1"/>
    <row r="2114" spans="1:23" ht="12.75" customHeight="1">
      <c r="B2114" s="38" t="s">
        <v>782</v>
      </c>
    </row>
    <row r="2115" spans="1:23" ht="12.75" customHeight="1"/>
    <row r="2116" spans="1:23" ht="12.75" customHeight="1">
      <c r="A2116" s="11"/>
      <c r="B2116" s="152" t="s">
        <v>111</v>
      </c>
      <c r="C2116" s="64" t="s">
        <v>783</v>
      </c>
      <c r="H2116" s="78">
        <v>2</v>
      </c>
      <c r="I2116" s="64" t="s">
        <v>784</v>
      </c>
    </row>
    <row r="2117" spans="1:23" ht="12.75" customHeight="1">
      <c r="A2117" s="11"/>
      <c r="B2117" s="11"/>
    </row>
    <row r="2118" spans="1:23" ht="12.75" customHeight="1">
      <c r="A2118" s="11"/>
      <c r="B2118" s="152" t="s">
        <v>115</v>
      </c>
      <c r="C2118" s="64" t="s">
        <v>387</v>
      </c>
      <c r="H2118" s="78"/>
      <c r="I2118" s="78"/>
      <c r="J2118" s="78"/>
      <c r="K2118" s="78"/>
      <c r="L2118" s="78"/>
      <c r="M2118" s="78"/>
      <c r="N2118" s="78"/>
      <c r="O2118" s="78"/>
      <c r="P2118" s="78"/>
      <c r="Q2118" s="78"/>
      <c r="R2118" s="78"/>
      <c r="S2118" s="78"/>
      <c r="T2118" s="78"/>
      <c r="U2118" s="78"/>
      <c r="V2118" s="78"/>
      <c r="W2118" s="78"/>
    </row>
    <row r="2119" spans="1:23" ht="12.75" customHeight="1">
      <c r="A2119" s="11"/>
      <c r="B2119" s="11"/>
    </row>
    <row r="2120" spans="1:23" ht="12.75" customHeight="1">
      <c r="A2120" s="11"/>
      <c r="B2120" s="152" t="s">
        <v>118</v>
      </c>
      <c r="C2120" s="64" t="s">
        <v>785</v>
      </c>
      <c r="H2120" s="78">
        <v>3</v>
      </c>
      <c r="I2120" s="78">
        <v>3</v>
      </c>
      <c r="J2120" s="78">
        <v>0</v>
      </c>
      <c r="K2120" s="78">
        <v>3</v>
      </c>
      <c r="L2120" s="78">
        <v>1</v>
      </c>
      <c r="M2120" s="78">
        <v>7</v>
      </c>
      <c r="N2120" s="78">
        <v>4</v>
      </c>
      <c r="O2120" s="78">
        <v>4</v>
      </c>
      <c r="P2120" s="78">
        <v>0</v>
      </c>
      <c r="Q2120" s="78">
        <v>8</v>
      </c>
      <c r="R2120" s="78">
        <v>9</v>
      </c>
      <c r="S2120" s="78">
        <v>6</v>
      </c>
      <c r="T2120" s="78">
        <v>0</v>
      </c>
      <c r="U2120" s="78">
        <v>0</v>
      </c>
      <c r="V2120" s="78">
        <v>0</v>
      </c>
      <c r="W2120" s="78">
        <v>1</v>
      </c>
    </row>
    <row r="2121" spans="1:23" ht="12.75" customHeight="1">
      <c r="A2121" s="11"/>
      <c r="B2121" s="11"/>
    </row>
    <row r="2122" spans="1:23" ht="12.75" customHeight="1">
      <c r="A2122" s="11"/>
      <c r="B2122" s="152" t="s">
        <v>121</v>
      </c>
      <c r="C2122" s="64" t="s">
        <v>385</v>
      </c>
      <c r="H2122" s="246" t="s">
        <v>975</v>
      </c>
      <c r="I2122" s="223"/>
      <c r="J2122" s="223"/>
      <c r="K2122" s="223"/>
      <c r="L2122" s="223"/>
      <c r="M2122" s="223"/>
      <c r="N2122" s="223"/>
      <c r="O2122" s="223"/>
      <c r="P2122" s="223"/>
      <c r="Q2122" s="223"/>
      <c r="R2122" s="223"/>
      <c r="S2122" s="223"/>
      <c r="T2122" s="223"/>
      <c r="U2122" s="223"/>
      <c r="V2122" s="223"/>
      <c r="W2122" s="224"/>
    </row>
    <row r="2123" spans="1:23" ht="12.75" customHeight="1">
      <c r="A2123" s="11"/>
      <c r="B2123" s="11"/>
    </row>
    <row r="2124" spans="1:23" ht="12.75" customHeight="1">
      <c r="A2124" s="11"/>
      <c r="B2124" s="152" t="s">
        <v>124</v>
      </c>
      <c r="C2124" s="64" t="s">
        <v>786</v>
      </c>
      <c r="H2124" s="78"/>
      <c r="I2124" s="78"/>
      <c r="J2124" s="11"/>
      <c r="K2124" s="78"/>
      <c r="L2124" s="78"/>
      <c r="M2124" s="11"/>
      <c r="N2124" s="78"/>
      <c r="O2124" s="78"/>
      <c r="P2124" s="78"/>
      <c r="Q2124" s="78"/>
      <c r="R2124" s="11"/>
    </row>
    <row r="2125" spans="1:23" ht="12.75" customHeight="1">
      <c r="A2125" s="11"/>
      <c r="B2125" s="11"/>
    </row>
    <row r="2126" spans="1:23" ht="12.75" customHeight="1">
      <c r="A2126" s="11"/>
      <c r="B2126" s="152" t="s">
        <v>127</v>
      </c>
      <c r="C2126" s="64" t="s">
        <v>345</v>
      </c>
      <c r="F2126" s="91"/>
      <c r="H2126" s="246" t="s">
        <v>858</v>
      </c>
      <c r="I2126" s="223"/>
      <c r="J2126" s="223"/>
      <c r="K2126" s="223"/>
      <c r="L2126" s="223"/>
      <c r="M2126" s="223"/>
      <c r="N2126" s="224"/>
      <c r="P2126" s="64" t="s">
        <v>675</v>
      </c>
      <c r="Q2126" s="78">
        <v>0</v>
      </c>
      <c r="R2126" s="78">
        <v>0</v>
      </c>
      <c r="S2126" s="78">
        <v>7</v>
      </c>
      <c r="T2126" s="11" t="s">
        <v>676</v>
      </c>
      <c r="U2126" s="78">
        <v>0</v>
      </c>
      <c r="V2126" s="78">
        <v>0</v>
      </c>
      <c r="W2126" s="78">
        <v>2</v>
      </c>
    </row>
    <row r="2127" spans="1:23" ht="12.75" customHeight="1">
      <c r="A2127" s="11"/>
      <c r="B2127" s="11"/>
    </row>
    <row r="2128" spans="1:23" ht="12.75" customHeight="1">
      <c r="A2128" s="11"/>
      <c r="B2128" s="11"/>
      <c r="F2128" s="91"/>
      <c r="H2128" s="64" t="s">
        <v>779</v>
      </c>
      <c r="L2128" s="246"/>
      <c r="M2128" s="223"/>
      <c r="N2128" s="223"/>
      <c r="O2128" s="223"/>
      <c r="P2128" s="223"/>
      <c r="Q2128" s="223"/>
      <c r="R2128" s="223"/>
      <c r="S2128" s="223"/>
      <c r="T2128" s="223"/>
      <c r="U2128" s="223"/>
      <c r="V2128" s="223"/>
      <c r="W2128" s="224"/>
    </row>
    <row r="2129" spans="1:23" ht="12.75" customHeight="1">
      <c r="A2129" s="11"/>
      <c r="B2129" s="11"/>
    </row>
    <row r="2130" spans="1:23" ht="12.75" customHeight="1">
      <c r="A2130" s="11"/>
      <c r="B2130" s="11"/>
      <c r="C2130" s="64" t="s">
        <v>414</v>
      </c>
      <c r="H2130" s="246" t="s">
        <v>858</v>
      </c>
      <c r="I2130" s="223"/>
      <c r="J2130" s="223"/>
      <c r="K2130" s="223"/>
      <c r="L2130" s="223"/>
      <c r="M2130" s="224"/>
      <c r="O2130" s="64" t="s">
        <v>562</v>
      </c>
      <c r="R2130" s="246" t="s">
        <v>860</v>
      </c>
      <c r="S2130" s="223"/>
      <c r="T2130" s="223"/>
      <c r="U2130" s="223"/>
      <c r="V2130" s="223"/>
      <c r="W2130" s="224"/>
    </row>
    <row r="2131" spans="1:23" ht="12.75" customHeight="1">
      <c r="A2131" s="11"/>
      <c r="B2131" s="11"/>
      <c r="H2131" s="77"/>
      <c r="I2131" s="77"/>
      <c r="J2131" s="77"/>
      <c r="K2131" s="77"/>
      <c r="L2131" s="77"/>
      <c r="M2131" s="77"/>
      <c r="R2131" s="77"/>
      <c r="S2131" s="77"/>
      <c r="T2131" s="77"/>
      <c r="U2131" s="77"/>
      <c r="V2131" s="77"/>
      <c r="W2131" s="77"/>
    </row>
    <row r="2132" spans="1:23" ht="12.75" customHeight="1">
      <c r="A2132" s="11"/>
      <c r="B2132" s="11"/>
      <c r="C2132" s="64" t="s">
        <v>563</v>
      </c>
      <c r="H2132" s="246" t="s">
        <v>861</v>
      </c>
      <c r="I2132" s="223"/>
      <c r="J2132" s="223"/>
      <c r="K2132" s="223"/>
      <c r="L2132" s="223"/>
      <c r="M2132" s="224"/>
      <c r="O2132" s="64" t="s">
        <v>417</v>
      </c>
      <c r="R2132" s="246" t="s">
        <v>418</v>
      </c>
      <c r="S2132" s="223"/>
      <c r="T2132" s="223"/>
      <c r="U2132" s="223"/>
      <c r="V2132" s="223"/>
      <c r="W2132" s="224"/>
    </row>
    <row r="2133" spans="1:23" ht="12.75" customHeight="1">
      <c r="A2133" s="11"/>
      <c r="B2133" s="11"/>
      <c r="H2133" s="77"/>
      <c r="I2133" s="77"/>
      <c r="J2133" s="77"/>
      <c r="K2133" s="77"/>
      <c r="L2133" s="77"/>
      <c r="M2133" s="77"/>
      <c r="R2133" s="77"/>
      <c r="S2133" s="77"/>
      <c r="T2133" s="77"/>
      <c r="U2133" s="77"/>
      <c r="V2133" s="77"/>
      <c r="W2133" s="77"/>
    </row>
    <row r="2134" spans="1:23" ht="12.75" customHeight="1">
      <c r="A2134" s="11"/>
      <c r="B2134" s="152" t="s">
        <v>130</v>
      </c>
      <c r="C2134" s="64" t="s">
        <v>790</v>
      </c>
    </row>
    <row r="2135" spans="1:23" ht="12.75" customHeight="1"/>
    <row r="2136" spans="1:23" ht="12.75" customHeight="1">
      <c r="B2136" s="104" t="s">
        <v>684</v>
      </c>
      <c r="C2136" s="275" t="s">
        <v>340</v>
      </c>
      <c r="D2136" s="223"/>
      <c r="E2136" s="223"/>
      <c r="F2136" s="223"/>
      <c r="G2136" s="223"/>
      <c r="H2136" s="223"/>
      <c r="I2136" s="223"/>
      <c r="J2136" s="223"/>
      <c r="K2136" s="224"/>
      <c r="L2136" s="275" t="s">
        <v>791</v>
      </c>
      <c r="M2136" s="223"/>
      <c r="N2136" s="223"/>
      <c r="O2136" s="223"/>
      <c r="P2136" s="223"/>
      <c r="Q2136" s="224"/>
      <c r="R2136" s="286" t="s">
        <v>792</v>
      </c>
      <c r="S2136" s="223"/>
      <c r="T2136" s="224"/>
      <c r="U2136" s="275" t="s">
        <v>793</v>
      </c>
      <c r="V2136" s="223"/>
      <c r="W2136" s="224"/>
    </row>
    <row r="2137" spans="1:23" ht="12.75" customHeight="1">
      <c r="B2137" s="78">
        <v>1</v>
      </c>
      <c r="C2137" s="288" t="s">
        <v>976</v>
      </c>
      <c r="D2137" s="223"/>
      <c r="E2137" s="223"/>
      <c r="F2137" s="223"/>
      <c r="G2137" s="223"/>
      <c r="H2137" s="223"/>
      <c r="I2137" s="223"/>
      <c r="J2137" s="223"/>
      <c r="K2137" s="224"/>
      <c r="L2137" s="246" t="s">
        <v>975</v>
      </c>
      <c r="M2137" s="223"/>
      <c r="N2137" s="223"/>
      <c r="O2137" s="223"/>
      <c r="P2137" s="223"/>
      <c r="Q2137" s="224"/>
      <c r="R2137" s="252"/>
      <c r="S2137" s="223"/>
      <c r="T2137" s="224"/>
      <c r="U2137" s="252" t="s">
        <v>817</v>
      </c>
      <c r="V2137" s="223"/>
      <c r="W2137" s="224"/>
    </row>
    <row r="2138" spans="1:23" ht="12.75" customHeight="1">
      <c r="B2138" s="78">
        <v>2</v>
      </c>
      <c r="C2138" s="246"/>
      <c r="D2138" s="223"/>
      <c r="E2138" s="223"/>
      <c r="F2138" s="223"/>
      <c r="G2138" s="223"/>
      <c r="H2138" s="223"/>
      <c r="I2138" s="223"/>
      <c r="J2138" s="223"/>
      <c r="K2138" s="224"/>
      <c r="L2138" s="246"/>
      <c r="M2138" s="223"/>
      <c r="N2138" s="223"/>
      <c r="O2138" s="223"/>
      <c r="P2138" s="223"/>
      <c r="Q2138" s="224"/>
      <c r="R2138" s="252"/>
      <c r="S2138" s="223"/>
      <c r="T2138" s="224"/>
      <c r="U2138" s="252"/>
      <c r="V2138" s="223"/>
      <c r="W2138" s="224"/>
    </row>
    <row r="2139" spans="1:23" ht="12.75" customHeight="1">
      <c r="B2139" s="78">
        <v>3</v>
      </c>
      <c r="C2139" s="252"/>
      <c r="D2139" s="223"/>
      <c r="E2139" s="223"/>
      <c r="F2139" s="223"/>
      <c r="G2139" s="223"/>
      <c r="H2139" s="223"/>
      <c r="I2139" s="223"/>
      <c r="J2139" s="223"/>
      <c r="K2139" s="224"/>
      <c r="L2139" s="252"/>
      <c r="M2139" s="223"/>
      <c r="N2139" s="223"/>
      <c r="O2139" s="223"/>
      <c r="P2139" s="223"/>
      <c r="Q2139" s="224"/>
      <c r="R2139" s="252"/>
      <c r="S2139" s="223"/>
      <c r="T2139" s="224"/>
      <c r="U2139" s="252"/>
      <c r="V2139" s="223"/>
      <c r="W2139" s="224"/>
    </row>
    <row r="2140" spans="1:23" ht="12.75" customHeight="1">
      <c r="B2140" s="78">
        <v>4</v>
      </c>
      <c r="C2140" s="252"/>
      <c r="D2140" s="223"/>
      <c r="E2140" s="223"/>
      <c r="F2140" s="223"/>
      <c r="G2140" s="223"/>
      <c r="H2140" s="223"/>
      <c r="I2140" s="223"/>
      <c r="J2140" s="223"/>
      <c r="K2140" s="224"/>
      <c r="L2140" s="252"/>
      <c r="M2140" s="223"/>
      <c r="N2140" s="223"/>
      <c r="O2140" s="223"/>
      <c r="P2140" s="223"/>
      <c r="Q2140" s="224"/>
      <c r="R2140" s="252"/>
      <c r="S2140" s="223"/>
      <c r="T2140" s="224"/>
      <c r="U2140" s="252"/>
      <c r="V2140" s="223"/>
      <c r="W2140" s="224"/>
    </row>
    <row r="2141" spans="1:23" ht="12.75" customHeight="1">
      <c r="B2141" s="78">
        <v>5</v>
      </c>
      <c r="C2141" s="252"/>
      <c r="D2141" s="223"/>
      <c r="E2141" s="223"/>
      <c r="F2141" s="223"/>
      <c r="G2141" s="223"/>
      <c r="H2141" s="223"/>
      <c r="I2141" s="223"/>
      <c r="J2141" s="223"/>
      <c r="K2141" s="224"/>
      <c r="L2141" s="252"/>
      <c r="M2141" s="223"/>
      <c r="N2141" s="223"/>
      <c r="O2141" s="223"/>
      <c r="P2141" s="223"/>
      <c r="Q2141" s="224"/>
      <c r="R2141" s="252"/>
      <c r="S2141" s="223"/>
      <c r="T2141" s="224"/>
      <c r="U2141" s="252"/>
      <c r="V2141" s="223"/>
      <c r="W2141" s="224"/>
    </row>
    <row r="2142" spans="1:23" ht="12.75" customHeight="1">
      <c r="B2142" s="78">
        <v>6</v>
      </c>
      <c r="C2142" s="252"/>
      <c r="D2142" s="223"/>
      <c r="E2142" s="223"/>
      <c r="F2142" s="223"/>
      <c r="G2142" s="223"/>
      <c r="H2142" s="223"/>
      <c r="I2142" s="223"/>
      <c r="J2142" s="223"/>
      <c r="K2142" s="224"/>
      <c r="L2142" s="252"/>
      <c r="M2142" s="223"/>
      <c r="N2142" s="223"/>
      <c r="O2142" s="223"/>
      <c r="P2142" s="223"/>
      <c r="Q2142" s="224"/>
      <c r="R2142" s="252"/>
      <c r="S2142" s="223"/>
      <c r="T2142" s="224"/>
      <c r="U2142" s="252"/>
      <c r="V2142" s="223"/>
      <c r="W2142" s="224"/>
    </row>
    <row r="2143" spans="1:23" ht="12.75" customHeight="1">
      <c r="B2143" s="78">
        <v>7</v>
      </c>
      <c r="C2143" s="252"/>
      <c r="D2143" s="223"/>
      <c r="E2143" s="223"/>
      <c r="F2143" s="223"/>
      <c r="G2143" s="223"/>
      <c r="H2143" s="223"/>
      <c r="I2143" s="223"/>
      <c r="J2143" s="223"/>
      <c r="K2143" s="224"/>
      <c r="L2143" s="252"/>
      <c r="M2143" s="223"/>
      <c r="N2143" s="223"/>
      <c r="O2143" s="223"/>
      <c r="P2143" s="223"/>
      <c r="Q2143" s="224"/>
      <c r="R2143" s="252"/>
      <c r="S2143" s="223"/>
      <c r="T2143" s="224"/>
      <c r="U2143" s="252"/>
      <c r="V2143" s="223"/>
      <c r="W2143" s="224"/>
    </row>
    <row r="2144" spans="1:23" ht="12.75" customHeight="1"/>
    <row r="2145" spans="4:21" ht="12.75" customHeight="1"/>
    <row r="2146" spans="4:21" ht="12.75" customHeight="1">
      <c r="J2146" s="225" t="s">
        <v>480</v>
      </c>
      <c r="K2146" s="194"/>
      <c r="L2146" s="194"/>
      <c r="M2146" s="194"/>
      <c r="N2146" s="194"/>
      <c r="O2146" s="194"/>
      <c r="R2146" s="3" t="s">
        <v>971</v>
      </c>
    </row>
    <row r="2147" spans="4:21" ht="12.75" customHeight="1">
      <c r="D2147" s="64" t="s">
        <v>797</v>
      </c>
      <c r="J2147" s="225" t="s">
        <v>977</v>
      </c>
      <c r="K2147" s="194"/>
      <c r="L2147" s="194"/>
      <c r="M2147" s="194"/>
      <c r="N2147" s="194"/>
      <c r="O2147" s="194"/>
      <c r="S2147" s="64" t="s">
        <v>799</v>
      </c>
    </row>
    <row r="2148" spans="4:21" ht="12.75" customHeight="1">
      <c r="J2148" s="225"/>
      <c r="K2148" s="194"/>
      <c r="L2148" s="194"/>
      <c r="M2148" s="194"/>
      <c r="N2148" s="194"/>
      <c r="O2148" s="194"/>
    </row>
    <row r="2149" spans="4:21" ht="12.75" customHeight="1"/>
    <row r="2150" spans="4:21" ht="12.75" customHeight="1"/>
    <row r="2151" spans="4:21" ht="12.75" customHeight="1"/>
    <row r="2152" spans="4:21" ht="12.75" customHeight="1">
      <c r="D2152" s="3" t="s">
        <v>27</v>
      </c>
      <c r="K2152" s="225" t="s">
        <v>275</v>
      </c>
      <c r="L2152" s="194"/>
      <c r="M2152" s="194"/>
      <c r="N2152" s="194"/>
      <c r="R2152" s="225" t="s">
        <v>975</v>
      </c>
      <c r="S2152" s="194"/>
      <c r="T2152" s="194"/>
      <c r="U2152" s="194"/>
    </row>
    <row r="2153" spans="4:21" ht="12.75" customHeight="1"/>
    <row r="2154" spans="4:21" ht="12.75" customHeight="1"/>
    <row r="2155" spans="4:21" ht="12.75" customHeight="1"/>
    <row r="2156" spans="4:21" ht="12.75" customHeight="1"/>
    <row r="2157" spans="4:21" ht="12.75" customHeight="1"/>
    <row r="2158" spans="4:21" ht="12.75" customHeight="1"/>
    <row r="2159" spans="4:21" ht="12.75" customHeight="1"/>
    <row r="2160" spans="4:21" ht="12.75" customHeight="1"/>
    <row r="2161" spans="2:23" ht="12.75" customHeight="1"/>
    <row r="2162" spans="2:23" ht="12.75" customHeight="1"/>
    <row r="2163" spans="2:23" ht="12.75" customHeight="1"/>
    <row r="2164" spans="2:23" ht="12.75" customHeight="1"/>
    <row r="2165" spans="2:23" ht="12.75" customHeight="1"/>
    <row r="2166" spans="2:23" ht="12.75" customHeight="1"/>
    <row r="2167" spans="2:23" ht="12.75" customHeight="1"/>
    <row r="2168" spans="2:23" ht="12.75" customHeight="1"/>
    <row r="2169" spans="2:23" ht="12.75" customHeight="1"/>
    <row r="2170" spans="2:23" ht="12.75" customHeight="1"/>
    <row r="2171" spans="2:23" ht="12.75" customHeight="1"/>
    <row r="2172" spans="2:23" ht="12.75" customHeight="1">
      <c r="T2172" s="252" t="s">
        <v>800</v>
      </c>
      <c r="U2172" s="223"/>
      <c r="V2172" s="224"/>
    </row>
    <row r="2173" spans="2:23" ht="12.75" customHeight="1">
      <c r="B2173" s="151"/>
      <c r="C2173" s="151"/>
      <c r="D2173" s="151"/>
      <c r="E2173" s="151"/>
      <c r="F2173" s="151"/>
      <c r="G2173" s="151"/>
      <c r="H2173" s="151"/>
      <c r="I2173" s="151"/>
      <c r="J2173" s="151"/>
      <c r="K2173" s="151"/>
      <c r="L2173" s="151"/>
      <c r="M2173" s="151"/>
      <c r="N2173" s="151"/>
      <c r="O2173" s="151"/>
      <c r="P2173" s="151"/>
      <c r="Q2173" s="151"/>
      <c r="R2173" s="151"/>
      <c r="S2173" s="151"/>
      <c r="T2173" s="151"/>
      <c r="U2173" s="151"/>
      <c r="V2173" s="151"/>
      <c r="W2173" s="151"/>
    </row>
    <row r="2174" spans="2:23" ht="12.75" customHeight="1"/>
    <row r="2175" spans="2:23" ht="12.75" customHeight="1">
      <c r="B2175" s="64" t="s">
        <v>770</v>
      </c>
      <c r="G2175" s="11" t="s">
        <v>10</v>
      </c>
      <c r="H2175" s="78">
        <v>3</v>
      </c>
      <c r="I2175" s="78">
        <v>3</v>
      </c>
      <c r="J2175" s="11"/>
      <c r="M2175" s="246" t="s">
        <v>418</v>
      </c>
      <c r="N2175" s="223"/>
      <c r="O2175" s="223"/>
      <c r="P2175" s="223"/>
      <c r="Q2175" s="223"/>
      <c r="R2175" s="223"/>
      <c r="S2175" s="223"/>
      <c r="T2175" s="223"/>
      <c r="U2175" s="223"/>
      <c r="V2175" s="223"/>
      <c r="W2175" s="224"/>
    </row>
    <row r="2176" spans="2:23" ht="12.75" customHeight="1">
      <c r="G2176" s="11"/>
      <c r="H2176" s="11"/>
      <c r="I2176" s="11"/>
      <c r="J2176" s="11"/>
      <c r="M2176" s="77"/>
      <c r="N2176" s="77"/>
      <c r="O2176" s="77"/>
      <c r="P2176" s="77"/>
      <c r="Q2176" s="77"/>
      <c r="R2176" s="77"/>
      <c r="S2176" s="77"/>
      <c r="T2176" s="77"/>
      <c r="U2176" s="77"/>
      <c r="V2176" s="77"/>
      <c r="W2176" s="77"/>
    </row>
    <row r="2177" spans="1:23" ht="12.75" customHeight="1">
      <c r="B2177" s="64" t="s">
        <v>105</v>
      </c>
      <c r="G2177" s="11" t="s">
        <v>10</v>
      </c>
      <c r="H2177" s="78">
        <v>2</v>
      </c>
      <c r="I2177" s="78">
        <v>7</v>
      </c>
      <c r="J2177" s="11"/>
      <c r="M2177" s="246" t="s">
        <v>106</v>
      </c>
      <c r="N2177" s="223"/>
      <c r="O2177" s="223"/>
      <c r="P2177" s="223"/>
      <c r="Q2177" s="223"/>
      <c r="R2177" s="223"/>
      <c r="S2177" s="223"/>
      <c r="T2177" s="223"/>
      <c r="U2177" s="223"/>
      <c r="V2177" s="223"/>
      <c r="W2177" s="224"/>
    </row>
    <row r="2178" spans="1:23" ht="12.75" customHeight="1">
      <c r="G2178" s="11"/>
      <c r="H2178" s="11"/>
      <c r="I2178" s="11"/>
      <c r="J2178" s="11"/>
      <c r="M2178" s="77"/>
      <c r="N2178" s="77"/>
      <c r="O2178" s="77"/>
      <c r="P2178" s="77"/>
      <c r="Q2178" s="77"/>
      <c r="R2178" s="77"/>
      <c r="S2178" s="77"/>
      <c r="T2178" s="77"/>
      <c r="U2178" s="77"/>
      <c r="V2178" s="77"/>
      <c r="W2178" s="77"/>
    </row>
    <row r="2179" spans="1:23" ht="12.75" customHeight="1">
      <c r="B2179" s="64" t="s">
        <v>103</v>
      </c>
      <c r="G2179" s="11" t="s">
        <v>10</v>
      </c>
      <c r="H2179" s="78">
        <v>4</v>
      </c>
      <c r="I2179" s="78">
        <v>0</v>
      </c>
      <c r="J2179" s="11"/>
      <c r="M2179" s="246" t="s">
        <v>104</v>
      </c>
      <c r="N2179" s="223"/>
      <c r="O2179" s="223"/>
      <c r="P2179" s="223"/>
      <c r="Q2179" s="223"/>
      <c r="R2179" s="223"/>
      <c r="S2179" s="223"/>
      <c r="T2179" s="223"/>
      <c r="U2179" s="223"/>
      <c r="V2179" s="223"/>
      <c r="W2179" s="224"/>
    </row>
    <row r="2180" spans="1:23" ht="12.75" customHeight="1">
      <c r="G2180" s="11"/>
      <c r="H2180" s="11"/>
      <c r="I2180" s="11"/>
      <c r="J2180" s="11"/>
      <c r="M2180" s="77"/>
      <c r="N2180" s="77"/>
      <c r="O2180" s="77"/>
      <c r="P2180" s="77"/>
      <c r="Q2180" s="77"/>
      <c r="R2180" s="77"/>
      <c r="S2180" s="77"/>
      <c r="T2180" s="77"/>
      <c r="U2180" s="77"/>
      <c r="V2180" s="77"/>
      <c r="W2180" s="77"/>
    </row>
    <row r="2181" spans="1:23" ht="12.75" customHeight="1">
      <c r="B2181" s="64" t="s">
        <v>771</v>
      </c>
      <c r="G2181" s="11" t="s">
        <v>10</v>
      </c>
      <c r="H2181" s="78">
        <v>0</v>
      </c>
      <c r="I2181" s="78">
        <v>1</v>
      </c>
      <c r="J2181" s="78">
        <v>1</v>
      </c>
      <c r="K2181" s="91"/>
      <c r="M2181" s="246" t="s">
        <v>102</v>
      </c>
      <c r="N2181" s="223"/>
      <c r="O2181" s="223"/>
      <c r="P2181" s="223"/>
      <c r="Q2181" s="223"/>
      <c r="R2181" s="223"/>
      <c r="S2181" s="223"/>
      <c r="T2181" s="223"/>
      <c r="U2181" s="223"/>
      <c r="V2181" s="223"/>
      <c r="W2181" s="224"/>
    </row>
    <row r="2182" spans="1:23" ht="12.75" customHeight="1">
      <c r="G2182" s="11"/>
    </row>
    <row r="2183" spans="1:23" ht="12.75" customHeight="1">
      <c r="B2183" s="64" t="s">
        <v>772</v>
      </c>
      <c r="G2183" s="11" t="s">
        <v>10</v>
      </c>
      <c r="H2183" s="246" t="s">
        <v>773</v>
      </c>
      <c r="I2183" s="223"/>
      <c r="J2183" s="223"/>
      <c r="K2183" s="223"/>
      <c r="L2183" s="223"/>
      <c r="M2183" s="223"/>
      <c r="N2183" s="223"/>
      <c r="O2183" s="223"/>
      <c r="P2183" s="223"/>
      <c r="Q2183" s="223"/>
      <c r="R2183" s="223"/>
      <c r="S2183" s="223"/>
      <c r="T2183" s="223"/>
      <c r="U2183" s="223"/>
      <c r="V2183" s="223"/>
      <c r="W2183" s="224"/>
    </row>
    <row r="2184" spans="1:23" ht="12.75" customHeight="1"/>
    <row r="2185" spans="1:23" ht="12.75" customHeight="1">
      <c r="B2185" s="196" t="s">
        <v>774</v>
      </c>
      <c r="C2185" s="194"/>
      <c r="D2185" s="194"/>
      <c r="E2185" s="194"/>
      <c r="F2185" s="194"/>
      <c r="G2185" s="194"/>
      <c r="H2185" s="194"/>
      <c r="I2185" s="194"/>
      <c r="J2185" s="194"/>
      <c r="K2185" s="194"/>
      <c r="L2185" s="194"/>
      <c r="M2185" s="194"/>
      <c r="N2185" s="194"/>
      <c r="O2185" s="194"/>
      <c r="P2185" s="194"/>
      <c r="Q2185" s="194"/>
      <c r="R2185" s="194"/>
      <c r="S2185" s="194"/>
      <c r="T2185" s="194"/>
      <c r="U2185" s="194"/>
      <c r="V2185" s="194"/>
      <c r="W2185" s="194"/>
    </row>
    <row r="2186" spans="1:23" ht="12.75" customHeight="1">
      <c r="B2186" s="225" t="s">
        <v>853</v>
      </c>
      <c r="C2186" s="194"/>
      <c r="D2186" s="194"/>
      <c r="E2186" s="194"/>
      <c r="F2186" s="194"/>
      <c r="G2186" s="194"/>
      <c r="H2186" s="194"/>
      <c r="I2186" s="194"/>
      <c r="J2186" s="194"/>
      <c r="K2186" s="194"/>
      <c r="L2186" s="194"/>
      <c r="M2186" s="194"/>
      <c r="N2186" s="194"/>
      <c r="O2186" s="194"/>
      <c r="P2186" s="194"/>
      <c r="Q2186" s="194"/>
      <c r="R2186" s="194"/>
      <c r="S2186" s="194"/>
      <c r="T2186" s="194"/>
      <c r="U2186" s="194"/>
      <c r="V2186" s="194"/>
      <c r="W2186" s="194"/>
    </row>
    <row r="2187" spans="1:23" ht="12.75" customHeight="1">
      <c r="B2187" s="225" t="s">
        <v>978</v>
      </c>
      <c r="C2187" s="194"/>
      <c r="D2187" s="194"/>
      <c r="E2187" s="194"/>
      <c r="F2187" s="194"/>
      <c r="G2187" s="194"/>
      <c r="H2187" s="194"/>
      <c r="I2187" s="194"/>
      <c r="J2187" s="194"/>
      <c r="K2187" s="194"/>
      <c r="L2187" s="194"/>
      <c r="M2187" s="194"/>
      <c r="N2187" s="194"/>
      <c r="O2187" s="194"/>
      <c r="P2187" s="194"/>
      <c r="Q2187" s="194"/>
      <c r="R2187" s="194"/>
      <c r="S2187" s="194"/>
      <c r="T2187" s="194"/>
      <c r="U2187" s="194"/>
      <c r="V2187" s="194"/>
      <c r="W2187" s="194"/>
    </row>
    <row r="2188" spans="1:23" ht="12.75" customHeight="1">
      <c r="A2188" s="11"/>
      <c r="B2188" s="38" t="s">
        <v>777</v>
      </c>
    </row>
    <row r="2189" spans="1:23" ht="12.75" customHeight="1"/>
    <row r="2190" spans="1:23" ht="12.75" customHeight="1">
      <c r="B2190" s="152" t="s">
        <v>111</v>
      </c>
      <c r="C2190" s="64" t="s">
        <v>387</v>
      </c>
      <c r="H2190" s="78">
        <v>3</v>
      </c>
      <c r="I2190" s="78">
        <v>3</v>
      </c>
      <c r="J2190" s="78">
        <v>2</v>
      </c>
      <c r="K2190" s="78">
        <v>7</v>
      </c>
      <c r="L2190" s="78">
        <v>0</v>
      </c>
      <c r="M2190" s="78">
        <v>4</v>
      </c>
      <c r="N2190" s="78">
        <v>1</v>
      </c>
      <c r="O2190" s="78">
        <v>7</v>
      </c>
      <c r="P2190" s="78">
        <v>0</v>
      </c>
      <c r="Q2190" s="78">
        <v>6</v>
      </c>
      <c r="R2190" s="78">
        <v>1</v>
      </c>
      <c r="S2190" s="78">
        <v>9</v>
      </c>
      <c r="T2190" s="78">
        <v>0</v>
      </c>
      <c r="U2190" s="78">
        <v>0</v>
      </c>
      <c r="V2190" s="78">
        <v>0</v>
      </c>
      <c r="W2190" s="78">
        <v>9</v>
      </c>
    </row>
    <row r="2191" spans="1:23" ht="12.75" customHeight="1">
      <c r="B2191" s="11"/>
    </row>
    <row r="2192" spans="1:23" ht="12.75" customHeight="1">
      <c r="B2192" s="152" t="s">
        <v>115</v>
      </c>
      <c r="C2192" s="64" t="s">
        <v>385</v>
      </c>
      <c r="H2192" s="246" t="s">
        <v>979</v>
      </c>
      <c r="I2192" s="223"/>
      <c r="J2192" s="223"/>
      <c r="K2192" s="223"/>
      <c r="L2192" s="223"/>
      <c r="M2192" s="223"/>
      <c r="N2192" s="223"/>
      <c r="O2192" s="223"/>
      <c r="P2192" s="223"/>
      <c r="Q2192" s="223"/>
      <c r="R2192" s="223"/>
      <c r="S2192" s="223"/>
      <c r="T2192" s="223"/>
      <c r="U2192" s="223"/>
      <c r="V2192" s="223"/>
      <c r="W2192" s="224"/>
    </row>
    <row r="2193" spans="2:23" ht="12.75" customHeight="1">
      <c r="B2193" s="11"/>
    </row>
    <row r="2194" spans="2:23" ht="12.75" customHeight="1">
      <c r="B2194" s="152" t="s">
        <v>118</v>
      </c>
      <c r="C2194" s="64" t="s">
        <v>345</v>
      </c>
      <c r="H2194" s="246" t="s">
        <v>102</v>
      </c>
      <c r="I2194" s="223"/>
      <c r="J2194" s="223"/>
      <c r="K2194" s="223"/>
      <c r="L2194" s="223"/>
      <c r="M2194" s="223"/>
      <c r="N2194" s="223"/>
      <c r="O2194" s="224"/>
      <c r="P2194" s="64" t="s">
        <v>675</v>
      </c>
      <c r="Q2194" s="78">
        <v>0</v>
      </c>
      <c r="R2194" s="78">
        <v>0</v>
      </c>
      <c r="S2194" s="78">
        <v>8</v>
      </c>
      <c r="T2194" s="11" t="s">
        <v>676</v>
      </c>
      <c r="U2194" s="78">
        <v>0</v>
      </c>
      <c r="V2194" s="78">
        <v>0</v>
      </c>
      <c r="W2194" s="78">
        <v>2</v>
      </c>
    </row>
    <row r="2195" spans="2:23" ht="12.75" customHeight="1">
      <c r="B2195" s="11"/>
    </row>
    <row r="2196" spans="2:23" ht="12.75" customHeight="1">
      <c r="B2196" s="11"/>
      <c r="H2196" s="64" t="s">
        <v>779</v>
      </c>
      <c r="L2196" s="246" t="s">
        <v>909</v>
      </c>
      <c r="M2196" s="223"/>
      <c r="N2196" s="223"/>
      <c r="O2196" s="223"/>
      <c r="P2196" s="223"/>
      <c r="Q2196" s="223"/>
      <c r="R2196" s="223"/>
      <c r="S2196" s="223"/>
      <c r="T2196" s="223"/>
      <c r="U2196" s="223"/>
      <c r="V2196" s="223"/>
      <c r="W2196" s="224"/>
    </row>
    <row r="2197" spans="2:23" ht="12.75" customHeight="1">
      <c r="B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</row>
    <row r="2198" spans="2:23" ht="12.75" customHeight="1">
      <c r="B2198" s="11"/>
      <c r="C2198" s="64" t="s">
        <v>414</v>
      </c>
      <c r="H2198" s="246" t="s">
        <v>102</v>
      </c>
      <c r="I2198" s="223"/>
      <c r="J2198" s="223"/>
      <c r="K2198" s="223"/>
      <c r="L2198" s="223"/>
      <c r="M2198" s="224"/>
      <c r="O2198" s="64" t="s">
        <v>562</v>
      </c>
      <c r="R2198" s="246" t="s">
        <v>106</v>
      </c>
      <c r="S2198" s="223"/>
      <c r="T2198" s="223"/>
      <c r="U2198" s="223"/>
      <c r="V2198" s="223"/>
      <c r="W2198" s="224"/>
    </row>
    <row r="2199" spans="2:23" ht="12.75" customHeight="1">
      <c r="B2199" s="11"/>
      <c r="H2199" s="77"/>
      <c r="I2199" s="77"/>
      <c r="J2199" s="77"/>
      <c r="K2199" s="77"/>
      <c r="L2199" s="77"/>
      <c r="M2199" s="77"/>
      <c r="R2199" s="77"/>
      <c r="S2199" s="77"/>
      <c r="T2199" s="77"/>
      <c r="U2199" s="77"/>
      <c r="V2199" s="77"/>
      <c r="W2199" s="77"/>
    </row>
    <row r="2200" spans="2:23" ht="12.75" customHeight="1">
      <c r="B2200" s="11"/>
      <c r="C2200" s="64" t="s">
        <v>416</v>
      </c>
      <c r="H2200" s="246" t="s">
        <v>104</v>
      </c>
      <c r="I2200" s="223"/>
      <c r="J2200" s="223"/>
      <c r="K2200" s="223"/>
      <c r="L2200" s="223"/>
      <c r="M2200" s="224"/>
      <c r="O2200" s="64" t="s">
        <v>417</v>
      </c>
      <c r="R2200" s="246" t="s">
        <v>418</v>
      </c>
      <c r="S2200" s="223"/>
      <c r="T2200" s="223"/>
      <c r="U2200" s="223"/>
      <c r="V2200" s="223"/>
      <c r="W2200" s="224"/>
    </row>
    <row r="2201" spans="2:23" ht="12.75" customHeight="1">
      <c r="B2201" s="11"/>
      <c r="H2201" s="77"/>
      <c r="I2201" s="77"/>
      <c r="J2201" s="77"/>
      <c r="K2201" s="77"/>
      <c r="L2201" s="77"/>
      <c r="M2201" s="77"/>
      <c r="R2201" s="11"/>
      <c r="S2201" s="11"/>
      <c r="T2201" s="11"/>
      <c r="U2201" s="11"/>
      <c r="V2201" s="11"/>
      <c r="W2201" s="11"/>
    </row>
    <row r="2202" spans="2:23" ht="12.75" customHeight="1">
      <c r="B2202" s="11"/>
      <c r="H2202" s="11" t="s">
        <v>674</v>
      </c>
      <c r="I2202" s="11"/>
      <c r="J2202" s="78">
        <v>5</v>
      </c>
      <c r="K2202" s="78">
        <v>2</v>
      </c>
      <c r="L2202" s="78">
        <v>3</v>
      </c>
      <c r="M2202" s="78">
        <v>5</v>
      </c>
      <c r="N2202" s="78">
        <v>7</v>
      </c>
      <c r="P2202" s="64" t="s">
        <v>680</v>
      </c>
      <c r="R2202" s="78"/>
      <c r="S2202" s="78"/>
      <c r="T2202" s="78"/>
      <c r="U2202" s="78"/>
      <c r="V2202" s="78"/>
      <c r="W2202" s="78"/>
    </row>
    <row r="2203" spans="2:23" ht="12.75" customHeight="1">
      <c r="B2203" s="11"/>
    </row>
    <row r="2204" spans="2:23" ht="12.75" customHeight="1">
      <c r="B2204" s="152" t="s">
        <v>121</v>
      </c>
      <c r="C2204" s="64" t="s">
        <v>780</v>
      </c>
      <c r="H2204" s="78">
        <v>3</v>
      </c>
      <c r="I2204" s="78">
        <v>3</v>
      </c>
      <c r="J2204" s="78">
        <v>2</v>
      </c>
      <c r="K2204" s="78">
        <v>7</v>
      </c>
      <c r="L2204" s="78">
        <v>0</v>
      </c>
      <c r="M2204" s="78">
        <v>4</v>
      </c>
      <c r="N2204" s="78">
        <v>2</v>
      </c>
      <c r="O2204" s="78">
        <v>8</v>
      </c>
      <c r="P2204" s="78">
        <v>0</v>
      </c>
      <c r="Q2204" s="78">
        <v>9</v>
      </c>
      <c r="R2204" s="78">
        <v>9</v>
      </c>
      <c r="S2204" s="78">
        <v>8</v>
      </c>
      <c r="T2204" s="78">
        <v>0</v>
      </c>
      <c r="U2204" s="78">
        <v>0</v>
      </c>
      <c r="V2204" s="78">
        <v>0</v>
      </c>
      <c r="W2204" s="78">
        <v>3</v>
      </c>
    </row>
    <row r="2205" spans="2:23" ht="12.75" customHeight="1">
      <c r="B2205" s="11"/>
    </row>
    <row r="2206" spans="2:23" ht="12.75" customHeight="1">
      <c r="B2206" s="152" t="s">
        <v>124</v>
      </c>
      <c r="C2206" s="64" t="s">
        <v>391</v>
      </c>
      <c r="H2206" s="246" t="s">
        <v>979</v>
      </c>
      <c r="I2206" s="223"/>
      <c r="J2206" s="223"/>
      <c r="K2206" s="223"/>
      <c r="L2206" s="223"/>
      <c r="M2206" s="223"/>
      <c r="N2206" s="223"/>
      <c r="O2206" s="223"/>
      <c r="P2206" s="223"/>
      <c r="Q2206" s="223"/>
      <c r="R2206" s="223"/>
      <c r="S2206" s="223"/>
      <c r="T2206" s="223"/>
      <c r="U2206" s="223"/>
      <c r="V2206" s="223"/>
      <c r="W2206" s="224"/>
    </row>
    <row r="2207" spans="2:23" ht="12.75" customHeight="1"/>
    <row r="2208" spans="2:23" ht="12.75" customHeight="1"/>
    <row r="2209" spans="1:23" ht="12.75" customHeight="1">
      <c r="B2209" s="38" t="s">
        <v>782</v>
      </c>
    </row>
    <row r="2210" spans="1:23" ht="12.75" customHeight="1"/>
    <row r="2211" spans="1:23" ht="12.75" customHeight="1">
      <c r="A2211" s="11"/>
      <c r="B2211" s="152" t="s">
        <v>111</v>
      </c>
      <c r="C2211" s="64" t="s">
        <v>783</v>
      </c>
      <c r="H2211" s="78">
        <v>2</v>
      </c>
      <c r="I2211" s="64" t="s">
        <v>784</v>
      </c>
    </row>
    <row r="2212" spans="1:23" ht="12.75" customHeight="1">
      <c r="A2212" s="11"/>
      <c r="B2212" s="11"/>
    </row>
    <row r="2213" spans="1:23" ht="12.75" customHeight="1">
      <c r="A2213" s="11"/>
      <c r="B2213" s="152" t="s">
        <v>115</v>
      </c>
      <c r="C2213" s="64" t="s">
        <v>387</v>
      </c>
      <c r="H2213" s="78"/>
      <c r="I2213" s="78"/>
      <c r="J2213" s="78"/>
      <c r="K2213" s="78"/>
      <c r="L2213" s="78"/>
      <c r="M2213" s="78"/>
      <c r="N2213" s="78"/>
      <c r="O2213" s="78"/>
      <c r="P2213" s="78"/>
      <c r="Q2213" s="78"/>
      <c r="R2213" s="78"/>
      <c r="S2213" s="78"/>
      <c r="T2213" s="78"/>
      <c r="U2213" s="78"/>
      <c r="V2213" s="78"/>
      <c r="W2213" s="78"/>
    </row>
    <row r="2214" spans="1:23" ht="12.75" customHeight="1">
      <c r="A2214" s="11"/>
      <c r="B2214" s="11"/>
    </row>
    <row r="2215" spans="1:23" ht="12.75" customHeight="1">
      <c r="A2215" s="11"/>
      <c r="B2215" s="152" t="s">
        <v>118</v>
      </c>
      <c r="C2215" s="64" t="s">
        <v>785</v>
      </c>
      <c r="H2215" s="78">
        <v>3</v>
      </c>
      <c r="I2215" s="78">
        <v>3</v>
      </c>
      <c r="J2215" s="78">
        <v>2</v>
      </c>
      <c r="K2215" s="78">
        <v>7</v>
      </c>
      <c r="L2215" s="78">
        <v>0</v>
      </c>
      <c r="M2215" s="78">
        <v>4</v>
      </c>
      <c r="N2215" s="78">
        <v>2</v>
      </c>
      <c r="O2215" s="78">
        <v>8</v>
      </c>
      <c r="P2215" s="78">
        <v>0</v>
      </c>
      <c r="Q2215" s="78">
        <v>9</v>
      </c>
      <c r="R2215" s="78">
        <v>9</v>
      </c>
      <c r="S2215" s="78">
        <v>8</v>
      </c>
      <c r="T2215" s="78">
        <v>0</v>
      </c>
      <c r="U2215" s="78">
        <v>0</v>
      </c>
      <c r="V2215" s="78">
        <v>0</v>
      </c>
      <c r="W2215" s="78">
        <v>3</v>
      </c>
    </row>
    <row r="2216" spans="1:23" ht="12.75" customHeight="1">
      <c r="A2216" s="11"/>
      <c r="B2216" s="11"/>
    </row>
    <row r="2217" spans="1:23" ht="12.75" customHeight="1">
      <c r="A2217" s="11"/>
      <c r="B2217" s="152" t="s">
        <v>121</v>
      </c>
      <c r="C2217" s="64" t="s">
        <v>385</v>
      </c>
      <c r="H2217" s="246" t="s">
        <v>979</v>
      </c>
      <c r="I2217" s="223"/>
      <c r="J2217" s="223"/>
      <c r="K2217" s="223"/>
      <c r="L2217" s="223"/>
      <c r="M2217" s="223"/>
      <c r="N2217" s="223"/>
      <c r="O2217" s="223"/>
      <c r="P2217" s="223"/>
      <c r="Q2217" s="223"/>
      <c r="R2217" s="223"/>
      <c r="S2217" s="223"/>
      <c r="T2217" s="223"/>
      <c r="U2217" s="223"/>
      <c r="V2217" s="223"/>
      <c r="W2217" s="224"/>
    </row>
    <row r="2218" spans="1:23" ht="12.75" customHeight="1">
      <c r="A2218" s="11"/>
      <c r="B2218" s="11"/>
    </row>
    <row r="2219" spans="1:23" ht="12.75" customHeight="1">
      <c r="A2219" s="11"/>
      <c r="B2219" s="152" t="s">
        <v>124</v>
      </c>
      <c r="C2219" s="64" t="s">
        <v>786</v>
      </c>
      <c r="H2219" s="78"/>
      <c r="I2219" s="78"/>
      <c r="J2219" s="11"/>
      <c r="K2219" s="78"/>
      <c r="L2219" s="78"/>
      <c r="M2219" s="11"/>
      <c r="N2219" s="78"/>
      <c r="O2219" s="78"/>
      <c r="P2219" s="78"/>
      <c r="Q2219" s="78"/>
      <c r="R2219" s="11"/>
    </row>
    <row r="2220" spans="1:23" ht="12.75" customHeight="1">
      <c r="A2220" s="11"/>
      <c r="B2220" s="11"/>
    </row>
    <row r="2221" spans="1:23" ht="12.75" customHeight="1">
      <c r="A2221" s="11"/>
      <c r="B2221" s="152" t="s">
        <v>127</v>
      </c>
      <c r="C2221" s="64" t="s">
        <v>345</v>
      </c>
      <c r="F2221" s="91"/>
      <c r="H2221" s="246" t="s">
        <v>980</v>
      </c>
      <c r="I2221" s="223"/>
      <c r="J2221" s="223"/>
      <c r="K2221" s="223"/>
      <c r="L2221" s="223"/>
      <c r="M2221" s="223"/>
      <c r="N2221" s="224"/>
      <c r="P2221" s="64" t="s">
        <v>675</v>
      </c>
      <c r="Q2221" s="78">
        <v>0</v>
      </c>
      <c r="R2221" s="78">
        <v>0</v>
      </c>
      <c r="S2221" s="78">
        <v>5</v>
      </c>
      <c r="T2221" s="11" t="s">
        <v>676</v>
      </c>
      <c r="U2221" s="78">
        <v>0</v>
      </c>
      <c r="V2221" s="78">
        <v>0</v>
      </c>
      <c r="W2221" s="78">
        <v>1</v>
      </c>
    </row>
    <row r="2222" spans="1:23" ht="12.75" customHeight="1">
      <c r="A2222" s="11"/>
      <c r="B2222" s="11"/>
    </row>
    <row r="2223" spans="1:23" ht="12.75" customHeight="1">
      <c r="A2223" s="11"/>
      <c r="B2223" s="11"/>
      <c r="F2223" s="91"/>
      <c r="H2223" s="64" t="s">
        <v>779</v>
      </c>
      <c r="L2223" s="246"/>
      <c r="M2223" s="223"/>
      <c r="N2223" s="223"/>
      <c r="O2223" s="223"/>
      <c r="P2223" s="223"/>
      <c r="Q2223" s="223"/>
      <c r="R2223" s="223"/>
      <c r="S2223" s="223"/>
      <c r="T2223" s="223"/>
      <c r="U2223" s="223"/>
      <c r="V2223" s="223"/>
      <c r="W2223" s="224"/>
    </row>
    <row r="2224" spans="1:23" ht="12.75" customHeight="1">
      <c r="A2224" s="11"/>
      <c r="B2224" s="11"/>
    </row>
    <row r="2225" spans="1:23" ht="12.75" customHeight="1">
      <c r="A2225" s="11"/>
      <c r="B2225" s="11"/>
      <c r="C2225" s="64" t="s">
        <v>414</v>
      </c>
      <c r="H2225" s="246" t="s">
        <v>981</v>
      </c>
      <c r="I2225" s="223"/>
      <c r="J2225" s="223"/>
      <c r="K2225" s="223"/>
      <c r="L2225" s="223"/>
      <c r="M2225" s="224"/>
      <c r="O2225" s="64" t="s">
        <v>562</v>
      </c>
      <c r="R2225" s="246" t="s">
        <v>982</v>
      </c>
      <c r="S2225" s="223"/>
      <c r="T2225" s="223"/>
      <c r="U2225" s="223"/>
      <c r="V2225" s="223"/>
      <c r="W2225" s="224"/>
    </row>
    <row r="2226" spans="1:23" ht="12.75" customHeight="1">
      <c r="A2226" s="11"/>
      <c r="B2226" s="11"/>
      <c r="H2226" s="77"/>
      <c r="I2226" s="77"/>
      <c r="J2226" s="77"/>
      <c r="K2226" s="77"/>
      <c r="L2226" s="77"/>
      <c r="M2226" s="77"/>
      <c r="R2226" s="77"/>
      <c r="S2226" s="77"/>
      <c r="T2226" s="77"/>
      <c r="U2226" s="77"/>
      <c r="V2226" s="77"/>
      <c r="W2226" s="77"/>
    </row>
    <row r="2227" spans="1:23" ht="12.75" customHeight="1">
      <c r="A2227" s="11"/>
      <c r="B2227" s="11"/>
      <c r="C2227" s="64" t="s">
        <v>563</v>
      </c>
      <c r="H2227" s="246" t="s">
        <v>983</v>
      </c>
      <c r="I2227" s="223"/>
      <c r="J2227" s="223"/>
      <c r="K2227" s="223"/>
      <c r="L2227" s="223"/>
      <c r="M2227" s="224"/>
      <c r="O2227" s="64" t="s">
        <v>417</v>
      </c>
      <c r="R2227" s="246" t="s">
        <v>984</v>
      </c>
      <c r="S2227" s="223"/>
      <c r="T2227" s="223"/>
      <c r="U2227" s="223"/>
      <c r="V2227" s="223"/>
      <c r="W2227" s="224"/>
    </row>
    <row r="2228" spans="1:23" ht="12.75" customHeight="1">
      <c r="A2228" s="11"/>
      <c r="B2228" s="11"/>
      <c r="H2228" s="77"/>
      <c r="I2228" s="77"/>
      <c r="J2228" s="77"/>
      <c r="K2228" s="77"/>
      <c r="L2228" s="77"/>
      <c r="M2228" s="77"/>
      <c r="R2228" s="77"/>
      <c r="S2228" s="77"/>
      <c r="T2228" s="77"/>
      <c r="U2228" s="77"/>
      <c r="V2228" s="77"/>
      <c r="W2228" s="77"/>
    </row>
    <row r="2229" spans="1:23" ht="12.75" customHeight="1">
      <c r="A2229" s="11"/>
      <c r="B2229" s="152" t="s">
        <v>130</v>
      </c>
      <c r="C2229" s="64" t="s">
        <v>790</v>
      </c>
    </row>
    <row r="2230" spans="1:23" ht="12.75" customHeight="1"/>
    <row r="2231" spans="1:23" ht="12.75" customHeight="1">
      <c r="B2231" s="104" t="s">
        <v>684</v>
      </c>
      <c r="C2231" s="275" t="s">
        <v>340</v>
      </c>
      <c r="D2231" s="223"/>
      <c r="E2231" s="223"/>
      <c r="F2231" s="223"/>
      <c r="G2231" s="223"/>
      <c r="H2231" s="223"/>
      <c r="I2231" s="223"/>
      <c r="J2231" s="223"/>
      <c r="K2231" s="224"/>
      <c r="L2231" s="275" t="s">
        <v>791</v>
      </c>
      <c r="M2231" s="223"/>
      <c r="N2231" s="223"/>
      <c r="O2231" s="223"/>
      <c r="P2231" s="223"/>
      <c r="Q2231" s="224"/>
      <c r="R2231" s="286" t="s">
        <v>792</v>
      </c>
      <c r="S2231" s="223"/>
      <c r="T2231" s="224"/>
      <c r="U2231" s="275" t="s">
        <v>793</v>
      </c>
      <c r="V2231" s="223"/>
      <c r="W2231" s="224"/>
    </row>
    <row r="2232" spans="1:23" ht="12.75" customHeight="1">
      <c r="B2232" s="78">
        <v>1</v>
      </c>
      <c r="C2232" s="288" t="s">
        <v>985</v>
      </c>
      <c r="D2232" s="223"/>
      <c r="E2232" s="223"/>
      <c r="F2232" s="223"/>
      <c r="G2232" s="223"/>
      <c r="H2232" s="223"/>
      <c r="I2232" s="223"/>
      <c r="J2232" s="223"/>
      <c r="K2232" s="224"/>
      <c r="L2232" s="246" t="s">
        <v>979</v>
      </c>
      <c r="M2232" s="223"/>
      <c r="N2232" s="223"/>
      <c r="O2232" s="223"/>
      <c r="P2232" s="223"/>
      <c r="Q2232" s="224"/>
      <c r="R2232" s="252"/>
      <c r="S2232" s="223"/>
      <c r="T2232" s="224"/>
      <c r="U2232" s="252" t="s">
        <v>662</v>
      </c>
      <c r="V2232" s="223"/>
      <c r="W2232" s="224"/>
    </row>
    <row r="2233" spans="1:23" ht="12.75" customHeight="1">
      <c r="B2233" s="78">
        <v>2</v>
      </c>
      <c r="C2233" s="246"/>
      <c r="D2233" s="223"/>
      <c r="E2233" s="223"/>
      <c r="F2233" s="223"/>
      <c r="G2233" s="223"/>
      <c r="H2233" s="223"/>
      <c r="I2233" s="223"/>
      <c r="J2233" s="223"/>
      <c r="K2233" s="224"/>
      <c r="L2233" s="246"/>
      <c r="M2233" s="223"/>
      <c r="N2233" s="223"/>
      <c r="O2233" s="223"/>
      <c r="P2233" s="223"/>
      <c r="Q2233" s="224"/>
      <c r="R2233" s="252"/>
      <c r="S2233" s="223"/>
      <c r="T2233" s="224"/>
      <c r="U2233" s="252"/>
      <c r="V2233" s="223"/>
      <c r="W2233" s="224"/>
    </row>
    <row r="2234" spans="1:23" ht="12.75" customHeight="1">
      <c r="B2234" s="78">
        <v>3</v>
      </c>
      <c r="C2234" s="252"/>
      <c r="D2234" s="223"/>
      <c r="E2234" s="223"/>
      <c r="F2234" s="223"/>
      <c r="G2234" s="223"/>
      <c r="H2234" s="223"/>
      <c r="I2234" s="223"/>
      <c r="J2234" s="223"/>
      <c r="K2234" s="224"/>
      <c r="L2234" s="252"/>
      <c r="M2234" s="223"/>
      <c r="N2234" s="223"/>
      <c r="O2234" s="223"/>
      <c r="P2234" s="223"/>
      <c r="Q2234" s="224"/>
      <c r="R2234" s="252"/>
      <c r="S2234" s="223"/>
      <c r="T2234" s="224"/>
      <c r="U2234" s="252"/>
      <c r="V2234" s="223"/>
      <c r="W2234" s="224"/>
    </row>
    <row r="2235" spans="1:23" ht="12.75" customHeight="1">
      <c r="B2235" s="78">
        <v>4</v>
      </c>
      <c r="C2235" s="252"/>
      <c r="D2235" s="223"/>
      <c r="E2235" s="223"/>
      <c r="F2235" s="223"/>
      <c r="G2235" s="223"/>
      <c r="H2235" s="223"/>
      <c r="I2235" s="223"/>
      <c r="J2235" s="223"/>
      <c r="K2235" s="224"/>
      <c r="L2235" s="252"/>
      <c r="M2235" s="223"/>
      <c r="N2235" s="223"/>
      <c r="O2235" s="223"/>
      <c r="P2235" s="223"/>
      <c r="Q2235" s="224"/>
      <c r="R2235" s="252"/>
      <c r="S2235" s="223"/>
      <c r="T2235" s="224"/>
      <c r="U2235" s="252"/>
      <c r="V2235" s="223"/>
      <c r="W2235" s="224"/>
    </row>
    <row r="2236" spans="1:23" ht="12.75" customHeight="1">
      <c r="B2236" s="78">
        <v>5</v>
      </c>
      <c r="C2236" s="252"/>
      <c r="D2236" s="223"/>
      <c r="E2236" s="223"/>
      <c r="F2236" s="223"/>
      <c r="G2236" s="223"/>
      <c r="H2236" s="223"/>
      <c r="I2236" s="223"/>
      <c r="J2236" s="223"/>
      <c r="K2236" s="224"/>
      <c r="L2236" s="252"/>
      <c r="M2236" s="223"/>
      <c r="N2236" s="223"/>
      <c r="O2236" s="223"/>
      <c r="P2236" s="223"/>
      <c r="Q2236" s="224"/>
      <c r="R2236" s="252"/>
      <c r="S2236" s="223"/>
      <c r="T2236" s="224"/>
      <c r="U2236" s="252"/>
      <c r="V2236" s="223"/>
      <c r="W2236" s="224"/>
    </row>
    <row r="2237" spans="1:23" ht="12.75" customHeight="1">
      <c r="B2237" s="78">
        <v>6</v>
      </c>
      <c r="C2237" s="252"/>
      <c r="D2237" s="223"/>
      <c r="E2237" s="223"/>
      <c r="F2237" s="223"/>
      <c r="G2237" s="223"/>
      <c r="H2237" s="223"/>
      <c r="I2237" s="223"/>
      <c r="J2237" s="223"/>
      <c r="K2237" s="224"/>
      <c r="L2237" s="252"/>
      <c r="M2237" s="223"/>
      <c r="N2237" s="223"/>
      <c r="O2237" s="223"/>
      <c r="P2237" s="223"/>
      <c r="Q2237" s="224"/>
      <c r="R2237" s="252"/>
      <c r="S2237" s="223"/>
      <c r="T2237" s="224"/>
      <c r="U2237" s="252"/>
      <c r="V2237" s="223"/>
      <c r="W2237" s="224"/>
    </row>
    <row r="2238" spans="1:23" ht="12.75" customHeight="1">
      <c r="B2238" s="78">
        <v>7</v>
      </c>
      <c r="C2238" s="252"/>
      <c r="D2238" s="223"/>
      <c r="E2238" s="223"/>
      <c r="F2238" s="223"/>
      <c r="G2238" s="223"/>
      <c r="H2238" s="223"/>
      <c r="I2238" s="223"/>
      <c r="J2238" s="223"/>
      <c r="K2238" s="224"/>
      <c r="L2238" s="252"/>
      <c r="M2238" s="223"/>
      <c r="N2238" s="223"/>
      <c r="O2238" s="223"/>
      <c r="P2238" s="223"/>
      <c r="Q2238" s="224"/>
      <c r="R2238" s="252"/>
      <c r="S2238" s="223"/>
      <c r="T2238" s="224"/>
      <c r="U2238" s="252"/>
      <c r="V2238" s="223"/>
      <c r="W2238" s="224"/>
    </row>
    <row r="2239" spans="1:23" ht="12.75" customHeight="1"/>
    <row r="2240" spans="1:23" ht="12.75" customHeight="1"/>
    <row r="2241" spans="4:21" ht="12.75" customHeight="1">
      <c r="J2241" s="225" t="s">
        <v>480</v>
      </c>
      <c r="K2241" s="194"/>
      <c r="L2241" s="194"/>
      <c r="M2241" s="194"/>
      <c r="N2241" s="194"/>
      <c r="O2241" s="194"/>
      <c r="R2241" s="3" t="s">
        <v>986</v>
      </c>
    </row>
    <row r="2242" spans="4:21" ht="12.75" customHeight="1">
      <c r="D2242" s="64" t="s">
        <v>797</v>
      </c>
      <c r="J2242" s="225" t="s">
        <v>885</v>
      </c>
      <c r="K2242" s="194"/>
      <c r="L2242" s="194"/>
      <c r="M2242" s="194"/>
      <c r="N2242" s="194"/>
      <c r="O2242" s="194"/>
      <c r="S2242" s="64" t="s">
        <v>799</v>
      </c>
    </row>
    <row r="2243" spans="4:21" ht="12.75" customHeight="1">
      <c r="J2243" s="225" t="s">
        <v>365</v>
      </c>
      <c r="K2243" s="194"/>
      <c r="L2243" s="194"/>
      <c r="M2243" s="194"/>
      <c r="N2243" s="194"/>
      <c r="O2243" s="194"/>
    </row>
    <row r="2244" spans="4:21" ht="12.75" customHeight="1"/>
    <row r="2245" spans="4:21" ht="12.75" customHeight="1"/>
    <row r="2246" spans="4:21" ht="12.75" customHeight="1"/>
    <row r="2247" spans="4:21" ht="12.75" customHeight="1">
      <c r="D2247" s="3" t="s">
        <v>27</v>
      </c>
      <c r="K2247" s="225" t="s">
        <v>366</v>
      </c>
      <c r="L2247" s="194"/>
      <c r="M2247" s="194"/>
      <c r="N2247" s="194"/>
      <c r="R2247" s="225" t="s">
        <v>979</v>
      </c>
      <c r="S2247" s="194"/>
      <c r="T2247" s="194"/>
      <c r="U2247" s="194"/>
    </row>
    <row r="2248" spans="4:21" ht="12.75" customHeight="1"/>
    <row r="2249" spans="4:21" ht="12.75" customHeight="1"/>
    <row r="2250" spans="4:21" ht="12.75" customHeight="1"/>
    <row r="2251" spans="4:21" ht="12.75" customHeight="1"/>
    <row r="2252" spans="4:21" ht="12.75" customHeight="1"/>
    <row r="2253" spans="4:21" ht="12.75" customHeight="1"/>
    <row r="2254" spans="4:21" ht="12.75" customHeight="1"/>
    <row r="2255" spans="4:21" ht="12.75" customHeight="1"/>
    <row r="2256" spans="4:21" ht="12.75" customHeight="1"/>
    <row r="2257" spans="2:23" ht="12.75" customHeight="1"/>
    <row r="2258" spans="2:23" ht="12.75" customHeight="1"/>
    <row r="2259" spans="2:23" ht="12.75" customHeight="1"/>
    <row r="2260" spans="2:23" ht="12.75" customHeight="1"/>
    <row r="2261" spans="2:23" ht="12.75" customHeight="1"/>
    <row r="2262" spans="2:23" ht="12.75" customHeight="1"/>
    <row r="2263" spans="2:23" ht="12.75" customHeight="1"/>
    <row r="2264" spans="2:23" ht="12.75" customHeight="1"/>
    <row r="2265" spans="2:23" ht="12.75" customHeight="1"/>
    <row r="2266" spans="2:23" ht="12.75" customHeight="1">
      <c r="T2266" s="252" t="s">
        <v>800</v>
      </c>
      <c r="U2266" s="223"/>
      <c r="V2266" s="224"/>
    </row>
    <row r="2267" spans="2:23" ht="12.75" customHeight="1">
      <c r="B2267" s="151"/>
      <c r="C2267" s="151"/>
      <c r="D2267" s="151"/>
      <c r="E2267" s="151"/>
      <c r="F2267" s="151"/>
      <c r="G2267" s="151"/>
      <c r="H2267" s="151"/>
      <c r="I2267" s="151"/>
      <c r="J2267" s="151"/>
      <c r="K2267" s="151"/>
      <c r="L2267" s="151"/>
      <c r="M2267" s="151"/>
      <c r="N2267" s="151"/>
      <c r="O2267" s="151"/>
      <c r="P2267" s="151"/>
      <c r="Q2267" s="151"/>
      <c r="R2267" s="151"/>
      <c r="S2267" s="151"/>
      <c r="T2267" s="151"/>
      <c r="U2267" s="151"/>
      <c r="V2267" s="151"/>
      <c r="W2267" s="151"/>
    </row>
    <row r="2268" spans="2:23" ht="12.75" customHeight="1"/>
    <row r="2269" spans="2:23" ht="12.75" customHeight="1">
      <c r="B2269" s="64" t="s">
        <v>770</v>
      </c>
      <c r="G2269" s="11" t="s">
        <v>10</v>
      </c>
      <c r="H2269" s="78">
        <v>3</v>
      </c>
      <c r="I2269" s="78">
        <v>3</v>
      </c>
      <c r="J2269" s="11"/>
      <c r="M2269" s="246" t="s">
        <v>418</v>
      </c>
      <c r="N2269" s="223"/>
      <c r="O2269" s="223"/>
      <c r="P2269" s="223"/>
      <c r="Q2269" s="223"/>
      <c r="R2269" s="223"/>
      <c r="S2269" s="223"/>
      <c r="T2269" s="223"/>
      <c r="U2269" s="223"/>
      <c r="V2269" s="223"/>
      <c r="W2269" s="224"/>
    </row>
    <row r="2270" spans="2:23" ht="12.75" customHeight="1">
      <c r="G2270" s="11"/>
      <c r="H2270" s="11"/>
      <c r="I2270" s="11"/>
      <c r="J2270" s="11"/>
      <c r="M2270" s="77"/>
      <c r="N2270" s="77"/>
      <c r="O2270" s="77"/>
      <c r="P2270" s="77"/>
      <c r="Q2270" s="77"/>
      <c r="R2270" s="77"/>
      <c r="S2270" s="77"/>
      <c r="T2270" s="77"/>
      <c r="U2270" s="77"/>
      <c r="V2270" s="77"/>
      <c r="W2270" s="77"/>
    </row>
    <row r="2271" spans="2:23" ht="12.75" customHeight="1">
      <c r="B2271" s="64" t="s">
        <v>105</v>
      </c>
      <c r="G2271" s="11" t="s">
        <v>10</v>
      </c>
      <c r="H2271" s="78">
        <v>2</v>
      </c>
      <c r="I2271" s="78">
        <v>7</v>
      </c>
      <c r="J2271" s="11"/>
      <c r="M2271" s="246" t="s">
        <v>106</v>
      </c>
      <c r="N2271" s="223"/>
      <c r="O2271" s="223"/>
      <c r="P2271" s="223"/>
      <c r="Q2271" s="223"/>
      <c r="R2271" s="223"/>
      <c r="S2271" s="223"/>
      <c r="T2271" s="223"/>
      <c r="U2271" s="223"/>
      <c r="V2271" s="223"/>
      <c r="W2271" s="224"/>
    </row>
    <row r="2272" spans="2:23" ht="12.75" customHeight="1">
      <c r="G2272" s="11"/>
      <c r="H2272" s="11"/>
      <c r="I2272" s="11"/>
      <c r="J2272" s="11"/>
      <c r="M2272" s="77"/>
      <c r="N2272" s="77"/>
      <c r="O2272" s="77"/>
      <c r="P2272" s="77"/>
      <c r="Q2272" s="77"/>
      <c r="R2272" s="77"/>
      <c r="S2272" s="77"/>
      <c r="T2272" s="77"/>
      <c r="U2272" s="77"/>
      <c r="V2272" s="77"/>
      <c r="W2272" s="77"/>
    </row>
    <row r="2273" spans="1:23" ht="12.75" customHeight="1">
      <c r="B2273" s="64" t="s">
        <v>103</v>
      </c>
      <c r="G2273" s="11" t="s">
        <v>10</v>
      </c>
      <c r="H2273" s="78">
        <v>4</v>
      </c>
      <c r="I2273" s="78">
        <v>0</v>
      </c>
      <c r="J2273" s="11"/>
      <c r="M2273" s="246" t="s">
        <v>104</v>
      </c>
      <c r="N2273" s="223"/>
      <c r="O2273" s="223"/>
      <c r="P2273" s="223"/>
      <c r="Q2273" s="223"/>
      <c r="R2273" s="223"/>
      <c r="S2273" s="223"/>
      <c r="T2273" s="223"/>
      <c r="U2273" s="223"/>
      <c r="V2273" s="223"/>
      <c r="W2273" s="224"/>
    </row>
    <row r="2274" spans="1:23" ht="12.75" customHeight="1">
      <c r="G2274" s="11"/>
      <c r="H2274" s="11"/>
      <c r="I2274" s="11"/>
      <c r="J2274" s="11"/>
      <c r="M2274" s="77"/>
      <c r="N2274" s="77"/>
      <c r="O2274" s="77"/>
      <c r="P2274" s="77"/>
      <c r="Q2274" s="77"/>
      <c r="R2274" s="77"/>
      <c r="S2274" s="77"/>
      <c r="T2274" s="77"/>
      <c r="U2274" s="77"/>
      <c r="V2274" s="77"/>
      <c r="W2274" s="77"/>
    </row>
    <row r="2275" spans="1:23" ht="12.75" customHeight="1">
      <c r="B2275" s="64" t="s">
        <v>771</v>
      </c>
      <c r="G2275" s="11" t="s">
        <v>10</v>
      </c>
      <c r="H2275" s="78">
        <v>0</v>
      </c>
      <c r="I2275" s="78">
        <v>1</v>
      </c>
      <c r="J2275" s="78">
        <v>1</v>
      </c>
      <c r="K2275" s="91"/>
      <c r="M2275" s="246" t="s">
        <v>102</v>
      </c>
      <c r="N2275" s="223"/>
      <c r="O2275" s="223"/>
      <c r="P2275" s="223"/>
      <c r="Q2275" s="223"/>
      <c r="R2275" s="223"/>
      <c r="S2275" s="223"/>
      <c r="T2275" s="223"/>
      <c r="U2275" s="223"/>
      <c r="V2275" s="223"/>
      <c r="W2275" s="224"/>
    </row>
    <row r="2276" spans="1:23" ht="12.75" customHeight="1">
      <c r="G2276" s="11"/>
    </row>
    <row r="2277" spans="1:23" ht="12.75" customHeight="1">
      <c r="B2277" s="64" t="s">
        <v>772</v>
      </c>
      <c r="G2277" s="11" t="s">
        <v>10</v>
      </c>
      <c r="H2277" s="246" t="s">
        <v>773</v>
      </c>
      <c r="I2277" s="223"/>
      <c r="J2277" s="223"/>
      <c r="K2277" s="223"/>
      <c r="L2277" s="223"/>
      <c r="M2277" s="223"/>
      <c r="N2277" s="223"/>
      <c r="O2277" s="223"/>
      <c r="P2277" s="223"/>
      <c r="Q2277" s="223"/>
      <c r="R2277" s="223"/>
      <c r="S2277" s="223"/>
      <c r="T2277" s="223"/>
      <c r="U2277" s="223"/>
      <c r="V2277" s="223"/>
      <c r="W2277" s="224"/>
    </row>
    <row r="2278" spans="1:23" ht="12.75" customHeight="1"/>
    <row r="2279" spans="1:23" ht="12.75" customHeight="1">
      <c r="B2279" s="196" t="s">
        <v>774</v>
      </c>
      <c r="C2279" s="194"/>
      <c r="D2279" s="194"/>
      <c r="E2279" s="194"/>
      <c r="F2279" s="194"/>
      <c r="G2279" s="194"/>
      <c r="H2279" s="194"/>
      <c r="I2279" s="194"/>
      <c r="J2279" s="194"/>
      <c r="K2279" s="194"/>
      <c r="L2279" s="194"/>
      <c r="M2279" s="194"/>
      <c r="N2279" s="194"/>
      <c r="O2279" s="194"/>
      <c r="P2279" s="194"/>
      <c r="Q2279" s="194"/>
      <c r="R2279" s="194"/>
      <c r="S2279" s="194"/>
      <c r="T2279" s="194"/>
      <c r="U2279" s="194"/>
      <c r="V2279" s="194"/>
      <c r="W2279" s="194"/>
    </row>
    <row r="2280" spans="1:23" ht="12.75" customHeight="1">
      <c r="B2280" s="225" t="s">
        <v>853</v>
      </c>
      <c r="C2280" s="194"/>
      <c r="D2280" s="194"/>
      <c r="E2280" s="194"/>
      <c r="F2280" s="194"/>
      <c r="G2280" s="194"/>
      <c r="H2280" s="194"/>
      <c r="I2280" s="194"/>
      <c r="J2280" s="194"/>
      <c r="K2280" s="194"/>
      <c r="L2280" s="194"/>
      <c r="M2280" s="194"/>
      <c r="N2280" s="194"/>
      <c r="O2280" s="194"/>
      <c r="P2280" s="194"/>
      <c r="Q2280" s="194"/>
      <c r="R2280" s="194"/>
      <c r="S2280" s="194"/>
      <c r="T2280" s="194"/>
      <c r="U2280" s="194"/>
      <c r="V2280" s="194"/>
      <c r="W2280" s="194"/>
    </row>
    <row r="2281" spans="1:23" ht="12.75" customHeight="1">
      <c r="B2281" s="225" t="s">
        <v>987</v>
      </c>
      <c r="C2281" s="194"/>
      <c r="D2281" s="194"/>
      <c r="E2281" s="194"/>
      <c r="F2281" s="194"/>
      <c r="G2281" s="194"/>
      <c r="H2281" s="194"/>
      <c r="I2281" s="194"/>
      <c r="J2281" s="194"/>
      <c r="K2281" s="194"/>
      <c r="L2281" s="194"/>
      <c r="M2281" s="194"/>
      <c r="N2281" s="194"/>
      <c r="O2281" s="194"/>
      <c r="P2281" s="194"/>
      <c r="Q2281" s="194"/>
      <c r="R2281" s="194"/>
      <c r="S2281" s="194"/>
      <c r="T2281" s="194"/>
      <c r="U2281" s="194"/>
      <c r="V2281" s="194"/>
      <c r="W2281" s="194"/>
    </row>
    <row r="2282" spans="1:23" ht="12.75" customHeight="1">
      <c r="A2282" s="11"/>
      <c r="B2282" s="38" t="s">
        <v>777</v>
      </c>
    </row>
    <row r="2283" spans="1:23" ht="12.75" customHeight="1"/>
    <row r="2284" spans="1:23" ht="12.75" customHeight="1">
      <c r="B2284" s="152" t="s">
        <v>111</v>
      </c>
      <c r="C2284" s="64" t="s">
        <v>387</v>
      </c>
      <c r="H2284" s="78">
        <v>3</v>
      </c>
      <c r="I2284" s="78">
        <v>3</v>
      </c>
      <c r="J2284" s="78">
        <v>2</v>
      </c>
      <c r="K2284" s="78">
        <v>7</v>
      </c>
      <c r="L2284" s="78">
        <v>0</v>
      </c>
      <c r="M2284" s="78">
        <v>4</v>
      </c>
      <c r="N2284" s="78">
        <v>1</v>
      </c>
      <c r="O2284" s="78">
        <v>9</v>
      </c>
      <c r="P2284" s="78">
        <v>1</v>
      </c>
      <c r="Q2284" s="78">
        <v>0</v>
      </c>
      <c r="R2284" s="78">
        <v>2</v>
      </c>
      <c r="S2284" s="78">
        <v>0</v>
      </c>
      <c r="T2284" s="78">
        <v>0</v>
      </c>
      <c r="U2284" s="78">
        <v>0</v>
      </c>
      <c r="V2284" s="78">
        <v>0</v>
      </c>
      <c r="W2284" s="78">
        <v>7</v>
      </c>
    </row>
    <row r="2285" spans="1:23" ht="12.75" customHeight="1">
      <c r="B2285" s="11"/>
    </row>
    <row r="2286" spans="1:23" ht="12.75" customHeight="1">
      <c r="B2286" s="152" t="s">
        <v>115</v>
      </c>
      <c r="C2286" s="64" t="s">
        <v>385</v>
      </c>
      <c r="H2286" s="246" t="s">
        <v>988</v>
      </c>
      <c r="I2286" s="223"/>
      <c r="J2286" s="223"/>
      <c r="K2286" s="223"/>
      <c r="L2286" s="223"/>
      <c r="M2286" s="223"/>
      <c r="N2286" s="223"/>
      <c r="O2286" s="223"/>
      <c r="P2286" s="223"/>
      <c r="Q2286" s="223"/>
      <c r="R2286" s="223"/>
      <c r="S2286" s="223"/>
      <c r="T2286" s="223"/>
      <c r="U2286" s="223"/>
      <c r="V2286" s="223"/>
      <c r="W2286" s="224"/>
    </row>
    <row r="2287" spans="1:23" ht="12.75" customHeight="1">
      <c r="B2287" s="11"/>
    </row>
    <row r="2288" spans="1:23" ht="12.75" customHeight="1">
      <c r="B2288" s="152" t="s">
        <v>118</v>
      </c>
      <c r="C2288" s="64" t="s">
        <v>345</v>
      </c>
      <c r="H2288" s="246" t="s">
        <v>102</v>
      </c>
      <c r="I2288" s="223"/>
      <c r="J2288" s="223"/>
      <c r="K2288" s="223"/>
      <c r="L2288" s="223"/>
      <c r="M2288" s="223"/>
      <c r="N2288" s="223"/>
      <c r="O2288" s="224"/>
      <c r="P2288" s="64" t="s">
        <v>675</v>
      </c>
      <c r="Q2288" s="78">
        <v>0</v>
      </c>
      <c r="R2288" s="78">
        <v>0</v>
      </c>
      <c r="S2288" s="78">
        <v>5</v>
      </c>
      <c r="T2288" s="11" t="s">
        <v>676</v>
      </c>
      <c r="U2288" s="78">
        <v>0</v>
      </c>
      <c r="V2288" s="78">
        <v>0</v>
      </c>
      <c r="W2288" s="78">
        <v>1</v>
      </c>
    </row>
    <row r="2289" spans="2:23" ht="12.75" customHeight="1">
      <c r="B2289" s="11"/>
    </row>
    <row r="2290" spans="2:23" ht="12.75" customHeight="1">
      <c r="B2290" s="11"/>
      <c r="H2290" s="64" t="s">
        <v>779</v>
      </c>
      <c r="L2290" s="246" t="s">
        <v>909</v>
      </c>
      <c r="M2290" s="223"/>
      <c r="N2290" s="223"/>
      <c r="O2290" s="223"/>
      <c r="P2290" s="223"/>
      <c r="Q2290" s="223"/>
      <c r="R2290" s="223"/>
      <c r="S2290" s="223"/>
      <c r="T2290" s="223"/>
      <c r="U2290" s="223"/>
      <c r="V2290" s="223"/>
      <c r="W2290" s="224"/>
    </row>
    <row r="2291" spans="2:23" ht="12.75" customHeight="1">
      <c r="B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</row>
    <row r="2292" spans="2:23" ht="12.75" customHeight="1">
      <c r="B2292" s="11"/>
      <c r="C2292" s="64" t="s">
        <v>414</v>
      </c>
      <c r="H2292" s="246" t="s">
        <v>102</v>
      </c>
      <c r="I2292" s="223"/>
      <c r="J2292" s="223"/>
      <c r="K2292" s="223"/>
      <c r="L2292" s="223"/>
      <c r="M2292" s="224"/>
      <c r="O2292" s="64" t="s">
        <v>562</v>
      </c>
      <c r="R2292" s="246" t="s">
        <v>106</v>
      </c>
      <c r="S2292" s="223"/>
      <c r="T2292" s="223"/>
      <c r="U2292" s="223"/>
      <c r="V2292" s="223"/>
      <c r="W2292" s="224"/>
    </row>
    <row r="2293" spans="2:23" ht="12.75" customHeight="1">
      <c r="B2293" s="11"/>
      <c r="H2293" s="77"/>
      <c r="I2293" s="77"/>
      <c r="J2293" s="77"/>
      <c r="K2293" s="77"/>
      <c r="L2293" s="77"/>
      <c r="M2293" s="77"/>
      <c r="R2293" s="77"/>
      <c r="S2293" s="77"/>
      <c r="T2293" s="77"/>
      <c r="U2293" s="77"/>
      <c r="V2293" s="77"/>
      <c r="W2293" s="77"/>
    </row>
    <row r="2294" spans="2:23" ht="12.75" customHeight="1">
      <c r="B2294" s="11"/>
      <c r="C2294" s="64" t="s">
        <v>416</v>
      </c>
      <c r="H2294" s="246" t="s">
        <v>104</v>
      </c>
      <c r="I2294" s="223"/>
      <c r="J2294" s="223"/>
      <c r="K2294" s="223"/>
      <c r="L2294" s="223"/>
      <c r="M2294" s="224"/>
      <c r="O2294" s="64" t="s">
        <v>417</v>
      </c>
      <c r="R2294" s="246" t="s">
        <v>418</v>
      </c>
      <c r="S2294" s="223"/>
      <c r="T2294" s="223"/>
      <c r="U2294" s="223"/>
      <c r="V2294" s="223"/>
      <c r="W2294" s="224"/>
    </row>
    <row r="2295" spans="2:23" ht="12.75" customHeight="1">
      <c r="B2295" s="11"/>
      <c r="H2295" s="77"/>
      <c r="I2295" s="77"/>
      <c r="J2295" s="77"/>
      <c r="K2295" s="77"/>
      <c r="L2295" s="77"/>
      <c r="M2295" s="77"/>
      <c r="R2295" s="11"/>
      <c r="S2295" s="11"/>
      <c r="T2295" s="11"/>
      <c r="U2295" s="11"/>
      <c r="V2295" s="11"/>
      <c r="W2295" s="11"/>
    </row>
    <row r="2296" spans="2:23" ht="12.75" customHeight="1">
      <c r="B2296" s="11"/>
      <c r="H2296" s="11" t="s">
        <v>674</v>
      </c>
      <c r="I2296" s="11"/>
      <c r="J2296" s="78">
        <v>5</v>
      </c>
      <c r="K2296" s="78">
        <v>2</v>
      </c>
      <c r="L2296" s="78">
        <v>3</v>
      </c>
      <c r="M2296" s="78">
        <v>5</v>
      </c>
      <c r="N2296" s="78">
        <v>7</v>
      </c>
      <c r="P2296" s="64" t="s">
        <v>680</v>
      </c>
      <c r="R2296" s="78"/>
      <c r="S2296" s="78"/>
      <c r="T2296" s="78"/>
      <c r="U2296" s="78"/>
      <c r="V2296" s="78"/>
      <c r="W2296" s="78"/>
    </row>
    <row r="2297" spans="2:23" ht="12.75" customHeight="1">
      <c r="B2297" s="11"/>
    </row>
    <row r="2298" spans="2:23" ht="12.75" customHeight="1">
      <c r="B2298" s="152" t="s">
        <v>121</v>
      </c>
      <c r="C2298" s="64" t="s">
        <v>780</v>
      </c>
      <c r="H2298" s="78">
        <v>3</v>
      </c>
      <c r="I2298" s="78">
        <v>3</v>
      </c>
      <c r="J2298" s="78">
        <v>2</v>
      </c>
      <c r="K2298" s="78">
        <v>7</v>
      </c>
      <c r="L2298" s="78">
        <v>0</v>
      </c>
      <c r="M2298" s="78">
        <v>4</v>
      </c>
      <c r="N2298" s="78">
        <v>2</v>
      </c>
      <c r="O2298" s="78">
        <v>2</v>
      </c>
      <c r="P2298" s="78">
        <v>0</v>
      </c>
      <c r="Q2298" s="78">
        <v>3</v>
      </c>
      <c r="R2298" s="78">
        <v>8</v>
      </c>
      <c r="S2298" s="78">
        <v>9</v>
      </c>
      <c r="T2298" s="78">
        <v>0</v>
      </c>
      <c r="U2298" s="78">
        <v>0</v>
      </c>
      <c r="V2298" s="78">
        <v>0</v>
      </c>
      <c r="W2298" s="78">
        <v>1</v>
      </c>
    </row>
    <row r="2299" spans="2:23" ht="12.75" customHeight="1">
      <c r="B2299" s="11"/>
    </row>
    <row r="2300" spans="2:23" ht="12.75" customHeight="1">
      <c r="B2300" s="152" t="s">
        <v>124</v>
      </c>
      <c r="C2300" s="64" t="s">
        <v>391</v>
      </c>
      <c r="H2300" s="246" t="s">
        <v>988</v>
      </c>
      <c r="I2300" s="223"/>
      <c r="J2300" s="223"/>
      <c r="K2300" s="223"/>
      <c r="L2300" s="223"/>
      <c r="M2300" s="223"/>
      <c r="N2300" s="223"/>
      <c r="O2300" s="223"/>
      <c r="P2300" s="223"/>
      <c r="Q2300" s="223"/>
      <c r="R2300" s="223"/>
      <c r="S2300" s="223"/>
      <c r="T2300" s="223"/>
      <c r="U2300" s="223"/>
      <c r="V2300" s="223"/>
      <c r="W2300" s="224"/>
    </row>
    <row r="2301" spans="2:23" ht="12.75" customHeight="1"/>
    <row r="2302" spans="2:23" ht="12.75" customHeight="1"/>
    <row r="2303" spans="2:23" ht="12.75" customHeight="1">
      <c r="B2303" s="38" t="s">
        <v>782</v>
      </c>
    </row>
    <row r="2304" spans="2:23" ht="12.75" customHeight="1"/>
    <row r="2305" spans="1:23" ht="12.75" customHeight="1">
      <c r="A2305" s="11"/>
      <c r="B2305" s="152" t="s">
        <v>111</v>
      </c>
      <c r="C2305" s="64" t="s">
        <v>783</v>
      </c>
      <c r="H2305" s="78">
        <v>2</v>
      </c>
      <c r="I2305" s="64" t="s">
        <v>784</v>
      </c>
    </row>
    <row r="2306" spans="1:23" ht="12.75" customHeight="1">
      <c r="A2306" s="11"/>
      <c r="B2306" s="11"/>
    </row>
    <row r="2307" spans="1:23" ht="12.75" customHeight="1">
      <c r="A2307" s="11"/>
      <c r="B2307" s="152" t="s">
        <v>115</v>
      </c>
      <c r="C2307" s="64" t="s">
        <v>387</v>
      </c>
      <c r="H2307" s="78"/>
      <c r="I2307" s="78"/>
      <c r="J2307" s="78"/>
      <c r="K2307" s="78"/>
      <c r="L2307" s="78"/>
      <c r="M2307" s="78"/>
      <c r="N2307" s="78"/>
      <c r="O2307" s="78"/>
      <c r="P2307" s="78"/>
      <c r="Q2307" s="78"/>
      <c r="R2307" s="78"/>
      <c r="S2307" s="78"/>
      <c r="T2307" s="78"/>
      <c r="U2307" s="78"/>
      <c r="V2307" s="78"/>
      <c r="W2307" s="78"/>
    </row>
    <row r="2308" spans="1:23" ht="12.75" customHeight="1">
      <c r="A2308" s="11"/>
      <c r="B2308" s="11"/>
    </row>
    <row r="2309" spans="1:23" ht="12.75" customHeight="1">
      <c r="A2309" s="11"/>
      <c r="B2309" s="152" t="s">
        <v>118</v>
      </c>
      <c r="C2309" s="64" t="s">
        <v>785</v>
      </c>
      <c r="H2309" s="78">
        <v>3</v>
      </c>
      <c r="I2309" s="78">
        <v>3</v>
      </c>
      <c r="J2309" s="78">
        <v>2</v>
      </c>
      <c r="K2309" s="78">
        <v>7</v>
      </c>
      <c r="L2309" s="78">
        <v>0</v>
      </c>
      <c r="M2309" s="78">
        <v>4</v>
      </c>
      <c r="N2309" s="78">
        <v>2</v>
      </c>
      <c r="O2309" s="78">
        <v>2</v>
      </c>
      <c r="P2309" s="78">
        <v>0</v>
      </c>
      <c r="Q2309" s="78">
        <v>3</v>
      </c>
      <c r="R2309" s="78">
        <v>8</v>
      </c>
      <c r="S2309" s="78">
        <v>9</v>
      </c>
      <c r="T2309" s="78">
        <v>0</v>
      </c>
      <c r="U2309" s="78">
        <v>0</v>
      </c>
      <c r="V2309" s="78">
        <v>0</v>
      </c>
      <c r="W2309" s="78">
        <v>1</v>
      </c>
    </row>
    <row r="2310" spans="1:23" ht="12.75" customHeight="1">
      <c r="A2310" s="11"/>
      <c r="B2310" s="11"/>
    </row>
    <row r="2311" spans="1:23" ht="12.75" customHeight="1">
      <c r="A2311" s="11"/>
      <c r="B2311" s="152" t="s">
        <v>121</v>
      </c>
      <c r="C2311" s="64" t="s">
        <v>385</v>
      </c>
      <c r="H2311" s="246" t="s">
        <v>988</v>
      </c>
      <c r="I2311" s="223"/>
      <c r="J2311" s="223"/>
      <c r="K2311" s="223"/>
      <c r="L2311" s="223"/>
      <c r="M2311" s="223"/>
      <c r="N2311" s="223"/>
      <c r="O2311" s="223"/>
      <c r="P2311" s="223"/>
      <c r="Q2311" s="223"/>
      <c r="R2311" s="223"/>
      <c r="S2311" s="223"/>
      <c r="T2311" s="223"/>
      <c r="U2311" s="223"/>
      <c r="V2311" s="223"/>
      <c r="W2311" s="224"/>
    </row>
    <row r="2312" spans="1:23" ht="12.75" customHeight="1">
      <c r="A2312" s="11"/>
      <c r="B2312" s="11"/>
    </row>
    <row r="2313" spans="1:23" ht="12.75" customHeight="1">
      <c r="A2313" s="11"/>
      <c r="B2313" s="152" t="s">
        <v>124</v>
      </c>
      <c r="C2313" s="64" t="s">
        <v>786</v>
      </c>
      <c r="H2313" s="78"/>
      <c r="I2313" s="78"/>
      <c r="J2313" s="11"/>
      <c r="K2313" s="78"/>
      <c r="L2313" s="78"/>
      <c r="M2313" s="11"/>
      <c r="N2313" s="78"/>
      <c r="O2313" s="78"/>
      <c r="P2313" s="78"/>
      <c r="Q2313" s="78"/>
      <c r="R2313" s="11"/>
    </row>
    <row r="2314" spans="1:23" ht="12.75" customHeight="1">
      <c r="A2314" s="11"/>
      <c r="B2314" s="11"/>
    </row>
    <row r="2315" spans="1:23" ht="12.75" customHeight="1">
      <c r="A2315" s="11"/>
      <c r="B2315" s="152" t="s">
        <v>127</v>
      </c>
      <c r="C2315" s="64" t="s">
        <v>345</v>
      </c>
      <c r="F2315" s="91"/>
      <c r="H2315" s="246" t="s">
        <v>989</v>
      </c>
      <c r="I2315" s="223"/>
      <c r="J2315" s="223"/>
      <c r="K2315" s="223"/>
      <c r="L2315" s="223"/>
      <c r="M2315" s="223"/>
      <c r="N2315" s="224"/>
      <c r="P2315" s="64" t="s">
        <v>675</v>
      </c>
      <c r="Q2315" s="78">
        <v>0</v>
      </c>
      <c r="R2315" s="78">
        <v>0</v>
      </c>
      <c r="S2315" s="78">
        <v>7</v>
      </c>
      <c r="T2315" s="11" t="s">
        <v>676</v>
      </c>
      <c r="U2315" s="78">
        <v>0</v>
      </c>
      <c r="V2315" s="78">
        <v>0</v>
      </c>
      <c r="W2315" s="78">
        <v>2</v>
      </c>
    </row>
    <row r="2316" spans="1:23" ht="12.75" customHeight="1">
      <c r="A2316" s="11"/>
      <c r="B2316" s="11"/>
    </row>
    <row r="2317" spans="1:23" ht="12.75" customHeight="1">
      <c r="A2317" s="11"/>
      <c r="B2317" s="11"/>
      <c r="F2317" s="91"/>
      <c r="H2317" s="64" t="s">
        <v>779</v>
      </c>
      <c r="L2317" s="246"/>
      <c r="M2317" s="223"/>
      <c r="N2317" s="223"/>
      <c r="O2317" s="223"/>
      <c r="P2317" s="223"/>
      <c r="Q2317" s="223"/>
      <c r="R2317" s="223"/>
      <c r="S2317" s="223"/>
      <c r="T2317" s="223"/>
      <c r="U2317" s="223"/>
      <c r="V2317" s="223"/>
      <c r="W2317" s="224"/>
    </row>
    <row r="2318" spans="1:23" ht="12.75" customHeight="1">
      <c r="A2318" s="11"/>
      <c r="B2318" s="11"/>
    </row>
    <row r="2319" spans="1:23" ht="12.75" customHeight="1">
      <c r="A2319" s="11"/>
      <c r="B2319" s="11"/>
      <c r="C2319" s="64" t="s">
        <v>414</v>
      </c>
      <c r="H2319" s="246" t="s">
        <v>990</v>
      </c>
      <c r="I2319" s="223"/>
      <c r="J2319" s="223"/>
      <c r="K2319" s="223"/>
      <c r="L2319" s="223"/>
      <c r="M2319" s="224"/>
      <c r="O2319" s="64" t="s">
        <v>562</v>
      </c>
      <c r="R2319" s="246" t="s">
        <v>991</v>
      </c>
      <c r="S2319" s="223"/>
      <c r="T2319" s="223"/>
      <c r="U2319" s="223"/>
      <c r="V2319" s="223"/>
      <c r="W2319" s="224"/>
    </row>
    <row r="2320" spans="1:23" ht="12.75" customHeight="1">
      <c r="A2320" s="11"/>
      <c r="B2320" s="11"/>
      <c r="H2320" s="77"/>
      <c r="I2320" s="77"/>
      <c r="J2320" s="77"/>
      <c r="K2320" s="77"/>
      <c r="L2320" s="77"/>
      <c r="M2320" s="77"/>
      <c r="R2320" s="77"/>
      <c r="S2320" s="77"/>
      <c r="T2320" s="77"/>
      <c r="U2320" s="77"/>
      <c r="V2320" s="77"/>
      <c r="W2320" s="77"/>
    </row>
    <row r="2321" spans="1:23" ht="12.75" customHeight="1">
      <c r="A2321" s="11"/>
      <c r="B2321" s="11"/>
      <c r="C2321" s="64" t="s">
        <v>563</v>
      </c>
      <c r="H2321" s="246" t="s">
        <v>992</v>
      </c>
      <c r="I2321" s="223"/>
      <c r="J2321" s="223"/>
      <c r="K2321" s="223"/>
      <c r="L2321" s="223"/>
      <c r="M2321" s="224"/>
      <c r="O2321" s="64" t="s">
        <v>417</v>
      </c>
      <c r="R2321" s="246" t="s">
        <v>993</v>
      </c>
      <c r="S2321" s="223"/>
      <c r="T2321" s="223"/>
      <c r="U2321" s="223"/>
      <c r="V2321" s="223"/>
      <c r="W2321" s="224"/>
    </row>
    <row r="2322" spans="1:23" ht="12.75" customHeight="1">
      <c r="A2322" s="11"/>
      <c r="B2322" s="11"/>
      <c r="H2322" s="77"/>
      <c r="I2322" s="77"/>
      <c r="J2322" s="77"/>
      <c r="K2322" s="77"/>
      <c r="L2322" s="77"/>
      <c r="M2322" s="77"/>
      <c r="R2322" s="77"/>
      <c r="S2322" s="77"/>
      <c r="T2322" s="77"/>
      <c r="U2322" s="77"/>
      <c r="V2322" s="77"/>
      <c r="W2322" s="77"/>
    </row>
    <row r="2323" spans="1:23" ht="12.75" customHeight="1">
      <c r="A2323" s="11"/>
      <c r="B2323" s="152" t="s">
        <v>130</v>
      </c>
      <c r="C2323" s="64" t="s">
        <v>790</v>
      </c>
    </row>
    <row r="2324" spans="1:23" ht="12.75" customHeight="1"/>
    <row r="2325" spans="1:23" ht="12.75" customHeight="1">
      <c r="B2325" s="104" t="s">
        <v>684</v>
      </c>
      <c r="C2325" s="275" t="s">
        <v>340</v>
      </c>
      <c r="D2325" s="223"/>
      <c r="E2325" s="223"/>
      <c r="F2325" s="223"/>
      <c r="G2325" s="223"/>
      <c r="H2325" s="223"/>
      <c r="I2325" s="223"/>
      <c r="J2325" s="223"/>
      <c r="K2325" s="224"/>
      <c r="L2325" s="275" t="s">
        <v>791</v>
      </c>
      <c r="M2325" s="223"/>
      <c r="N2325" s="223"/>
      <c r="O2325" s="223"/>
      <c r="P2325" s="223"/>
      <c r="Q2325" s="224"/>
      <c r="R2325" s="286" t="s">
        <v>792</v>
      </c>
      <c r="S2325" s="223"/>
      <c r="T2325" s="224"/>
      <c r="U2325" s="275" t="s">
        <v>793</v>
      </c>
      <c r="V2325" s="223"/>
      <c r="W2325" s="224"/>
    </row>
    <row r="2326" spans="1:23" ht="12.75" customHeight="1">
      <c r="B2326" s="78">
        <v>1</v>
      </c>
      <c r="C2326" s="288" t="s">
        <v>994</v>
      </c>
      <c r="D2326" s="223"/>
      <c r="E2326" s="223"/>
      <c r="F2326" s="223"/>
      <c r="G2326" s="223"/>
      <c r="H2326" s="223"/>
      <c r="I2326" s="223"/>
      <c r="J2326" s="223"/>
      <c r="K2326" s="224"/>
      <c r="L2326" s="246" t="s">
        <v>988</v>
      </c>
      <c r="M2326" s="223"/>
      <c r="N2326" s="223"/>
      <c r="O2326" s="223"/>
      <c r="P2326" s="223"/>
      <c r="Q2326" s="224"/>
      <c r="R2326" s="252"/>
      <c r="S2326" s="223"/>
      <c r="T2326" s="224"/>
      <c r="U2326" s="252" t="s">
        <v>662</v>
      </c>
      <c r="V2326" s="223"/>
      <c r="W2326" s="224"/>
    </row>
    <row r="2327" spans="1:23" ht="12.75" customHeight="1">
      <c r="B2327" s="78">
        <v>2</v>
      </c>
      <c r="C2327" s="288" t="s">
        <v>995</v>
      </c>
      <c r="D2327" s="223"/>
      <c r="E2327" s="223"/>
      <c r="F2327" s="223"/>
      <c r="G2327" s="223"/>
      <c r="H2327" s="223"/>
      <c r="I2327" s="223"/>
      <c r="J2327" s="223"/>
      <c r="K2327" s="224"/>
      <c r="L2327" s="246" t="s">
        <v>996</v>
      </c>
      <c r="M2327" s="223"/>
      <c r="N2327" s="223"/>
      <c r="O2327" s="223"/>
      <c r="P2327" s="223"/>
      <c r="Q2327" s="224"/>
      <c r="R2327" s="252"/>
      <c r="S2327" s="223"/>
      <c r="T2327" s="224"/>
      <c r="U2327" s="252" t="s">
        <v>663</v>
      </c>
      <c r="V2327" s="223"/>
      <c r="W2327" s="224"/>
    </row>
    <row r="2328" spans="1:23" ht="12.75" customHeight="1">
      <c r="B2328" s="78">
        <v>3</v>
      </c>
      <c r="C2328" s="252"/>
      <c r="D2328" s="223"/>
      <c r="E2328" s="223"/>
      <c r="F2328" s="223"/>
      <c r="G2328" s="223"/>
      <c r="H2328" s="223"/>
      <c r="I2328" s="223"/>
      <c r="J2328" s="223"/>
      <c r="K2328" s="224"/>
      <c r="L2328" s="252"/>
      <c r="M2328" s="223"/>
      <c r="N2328" s="223"/>
      <c r="O2328" s="223"/>
      <c r="P2328" s="223"/>
      <c r="Q2328" s="224"/>
      <c r="R2328" s="252"/>
      <c r="S2328" s="223"/>
      <c r="T2328" s="224"/>
      <c r="U2328" s="252"/>
      <c r="V2328" s="223"/>
      <c r="W2328" s="224"/>
    </row>
    <row r="2329" spans="1:23" ht="12.75" customHeight="1">
      <c r="B2329" s="78">
        <v>4</v>
      </c>
      <c r="C2329" s="252"/>
      <c r="D2329" s="223"/>
      <c r="E2329" s="223"/>
      <c r="F2329" s="223"/>
      <c r="G2329" s="223"/>
      <c r="H2329" s="223"/>
      <c r="I2329" s="223"/>
      <c r="J2329" s="223"/>
      <c r="K2329" s="224"/>
      <c r="L2329" s="252"/>
      <c r="M2329" s="223"/>
      <c r="N2329" s="223"/>
      <c r="O2329" s="223"/>
      <c r="P2329" s="223"/>
      <c r="Q2329" s="224"/>
      <c r="R2329" s="252"/>
      <c r="S2329" s="223"/>
      <c r="T2329" s="224"/>
      <c r="U2329" s="252"/>
      <c r="V2329" s="223"/>
      <c r="W2329" s="224"/>
    </row>
    <row r="2330" spans="1:23" ht="12.75" customHeight="1">
      <c r="B2330" s="78">
        <v>5</v>
      </c>
      <c r="C2330" s="252"/>
      <c r="D2330" s="223"/>
      <c r="E2330" s="223"/>
      <c r="F2330" s="223"/>
      <c r="G2330" s="223"/>
      <c r="H2330" s="223"/>
      <c r="I2330" s="223"/>
      <c r="J2330" s="223"/>
      <c r="K2330" s="224"/>
      <c r="L2330" s="252"/>
      <c r="M2330" s="223"/>
      <c r="N2330" s="223"/>
      <c r="O2330" s="223"/>
      <c r="P2330" s="223"/>
      <c r="Q2330" s="224"/>
      <c r="R2330" s="252"/>
      <c r="S2330" s="223"/>
      <c r="T2330" s="224"/>
      <c r="U2330" s="252"/>
      <c r="V2330" s="223"/>
      <c r="W2330" s="224"/>
    </row>
    <row r="2331" spans="1:23" ht="12.75" customHeight="1">
      <c r="B2331" s="78">
        <v>6</v>
      </c>
      <c r="C2331" s="252"/>
      <c r="D2331" s="223"/>
      <c r="E2331" s="223"/>
      <c r="F2331" s="223"/>
      <c r="G2331" s="223"/>
      <c r="H2331" s="223"/>
      <c r="I2331" s="223"/>
      <c r="J2331" s="223"/>
      <c r="K2331" s="224"/>
      <c r="L2331" s="252"/>
      <c r="M2331" s="223"/>
      <c r="N2331" s="223"/>
      <c r="O2331" s="223"/>
      <c r="P2331" s="223"/>
      <c r="Q2331" s="224"/>
      <c r="R2331" s="252"/>
      <c r="S2331" s="223"/>
      <c r="T2331" s="224"/>
      <c r="U2331" s="252"/>
      <c r="V2331" s="223"/>
      <c r="W2331" s="224"/>
    </row>
    <row r="2332" spans="1:23" ht="12.75" customHeight="1">
      <c r="B2332" s="78">
        <v>7</v>
      </c>
      <c r="C2332" s="252"/>
      <c r="D2332" s="223"/>
      <c r="E2332" s="223"/>
      <c r="F2332" s="223"/>
      <c r="G2332" s="223"/>
      <c r="H2332" s="223"/>
      <c r="I2332" s="223"/>
      <c r="J2332" s="223"/>
      <c r="K2332" s="224"/>
      <c r="L2332" s="252"/>
      <c r="M2332" s="223"/>
      <c r="N2332" s="223"/>
      <c r="O2332" s="223"/>
      <c r="P2332" s="223"/>
      <c r="Q2332" s="224"/>
      <c r="R2332" s="252"/>
      <c r="S2332" s="223"/>
      <c r="T2332" s="224"/>
      <c r="U2332" s="252"/>
      <c r="V2332" s="223"/>
      <c r="W2332" s="224"/>
    </row>
    <row r="2333" spans="1:23" ht="12.75" customHeight="1"/>
    <row r="2334" spans="1:23" ht="12.75" customHeight="1"/>
    <row r="2335" spans="1:23" ht="12.75" customHeight="1">
      <c r="J2335" s="225" t="s">
        <v>480</v>
      </c>
      <c r="K2335" s="194"/>
      <c r="L2335" s="194"/>
      <c r="M2335" s="194"/>
      <c r="N2335" s="194"/>
      <c r="O2335" s="194"/>
      <c r="R2335" s="3" t="s">
        <v>997</v>
      </c>
    </row>
    <row r="2336" spans="1:23" ht="12.75" customHeight="1">
      <c r="D2336" s="64" t="s">
        <v>797</v>
      </c>
      <c r="J2336" s="225" t="s">
        <v>885</v>
      </c>
      <c r="K2336" s="194"/>
      <c r="L2336" s="194"/>
      <c r="M2336" s="194"/>
      <c r="N2336" s="194"/>
      <c r="O2336" s="194"/>
      <c r="S2336" s="64" t="s">
        <v>799</v>
      </c>
    </row>
    <row r="2337" spans="4:21" ht="12.75" customHeight="1">
      <c r="J2337" s="225" t="s">
        <v>365</v>
      </c>
      <c r="K2337" s="194"/>
      <c r="L2337" s="194"/>
      <c r="M2337" s="194"/>
      <c r="N2337" s="194"/>
      <c r="O2337" s="194"/>
    </row>
    <row r="2338" spans="4:21" ht="12.75" customHeight="1"/>
    <row r="2339" spans="4:21" ht="12.75" customHeight="1"/>
    <row r="2340" spans="4:21" ht="12.75" customHeight="1"/>
    <row r="2341" spans="4:21" ht="12.75" customHeight="1">
      <c r="D2341" s="3" t="s">
        <v>964</v>
      </c>
      <c r="K2341" s="225" t="s">
        <v>366</v>
      </c>
      <c r="L2341" s="194"/>
      <c r="M2341" s="194"/>
      <c r="N2341" s="194"/>
      <c r="R2341" s="225" t="s">
        <v>988</v>
      </c>
      <c r="S2341" s="194"/>
      <c r="T2341" s="194"/>
      <c r="U2341" s="194"/>
    </row>
    <row r="2342" spans="4:21" ht="12.75" customHeight="1"/>
    <row r="2343" spans="4:21" ht="12.75" customHeight="1"/>
    <row r="2344" spans="4:21" ht="12.75" customHeight="1"/>
    <row r="2345" spans="4:21" ht="12.75" customHeight="1"/>
    <row r="2346" spans="4:21" ht="12.75" customHeight="1"/>
    <row r="2347" spans="4:21" ht="12.75" customHeight="1"/>
    <row r="2348" spans="4:21" ht="12.75" customHeight="1"/>
    <row r="2349" spans="4:21" ht="12.75" customHeight="1"/>
    <row r="2350" spans="4:21" ht="12.75" customHeight="1"/>
    <row r="2351" spans="4:21" ht="12.75" customHeight="1"/>
    <row r="2352" spans="4:21" ht="12.75" customHeight="1"/>
    <row r="2353" spans="2:23" ht="12.75" customHeight="1"/>
    <row r="2354" spans="2:23" ht="12.75" customHeight="1"/>
    <row r="2355" spans="2:23" ht="12.75" customHeight="1"/>
    <row r="2356" spans="2:23" ht="12.75" customHeight="1"/>
    <row r="2357" spans="2:23" ht="12.75" customHeight="1"/>
    <row r="2358" spans="2:23" ht="12.75" customHeight="1"/>
    <row r="2359" spans="2:23" ht="12.75" customHeight="1"/>
    <row r="2360" spans="2:23" ht="12.75" customHeight="1"/>
    <row r="2361" spans="2:23" ht="12.75" customHeight="1">
      <c r="T2361" s="252" t="s">
        <v>916</v>
      </c>
      <c r="U2361" s="223"/>
      <c r="V2361" s="224"/>
    </row>
    <row r="2362" spans="2:23" ht="12.75" customHeight="1">
      <c r="B2362" s="151"/>
      <c r="C2362" s="151"/>
      <c r="D2362" s="151"/>
      <c r="E2362" s="151"/>
      <c r="F2362" s="151"/>
      <c r="G2362" s="151"/>
      <c r="H2362" s="151"/>
      <c r="I2362" s="151"/>
      <c r="J2362" s="151"/>
      <c r="K2362" s="151"/>
      <c r="L2362" s="151"/>
      <c r="M2362" s="151"/>
      <c r="N2362" s="151"/>
      <c r="O2362" s="151"/>
      <c r="P2362" s="151"/>
      <c r="Q2362" s="151"/>
      <c r="R2362" s="151"/>
      <c r="S2362" s="151"/>
      <c r="T2362" s="151"/>
      <c r="U2362" s="151"/>
      <c r="V2362" s="151"/>
      <c r="W2362" s="151"/>
    </row>
    <row r="2363" spans="2:23" ht="12.75" customHeight="1"/>
    <row r="2364" spans="2:23" ht="12.75" customHeight="1">
      <c r="B2364" s="64" t="s">
        <v>770</v>
      </c>
      <c r="G2364" s="11" t="s">
        <v>10</v>
      </c>
      <c r="H2364" s="78">
        <v>3</v>
      </c>
      <c r="I2364" s="78">
        <v>3</v>
      </c>
      <c r="J2364" s="11"/>
      <c r="M2364" s="246" t="s">
        <v>418</v>
      </c>
      <c r="N2364" s="223"/>
      <c r="O2364" s="223"/>
      <c r="P2364" s="223"/>
      <c r="Q2364" s="223"/>
      <c r="R2364" s="223"/>
      <c r="S2364" s="223"/>
      <c r="T2364" s="223"/>
      <c r="U2364" s="223"/>
      <c r="V2364" s="223"/>
      <c r="W2364" s="224"/>
    </row>
    <row r="2365" spans="2:23" ht="5.25" customHeight="1">
      <c r="G2365" s="11"/>
      <c r="H2365" s="11"/>
      <c r="I2365" s="11"/>
      <c r="J2365" s="11"/>
      <c r="M2365" s="77"/>
      <c r="N2365" s="77"/>
      <c r="O2365" s="77"/>
      <c r="P2365" s="77"/>
      <c r="Q2365" s="77"/>
      <c r="R2365" s="77"/>
      <c r="S2365" s="77"/>
      <c r="T2365" s="77"/>
      <c r="U2365" s="77"/>
      <c r="V2365" s="77"/>
      <c r="W2365" s="77"/>
    </row>
    <row r="2366" spans="2:23" ht="12.75" customHeight="1">
      <c r="B2366" s="64" t="s">
        <v>105</v>
      </c>
      <c r="G2366" s="11" t="s">
        <v>10</v>
      </c>
      <c r="H2366" s="78">
        <v>2</v>
      </c>
      <c r="I2366" s="78">
        <v>7</v>
      </c>
      <c r="J2366" s="11"/>
      <c r="M2366" s="246" t="s">
        <v>106</v>
      </c>
      <c r="N2366" s="223"/>
      <c r="O2366" s="223"/>
      <c r="P2366" s="223"/>
      <c r="Q2366" s="223"/>
      <c r="R2366" s="223"/>
      <c r="S2366" s="223"/>
      <c r="T2366" s="223"/>
      <c r="U2366" s="223"/>
      <c r="V2366" s="223"/>
      <c r="W2366" s="224"/>
    </row>
    <row r="2367" spans="2:23" ht="6" customHeight="1">
      <c r="G2367" s="11"/>
      <c r="H2367" s="11"/>
      <c r="I2367" s="11"/>
      <c r="J2367" s="11"/>
      <c r="M2367" s="77"/>
      <c r="N2367" s="77"/>
      <c r="O2367" s="77"/>
      <c r="P2367" s="77"/>
      <c r="Q2367" s="77"/>
      <c r="R2367" s="77"/>
      <c r="S2367" s="77"/>
      <c r="T2367" s="77"/>
      <c r="U2367" s="77"/>
      <c r="V2367" s="77"/>
      <c r="W2367" s="77"/>
    </row>
    <row r="2368" spans="2:23" ht="12.75" customHeight="1">
      <c r="B2368" s="64" t="s">
        <v>103</v>
      </c>
      <c r="G2368" s="11" t="s">
        <v>10</v>
      </c>
      <c r="H2368" s="78">
        <v>4</v>
      </c>
      <c r="I2368" s="78">
        <v>0</v>
      </c>
      <c r="J2368" s="11"/>
      <c r="M2368" s="246" t="s">
        <v>104</v>
      </c>
      <c r="N2368" s="223"/>
      <c r="O2368" s="223"/>
      <c r="P2368" s="223"/>
      <c r="Q2368" s="223"/>
      <c r="R2368" s="223"/>
      <c r="S2368" s="223"/>
      <c r="T2368" s="223"/>
      <c r="U2368" s="223"/>
      <c r="V2368" s="223"/>
      <c r="W2368" s="224"/>
    </row>
    <row r="2369" spans="1:23" ht="5.25" customHeight="1">
      <c r="G2369" s="11"/>
      <c r="H2369" s="11"/>
      <c r="I2369" s="11"/>
      <c r="J2369" s="11"/>
      <c r="M2369" s="77"/>
      <c r="N2369" s="77"/>
      <c r="O2369" s="77"/>
      <c r="P2369" s="77"/>
      <c r="Q2369" s="77"/>
      <c r="R2369" s="77"/>
      <c r="S2369" s="77"/>
      <c r="T2369" s="77"/>
      <c r="U2369" s="77"/>
      <c r="V2369" s="77"/>
      <c r="W2369" s="77"/>
    </row>
    <row r="2370" spans="1:23" ht="12.75" customHeight="1">
      <c r="B2370" s="64" t="s">
        <v>771</v>
      </c>
      <c r="G2370" s="11" t="s">
        <v>10</v>
      </c>
      <c r="H2370" s="78">
        <v>2</v>
      </c>
      <c r="I2370" s="78">
        <v>0</v>
      </c>
      <c r="J2370" s="78">
        <v>1</v>
      </c>
      <c r="K2370" s="91">
        <v>1</v>
      </c>
      <c r="M2370" s="246" t="s">
        <v>102</v>
      </c>
      <c r="N2370" s="223"/>
      <c r="O2370" s="223"/>
      <c r="P2370" s="223"/>
      <c r="Q2370" s="223"/>
      <c r="R2370" s="223"/>
      <c r="S2370" s="223"/>
      <c r="T2370" s="223"/>
      <c r="U2370" s="223"/>
      <c r="V2370" s="223"/>
      <c r="W2370" s="224"/>
    </row>
    <row r="2371" spans="1:23" ht="4.5" customHeight="1">
      <c r="G2371" s="11"/>
    </row>
    <row r="2372" spans="1:23" ht="12.75" customHeight="1">
      <c r="B2372" s="64" t="s">
        <v>772</v>
      </c>
      <c r="G2372" s="11" t="s">
        <v>10</v>
      </c>
      <c r="H2372" s="246" t="s">
        <v>998</v>
      </c>
      <c r="I2372" s="223"/>
      <c r="J2372" s="223"/>
      <c r="K2372" s="223"/>
      <c r="L2372" s="223"/>
      <c r="M2372" s="223"/>
      <c r="N2372" s="223"/>
      <c r="O2372" s="223"/>
      <c r="P2372" s="223"/>
      <c r="Q2372" s="223"/>
      <c r="R2372" s="223"/>
      <c r="S2372" s="223"/>
      <c r="T2372" s="223"/>
      <c r="U2372" s="223"/>
      <c r="V2372" s="223"/>
      <c r="W2372" s="224"/>
    </row>
    <row r="2373" spans="1:23" ht="14.25" customHeight="1"/>
    <row r="2374" spans="1:23" ht="12.75" customHeight="1">
      <c r="B2374" s="196" t="s">
        <v>917</v>
      </c>
      <c r="C2374" s="194"/>
      <c r="D2374" s="194"/>
      <c r="E2374" s="194"/>
      <c r="F2374" s="194"/>
      <c r="G2374" s="194"/>
      <c r="H2374" s="194"/>
      <c r="I2374" s="194"/>
      <c r="J2374" s="194"/>
      <c r="K2374" s="194"/>
      <c r="L2374" s="194"/>
      <c r="M2374" s="194"/>
      <c r="N2374" s="194"/>
      <c r="O2374" s="194"/>
      <c r="P2374" s="194"/>
      <c r="Q2374" s="194"/>
      <c r="R2374" s="194"/>
      <c r="S2374" s="194"/>
      <c r="T2374" s="194"/>
      <c r="U2374" s="194"/>
      <c r="V2374" s="194"/>
      <c r="W2374" s="194"/>
    </row>
    <row r="2375" spans="1:23" ht="12.75" customHeight="1">
      <c r="B2375" s="225" t="s">
        <v>853</v>
      </c>
      <c r="C2375" s="194"/>
      <c r="D2375" s="194"/>
      <c r="E2375" s="194"/>
      <c r="F2375" s="194"/>
      <c r="G2375" s="194"/>
      <c r="H2375" s="194"/>
      <c r="I2375" s="194"/>
      <c r="J2375" s="194"/>
      <c r="K2375" s="194"/>
      <c r="L2375" s="194"/>
      <c r="M2375" s="194"/>
      <c r="N2375" s="194"/>
      <c r="O2375" s="194"/>
      <c r="P2375" s="194"/>
      <c r="Q2375" s="194"/>
      <c r="R2375" s="194"/>
      <c r="S2375" s="194"/>
      <c r="T2375" s="194"/>
      <c r="U2375" s="194"/>
      <c r="V2375" s="194"/>
      <c r="W2375" s="194"/>
    </row>
    <row r="2376" spans="1:23" ht="12.75" customHeight="1">
      <c r="B2376" s="225" t="s">
        <v>999</v>
      </c>
      <c r="C2376" s="194"/>
      <c r="D2376" s="194"/>
      <c r="E2376" s="194"/>
      <c r="F2376" s="194"/>
      <c r="G2376" s="194"/>
      <c r="H2376" s="194"/>
      <c r="I2376" s="194"/>
      <c r="J2376" s="194"/>
      <c r="K2376" s="194"/>
      <c r="L2376" s="194"/>
      <c r="M2376" s="194"/>
      <c r="N2376" s="194"/>
      <c r="O2376" s="194"/>
      <c r="P2376" s="194"/>
      <c r="Q2376" s="194"/>
      <c r="R2376" s="194"/>
      <c r="S2376" s="194"/>
      <c r="T2376" s="194"/>
      <c r="U2376" s="194"/>
      <c r="V2376" s="194"/>
      <c r="W2376" s="194"/>
    </row>
    <row r="2377" spans="1:23" ht="12.75" customHeight="1">
      <c r="A2377" s="11"/>
      <c r="B2377" s="38" t="s">
        <v>777</v>
      </c>
    </row>
    <row r="2378" spans="1:23" ht="12.75" customHeight="1"/>
    <row r="2379" spans="1:23" ht="12.75" customHeight="1">
      <c r="B2379" s="152" t="s">
        <v>111</v>
      </c>
      <c r="C2379" s="64" t="s">
        <v>387</v>
      </c>
      <c r="H2379" s="78">
        <v>3</v>
      </c>
      <c r="I2379" s="78">
        <v>3</v>
      </c>
      <c r="J2379" s="78">
        <v>0</v>
      </c>
      <c r="K2379" s="78">
        <v>3</v>
      </c>
      <c r="L2379" s="78">
        <v>0</v>
      </c>
      <c r="M2379" s="78">
        <v>9</v>
      </c>
      <c r="N2379" s="78">
        <v>0</v>
      </c>
      <c r="O2379" s="78">
        <v>8</v>
      </c>
      <c r="P2379" s="78">
        <v>0</v>
      </c>
      <c r="Q2379" s="78">
        <v>8</v>
      </c>
      <c r="R2379" s="78">
        <v>1</v>
      </c>
      <c r="S2379" s="78">
        <v>9</v>
      </c>
      <c r="T2379" s="78">
        <v>0</v>
      </c>
      <c r="U2379" s="78">
        <v>0</v>
      </c>
      <c r="V2379" s="78">
        <v>0</v>
      </c>
      <c r="W2379" s="78">
        <v>2</v>
      </c>
    </row>
    <row r="2380" spans="1:23" ht="12.75" customHeight="1">
      <c r="B2380" s="11"/>
    </row>
    <row r="2381" spans="1:23" ht="12.75" customHeight="1">
      <c r="B2381" s="152" t="s">
        <v>115</v>
      </c>
      <c r="C2381" s="64" t="s">
        <v>385</v>
      </c>
      <c r="H2381" s="246" t="s">
        <v>1000</v>
      </c>
      <c r="I2381" s="223"/>
      <c r="J2381" s="223"/>
      <c r="K2381" s="223"/>
      <c r="L2381" s="223"/>
      <c r="M2381" s="223"/>
      <c r="N2381" s="223"/>
      <c r="O2381" s="223"/>
      <c r="P2381" s="223"/>
      <c r="Q2381" s="223"/>
      <c r="R2381" s="223"/>
      <c r="S2381" s="223"/>
      <c r="T2381" s="223"/>
      <c r="U2381" s="223"/>
      <c r="V2381" s="223"/>
      <c r="W2381" s="224"/>
    </row>
    <row r="2382" spans="1:23" ht="12.75" customHeight="1">
      <c r="B2382" s="11"/>
    </row>
    <row r="2383" spans="1:23" ht="12.75" customHeight="1">
      <c r="B2383" s="152" t="s">
        <v>118</v>
      </c>
      <c r="C2383" s="64" t="s">
        <v>345</v>
      </c>
      <c r="H2383" s="246" t="s">
        <v>1001</v>
      </c>
      <c r="I2383" s="223"/>
      <c r="J2383" s="223"/>
      <c r="K2383" s="223"/>
      <c r="L2383" s="223"/>
      <c r="M2383" s="223"/>
      <c r="N2383" s="223"/>
      <c r="O2383" s="224"/>
      <c r="P2383" s="64" t="s">
        <v>675</v>
      </c>
      <c r="Q2383" s="78">
        <v>0</v>
      </c>
      <c r="R2383" s="78">
        <v>0</v>
      </c>
      <c r="S2383" s="78">
        <v>4</v>
      </c>
      <c r="T2383" s="11" t="s">
        <v>676</v>
      </c>
      <c r="U2383" s="78">
        <v>0</v>
      </c>
      <c r="V2383" s="78">
        <v>0</v>
      </c>
      <c r="W2383" s="78">
        <v>6</v>
      </c>
    </row>
    <row r="2384" spans="1:23" ht="12.75" customHeight="1">
      <c r="B2384" s="11"/>
    </row>
    <row r="2385" spans="1:23" ht="12.75" customHeight="1">
      <c r="B2385" s="11"/>
      <c r="H2385" s="64" t="s">
        <v>779</v>
      </c>
      <c r="L2385" s="248" t="s">
        <v>1002</v>
      </c>
      <c r="M2385" s="223"/>
      <c r="N2385" s="223"/>
      <c r="O2385" s="223"/>
      <c r="P2385" s="223"/>
      <c r="Q2385" s="223"/>
      <c r="R2385" s="223"/>
      <c r="S2385" s="223"/>
      <c r="T2385" s="223"/>
      <c r="U2385" s="223"/>
      <c r="V2385" s="223"/>
      <c r="W2385" s="224"/>
    </row>
    <row r="2386" spans="1:23" ht="12.75" customHeight="1">
      <c r="B2386" s="11"/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</row>
    <row r="2387" spans="1:23" ht="12.75" customHeight="1">
      <c r="B2387" s="11"/>
      <c r="C2387" s="64" t="s">
        <v>414</v>
      </c>
      <c r="H2387" s="246" t="s">
        <v>1003</v>
      </c>
      <c r="I2387" s="223"/>
      <c r="J2387" s="223"/>
      <c r="K2387" s="223"/>
      <c r="L2387" s="223"/>
      <c r="M2387" s="224"/>
      <c r="O2387" s="64" t="s">
        <v>562</v>
      </c>
      <c r="R2387" s="246" t="s">
        <v>860</v>
      </c>
      <c r="S2387" s="223"/>
      <c r="T2387" s="223"/>
      <c r="U2387" s="223"/>
      <c r="V2387" s="223"/>
      <c r="W2387" s="224"/>
    </row>
    <row r="2388" spans="1:23" ht="12.75" customHeight="1">
      <c r="B2388" s="11"/>
      <c r="R2388" s="77"/>
      <c r="S2388" s="77"/>
      <c r="T2388" s="77"/>
      <c r="U2388" s="77"/>
      <c r="V2388" s="77"/>
      <c r="W2388" s="77"/>
    </row>
    <row r="2389" spans="1:23" ht="12.75" customHeight="1">
      <c r="B2389" s="11"/>
      <c r="C2389" s="64" t="s">
        <v>416</v>
      </c>
      <c r="H2389" s="246" t="s">
        <v>1004</v>
      </c>
      <c r="I2389" s="223"/>
      <c r="J2389" s="223"/>
      <c r="K2389" s="223"/>
      <c r="L2389" s="223"/>
      <c r="M2389" s="224"/>
      <c r="O2389" s="64" t="s">
        <v>417</v>
      </c>
      <c r="R2389" s="246" t="s">
        <v>418</v>
      </c>
      <c r="S2389" s="223"/>
      <c r="T2389" s="223"/>
      <c r="U2389" s="223"/>
      <c r="V2389" s="223"/>
      <c r="W2389" s="224"/>
    </row>
    <row r="2390" spans="1:23" ht="12.75" customHeight="1">
      <c r="B2390" s="11"/>
      <c r="H2390" s="11"/>
      <c r="I2390" s="11"/>
      <c r="J2390" s="11"/>
      <c r="K2390" s="11"/>
      <c r="L2390" s="11"/>
      <c r="M2390" s="11"/>
      <c r="R2390" s="11"/>
      <c r="S2390" s="11"/>
      <c r="T2390" s="11"/>
      <c r="U2390" s="11"/>
      <c r="V2390" s="11"/>
      <c r="W2390" s="11"/>
    </row>
    <row r="2391" spans="1:23" ht="12.75" customHeight="1">
      <c r="B2391" s="11"/>
      <c r="H2391" s="11" t="s">
        <v>674</v>
      </c>
      <c r="I2391" s="11"/>
      <c r="J2391" s="78">
        <v>5</v>
      </c>
      <c r="K2391" s="78">
        <v>3</v>
      </c>
      <c r="L2391" s="78">
        <v>3</v>
      </c>
      <c r="M2391" s="78">
        <v>5</v>
      </c>
      <c r="N2391" s="78">
        <v>3</v>
      </c>
      <c r="P2391" s="64" t="s">
        <v>680</v>
      </c>
      <c r="R2391" s="78"/>
      <c r="S2391" s="78"/>
      <c r="T2391" s="78"/>
      <c r="U2391" s="78"/>
      <c r="V2391" s="78"/>
      <c r="W2391" s="78"/>
    </row>
    <row r="2392" spans="1:23" ht="12.75" customHeight="1">
      <c r="B2392" s="11"/>
    </row>
    <row r="2393" spans="1:23" ht="12.75" customHeight="1">
      <c r="B2393" s="152" t="s">
        <v>121</v>
      </c>
      <c r="C2393" s="64" t="s">
        <v>780</v>
      </c>
      <c r="H2393" s="78">
        <v>3</v>
      </c>
      <c r="I2393" s="78">
        <v>6</v>
      </c>
      <c r="J2393" s="78">
        <v>7</v>
      </c>
      <c r="K2393" s="78">
        <v>4</v>
      </c>
      <c r="L2393" s="78">
        <v>0</v>
      </c>
      <c r="M2393" s="78">
        <v>6</v>
      </c>
      <c r="N2393" s="78">
        <v>6</v>
      </c>
      <c r="O2393" s="78">
        <v>2</v>
      </c>
      <c r="P2393" s="78">
        <v>1</v>
      </c>
      <c r="Q2393" s="78">
        <v>0</v>
      </c>
      <c r="R2393" s="78">
        <v>0</v>
      </c>
      <c r="S2393" s="78">
        <v>2</v>
      </c>
      <c r="T2393" s="78">
        <v>0</v>
      </c>
      <c r="U2393" s="78">
        <v>0</v>
      </c>
      <c r="V2393" s="78">
        <v>0</v>
      </c>
      <c r="W2393" s="78">
        <v>5</v>
      </c>
    </row>
    <row r="2394" spans="1:23" ht="12.75" customHeight="1">
      <c r="B2394" s="11"/>
    </row>
    <row r="2395" spans="1:23" ht="12.75" customHeight="1">
      <c r="B2395" s="152" t="s">
        <v>124</v>
      </c>
      <c r="C2395" s="64" t="s">
        <v>391</v>
      </c>
      <c r="H2395" s="246" t="s">
        <v>1005</v>
      </c>
      <c r="I2395" s="223"/>
      <c r="J2395" s="223"/>
      <c r="K2395" s="223"/>
      <c r="L2395" s="223"/>
      <c r="M2395" s="223"/>
      <c r="N2395" s="223"/>
      <c r="O2395" s="223"/>
      <c r="P2395" s="223"/>
      <c r="Q2395" s="223"/>
      <c r="R2395" s="223"/>
      <c r="S2395" s="223"/>
      <c r="T2395" s="223"/>
      <c r="U2395" s="223"/>
      <c r="V2395" s="223"/>
      <c r="W2395" s="224"/>
    </row>
    <row r="2396" spans="1:23" ht="12.75" customHeight="1"/>
    <row r="2397" spans="1:23" ht="12.75" customHeight="1"/>
    <row r="2398" spans="1:23" ht="12.75" customHeight="1">
      <c r="B2398" s="38" t="s">
        <v>782</v>
      </c>
      <c r="I2398" s="225"/>
      <c r="J2398" s="194"/>
      <c r="K2398" s="194"/>
      <c r="L2398" s="194"/>
    </row>
    <row r="2399" spans="1:23" ht="12.75" customHeight="1"/>
    <row r="2400" spans="1:23" ht="12.75" customHeight="1">
      <c r="A2400" s="11"/>
      <c r="B2400" s="152" t="s">
        <v>111</v>
      </c>
      <c r="C2400" s="64" t="s">
        <v>783</v>
      </c>
      <c r="H2400" s="78">
        <v>2</v>
      </c>
      <c r="I2400" s="64" t="s">
        <v>784</v>
      </c>
    </row>
    <row r="2401" spans="1:23" ht="12.75" customHeight="1">
      <c r="A2401" s="11"/>
      <c r="B2401" s="11"/>
    </row>
    <row r="2402" spans="1:23" ht="12.75" customHeight="1">
      <c r="A2402" s="11"/>
      <c r="B2402" s="152" t="s">
        <v>115</v>
      </c>
      <c r="C2402" s="64" t="s">
        <v>387</v>
      </c>
      <c r="H2402" s="78"/>
      <c r="I2402" s="78"/>
      <c r="J2402" s="78"/>
      <c r="K2402" s="78"/>
      <c r="L2402" s="78"/>
      <c r="M2402" s="78"/>
      <c r="N2402" s="78"/>
      <c r="O2402" s="78"/>
      <c r="P2402" s="78"/>
      <c r="Q2402" s="78"/>
      <c r="R2402" s="78"/>
      <c r="S2402" s="78"/>
      <c r="T2402" s="78"/>
      <c r="U2402" s="78"/>
      <c r="V2402" s="78"/>
      <c r="W2402" s="78"/>
    </row>
    <row r="2403" spans="1:23" ht="12.75" customHeight="1">
      <c r="A2403" s="11"/>
      <c r="B2403" s="11"/>
    </row>
    <row r="2404" spans="1:23" ht="12.75" customHeight="1">
      <c r="A2404" s="11"/>
      <c r="B2404" s="152" t="s">
        <v>118</v>
      </c>
      <c r="C2404" s="64" t="s">
        <v>785</v>
      </c>
      <c r="H2404" s="78">
        <v>3</v>
      </c>
      <c r="I2404" s="78">
        <v>3</v>
      </c>
      <c r="J2404" s="78">
        <v>2</v>
      </c>
      <c r="K2404" s="78">
        <v>7</v>
      </c>
      <c r="L2404" s="78">
        <v>0</v>
      </c>
      <c r="M2404" s="78">
        <v>4</v>
      </c>
      <c r="N2404" s="78">
        <v>1</v>
      </c>
      <c r="O2404" s="78">
        <v>1</v>
      </c>
      <c r="P2404" s="78">
        <v>0</v>
      </c>
      <c r="Q2404" s="78">
        <v>2</v>
      </c>
      <c r="R2404" s="78">
        <v>0</v>
      </c>
      <c r="S2404" s="78">
        <v>1</v>
      </c>
      <c r="T2404" s="78">
        <v>0</v>
      </c>
      <c r="U2404" s="78">
        <v>0</v>
      </c>
      <c r="V2404" s="78">
        <v>0</v>
      </c>
      <c r="W2404" s="78">
        <v>1</v>
      </c>
    </row>
    <row r="2405" spans="1:23" ht="12.75" customHeight="1">
      <c r="A2405" s="11"/>
      <c r="B2405" s="11"/>
    </row>
    <row r="2406" spans="1:23" ht="12.75" customHeight="1">
      <c r="A2406" s="11"/>
      <c r="B2406" s="152" t="s">
        <v>121</v>
      </c>
      <c r="C2406" s="64" t="s">
        <v>385</v>
      </c>
      <c r="H2406" s="246" t="s">
        <v>595</v>
      </c>
      <c r="I2406" s="223"/>
      <c r="J2406" s="223"/>
      <c r="K2406" s="223"/>
      <c r="L2406" s="223"/>
      <c r="M2406" s="223"/>
      <c r="N2406" s="223"/>
      <c r="O2406" s="223"/>
      <c r="P2406" s="223"/>
      <c r="Q2406" s="223"/>
      <c r="R2406" s="223"/>
      <c r="S2406" s="223"/>
      <c r="T2406" s="223"/>
      <c r="U2406" s="223"/>
      <c r="V2406" s="223"/>
      <c r="W2406" s="224"/>
    </row>
    <row r="2407" spans="1:23" ht="12.75" customHeight="1">
      <c r="A2407" s="11"/>
      <c r="B2407" s="11"/>
    </row>
    <row r="2408" spans="1:23" ht="12.75" customHeight="1">
      <c r="A2408" s="11"/>
      <c r="B2408" s="152" t="s">
        <v>124</v>
      </c>
      <c r="C2408" s="64" t="s">
        <v>786</v>
      </c>
      <c r="H2408" s="78">
        <v>1</v>
      </c>
      <c r="I2408" s="78">
        <v>6</v>
      </c>
      <c r="J2408" s="11"/>
      <c r="K2408" s="78">
        <v>0</v>
      </c>
      <c r="L2408" s="78">
        <v>3</v>
      </c>
      <c r="M2408" s="11"/>
      <c r="N2408" s="78">
        <v>2</v>
      </c>
      <c r="O2408" s="78">
        <v>0</v>
      </c>
      <c r="P2408" s="78">
        <v>2</v>
      </c>
      <c r="Q2408" s="78">
        <v>3</v>
      </c>
    </row>
    <row r="2409" spans="1:23" ht="12.75" customHeight="1">
      <c r="A2409" s="11"/>
      <c r="B2409" s="11"/>
    </row>
    <row r="2410" spans="1:23" ht="12.75" customHeight="1">
      <c r="A2410" s="11"/>
      <c r="B2410" s="152" t="s">
        <v>127</v>
      </c>
      <c r="C2410" s="64" t="s">
        <v>345</v>
      </c>
      <c r="F2410" s="91"/>
      <c r="H2410" s="246" t="s">
        <v>102</v>
      </c>
      <c r="I2410" s="223"/>
      <c r="J2410" s="223"/>
      <c r="K2410" s="223"/>
      <c r="L2410" s="223"/>
      <c r="M2410" s="223"/>
      <c r="N2410" s="224"/>
      <c r="P2410" s="64" t="s">
        <v>675</v>
      </c>
      <c r="Q2410" s="78">
        <v>0</v>
      </c>
      <c r="R2410" s="78">
        <v>0</v>
      </c>
      <c r="S2410" s="78">
        <v>5</v>
      </c>
      <c r="T2410" s="11" t="s">
        <v>676</v>
      </c>
      <c r="U2410" s="78">
        <v>0</v>
      </c>
      <c r="V2410" s="78">
        <v>0</v>
      </c>
      <c r="W2410" s="78">
        <v>1</v>
      </c>
    </row>
    <row r="2411" spans="1:23" ht="12.75" customHeight="1">
      <c r="A2411" s="11"/>
      <c r="B2411" s="11"/>
    </row>
    <row r="2412" spans="1:23" ht="12.75" customHeight="1">
      <c r="A2412" s="11"/>
      <c r="B2412" s="11"/>
      <c r="F2412" s="91"/>
      <c r="H2412" s="64" t="s">
        <v>779</v>
      </c>
      <c r="L2412" s="246" t="s">
        <v>998</v>
      </c>
      <c r="M2412" s="223"/>
      <c r="N2412" s="223"/>
      <c r="O2412" s="223"/>
      <c r="P2412" s="223"/>
      <c r="Q2412" s="223"/>
      <c r="R2412" s="223"/>
      <c r="S2412" s="223"/>
      <c r="T2412" s="223"/>
      <c r="U2412" s="223"/>
      <c r="V2412" s="223"/>
      <c r="W2412" s="224"/>
    </row>
    <row r="2413" spans="1:23" ht="12.75" customHeight="1">
      <c r="A2413" s="11"/>
      <c r="B2413" s="11"/>
      <c r="H2413" s="77"/>
      <c r="I2413" s="77"/>
      <c r="J2413" s="77"/>
      <c r="K2413" s="77"/>
      <c r="L2413" s="77"/>
      <c r="M2413" s="77"/>
    </row>
    <row r="2414" spans="1:23" ht="12.75" customHeight="1">
      <c r="A2414" s="11"/>
      <c r="B2414" s="11"/>
      <c r="C2414" s="64" t="s">
        <v>414</v>
      </c>
      <c r="H2414" s="246" t="s">
        <v>102</v>
      </c>
      <c r="I2414" s="223"/>
      <c r="J2414" s="223"/>
      <c r="K2414" s="223"/>
      <c r="L2414" s="223"/>
      <c r="M2414" s="224"/>
      <c r="O2414" s="64" t="s">
        <v>562</v>
      </c>
      <c r="R2414" s="246" t="s">
        <v>106</v>
      </c>
      <c r="S2414" s="223"/>
      <c r="T2414" s="223"/>
      <c r="U2414" s="223"/>
      <c r="V2414" s="223"/>
      <c r="W2414" s="224"/>
    </row>
    <row r="2415" spans="1:23" ht="12.75" customHeight="1">
      <c r="A2415" s="11"/>
      <c r="B2415" s="11"/>
      <c r="H2415" s="77"/>
      <c r="I2415" s="77"/>
      <c r="J2415" s="77"/>
      <c r="K2415" s="77"/>
      <c r="L2415" s="77"/>
      <c r="M2415" s="77"/>
    </row>
    <row r="2416" spans="1:23" ht="12.75" customHeight="1">
      <c r="A2416" s="11"/>
      <c r="B2416" s="11"/>
      <c r="C2416" s="64" t="s">
        <v>563</v>
      </c>
      <c r="H2416" s="246" t="s">
        <v>104</v>
      </c>
      <c r="I2416" s="223"/>
      <c r="J2416" s="223"/>
      <c r="K2416" s="223"/>
      <c r="L2416" s="223"/>
      <c r="M2416" s="224"/>
      <c r="O2416" s="64" t="s">
        <v>417</v>
      </c>
      <c r="R2416" s="246" t="s">
        <v>418</v>
      </c>
      <c r="S2416" s="223"/>
      <c r="T2416" s="223"/>
      <c r="U2416" s="223"/>
      <c r="V2416" s="223"/>
      <c r="W2416" s="224"/>
    </row>
    <row r="2417" spans="1:23" ht="12.75" customHeight="1">
      <c r="A2417" s="11"/>
      <c r="B2417" s="11"/>
    </row>
    <row r="2418" spans="1:23" ht="12.75" customHeight="1">
      <c r="A2418" s="11"/>
      <c r="B2418" s="152" t="s">
        <v>130</v>
      </c>
      <c r="C2418" s="64" t="s">
        <v>926</v>
      </c>
    </row>
    <row r="2419" spans="1:23" ht="12.75" customHeight="1"/>
    <row r="2420" spans="1:23" ht="27.75" customHeight="1">
      <c r="B2420" s="104" t="s">
        <v>684</v>
      </c>
      <c r="C2420" s="275" t="s">
        <v>340</v>
      </c>
      <c r="D2420" s="223"/>
      <c r="E2420" s="223"/>
      <c r="F2420" s="223"/>
      <c r="G2420" s="223"/>
      <c r="H2420" s="223"/>
      <c r="I2420" s="223"/>
      <c r="J2420" s="223"/>
      <c r="K2420" s="224"/>
      <c r="L2420" s="275" t="s">
        <v>791</v>
      </c>
      <c r="M2420" s="223"/>
      <c r="N2420" s="223"/>
      <c r="O2420" s="223"/>
      <c r="P2420" s="223"/>
      <c r="Q2420" s="224"/>
      <c r="R2420" s="286" t="s">
        <v>792</v>
      </c>
      <c r="S2420" s="223"/>
      <c r="T2420" s="224"/>
      <c r="U2420" s="275" t="s">
        <v>793</v>
      </c>
      <c r="V2420" s="223"/>
      <c r="W2420" s="224"/>
    </row>
    <row r="2421" spans="1:23" ht="12.75" customHeight="1">
      <c r="B2421" s="78">
        <v>1</v>
      </c>
      <c r="C2421" s="288" t="s">
        <v>1006</v>
      </c>
      <c r="D2421" s="223"/>
      <c r="E2421" s="223"/>
      <c r="F2421" s="223"/>
      <c r="G2421" s="223"/>
      <c r="H2421" s="223"/>
      <c r="I2421" s="223"/>
      <c r="J2421" s="223"/>
      <c r="K2421" s="224"/>
      <c r="L2421" s="246" t="s">
        <v>1005</v>
      </c>
      <c r="M2421" s="223"/>
      <c r="N2421" s="223"/>
      <c r="O2421" s="223"/>
      <c r="P2421" s="223"/>
      <c r="Q2421" s="224"/>
      <c r="R2421" s="287">
        <v>37551</v>
      </c>
      <c r="S2421" s="223"/>
      <c r="T2421" s="224"/>
      <c r="U2421" s="252" t="s">
        <v>1007</v>
      </c>
      <c r="V2421" s="223"/>
      <c r="W2421" s="224"/>
    </row>
    <row r="2422" spans="1:23" ht="12.75" customHeight="1">
      <c r="B2422" s="78">
        <v>2</v>
      </c>
      <c r="C2422" s="246"/>
      <c r="D2422" s="223"/>
      <c r="E2422" s="223"/>
      <c r="F2422" s="223"/>
      <c r="G2422" s="223"/>
      <c r="H2422" s="223"/>
      <c r="I2422" s="223"/>
      <c r="J2422" s="223"/>
      <c r="K2422" s="224"/>
      <c r="L2422" s="246"/>
      <c r="M2422" s="223"/>
      <c r="N2422" s="223"/>
      <c r="O2422" s="223"/>
      <c r="P2422" s="223"/>
      <c r="Q2422" s="224"/>
      <c r="R2422" s="287"/>
      <c r="S2422" s="223"/>
      <c r="T2422" s="224"/>
      <c r="U2422" s="252"/>
      <c r="V2422" s="223"/>
      <c r="W2422" s="224"/>
    </row>
    <row r="2423" spans="1:23" ht="12.75" customHeight="1">
      <c r="B2423" s="78">
        <v>3</v>
      </c>
      <c r="C2423" s="246"/>
      <c r="D2423" s="223"/>
      <c r="E2423" s="223"/>
      <c r="F2423" s="223"/>
      <c r="G2423" s="223"/>
      <c r="H2423" s="223"/>
      <c r="I2423" s="223"/>
      <c r="J2423" s="223"/>
      <c r="K2423" s="224"/>
      <c r="L2423" s="246"/>
      <c r="M2423" s="223"/>
      <c r="N2423" s="223"/>
      <c r="O2423" s="223"/>
      <c r="P2423" s="223"/>
      <c r="Q2423" s="224"/>
      <c r="R2423" s="287"/>
      <c r="S2423" s="223"/>
      <c r="T2423" s="224"/>
      <c r="U2423" s="252"/>
      <c r="V2423" s="223"/>
      <c r="W2423" s="224"/>
    </row>
    <row r="2424" spans="1:23" ht="12.75" customHeight="1">
      <c r="B2424" s="78">
        <v>4</v>
      </c>
      <c r="C2424" s="252"/>
      <c r="D2424" s="223"/>
      <c r="E2424" s="223"/>
      <c r="F2424" s="223"/>
      <c r="G2424" s="223"/>
      <c r="H2424" s="223"/>
      <c r="I2424" s="223"/>
      <c r="J2424" s="223"/>
      <c r="K2424" s="224"/>
      <c r="L2424" s="252"/>
      <c r="M2424" s="223"/>
      <c r="N2424" s="223"/>
      <c r="O2424" s="223"/>
      <c r="P2424" s="223"/>
      <c r="Q2424" s="224"/>
      <c r="R2424" s="252"/>
      <c r="S2424" s="223"/>
      <c r="T2424" s="224"/>
      <c r="U2424" s="252"/>
      <c r="V2424" s="223"/>
      <c r="W2424" s="224"/>
    </row>
    <row r="2425" spans="1:23" ht="12.75" customHeight="1">
      <c r="B2425" s="78">
        <v>5</v>
      </c>
      <c r="C2425" s="252"/>
      <c r="D2425" s="223"/>
      <c r="E2425" s="223"/>
      <c r="F2425" s="223"/>
      <c r="G2425" s="223"/>
      <c r="H2425" s="223"/>
      <c r="I2425" s="223"/>
      <c r="J2425" s="223"/>
      <c r="K2425" s="224"/>
      <c r="L2425" s="252"/>
      <c r="M2425" s="223"/>
      <c r="N2425" s="223"/>
      <c r="O2425" s="223"/>
      <c r="P2425" s="223"/>
      <c r="Q2425" s="224"/>
      <c r="R2425" s="252"/>
      <c r="S2425" s="223"/>
      <c r="T2425" s="224"/>
      <c r="U2425" s="252"/>
      <c r="V2425" s="223"/>
      <c r="W2425" s="224"/>
    </row>
    <row r="2426" spans="1:23" ht="12.75" customHeight="1">
      <c r="B2426" s="78">
        <v>6</v>
      </c>
      <c r="C2426" s="252"/>
      <c r="D2426" s="223"/>
      <c r="E2426" s="223"/>
      <c r="F2426" s="223"/>
      <c r="G2426" s="223"/>
      <c r="H2426" s="223"/>
      <c r="I2426" s="223"/>
      <c r="J2426" s="223"/>
      <c r="K2426" s="224"/>
      <c r="L2426" s="252"/>
      <c r="M2426" s="223"/>
      <c r="N2426" s="223"/>
      <c r="O2426" s="223"/>
      <c r="P2426" s="223"/>
      <c r="Q2426" s="224"/>
      <c r="R2426" s="252"/>
      <c r="S2426" s="223"/>
      <c r="T2426" s="224"/>
      <c r="U2426" s="252"/>
      <c r="V2426" s="223"/>
      <c r="W2426" s="224"/>
    </row>
    <row r="2427" spans="1:23" ht="12.75" customHeight="1">
      <c r="B2427" s="78">
        <v>7</v>
      </c>
      <c r="C2427" s="252"/>
      <c r="D2427" s="223"/>
      <c r="E2427" s="223"/>
      <c r="F2427" s="223"/>
      <c r="G2427" s="223"/>
      <c r="H2427" s="223"/>
      <c r="I2427" s="223"/>
      <c r="J2427" s="223"/>
      <c r="K2427" s="224"/>
      <c r="L2427" s="252"/>
      <c r="M2427" s="223"/>
      <c r="N2427" s="223"/>
      <c r="O2427" s="223"/>
      <c r="P2427" s="223"/>
      <c r="Q2427" s="224"/>
      <c r="R2427" s="252"/>
      <c r="S2427" s="223"/>
      <c r="T2427" s="224"/>
      <c r="U2427" s="252"/>
      <c r="V2427" s="223"/>
      <c r="W2427" s="224"/>
    </row>
    <row r="2428" spans="1:23" ht="12.75" customHeight="1"/>
    <row r="2429" spans="1:23" ht="12.75" customHeight="1"/>
    <row r="2430" spans="1:23" ht="12.75" customHeight="1">
      <c r="L2430" s="64" t="s">
        <v>480</v>
      </c>
      <c r="R2430" s="64" t="s">
        <v>1008</v>
      </c>
    </row>
    <row r="2431" spans="1:23" ht="12.75" customHeight="1">
      <c r="D2431" s="64" t="s">
        <v>797</v>
      </c>
      <c r="J2431" s="225" t="s">
        <v>932</v>
      </c>
      <c r="K2431" s="194"/>
      <c r="L2431" s="194"/>
      <c r="M2431" s="194"/>
      <c r="N2431" s="194"/>
      <c r="O2431" s="194"/>
      <c r="S2431" s="64" t="s">
        <v>799</v>
      </c>
    </row>
    <row r="2432" spans="1:23" ht="12.75" customHeight="1">
      <c r="K2432" s="225" t="s">
        <v>365</v>
      </c>
      <c r="L2432" s="194"/>
      <c r="M2432" s="194"/>
      <c r="N2432" s="194"/>
      <c r="O2432" s="194"/>
    </row>
    <row r="2433" spans="4:22" ht="12.75" customHeight="1"/>
    <row r="2434" spans="4:22" ht="12.75" customHeight="1"/>
    <row r="2435" spans="4:22" ht="12.75" customHeight="1"/>
    <row r="2436" spans="4:22" ht="12.75" customHeight="1">
      <c r="D2436" s="225" t="s">
        <v>501</v>
      </c>
      <c r="E2436" s="194"/>
      <c r="F2436" s="194"/>
      <c r="K2436" s="225" t="s">
        <v>366</v>
      </c>
      <c r="L2436" s="194"/>
      <c r="M2436" s="194"/>
      <c r="N2436" s="194"/>
      <c r="Q2436" s="225" t="str">
        <f>L2421</f>
        <v>ARDANIA PUTRI OKTAVIA</v>
      </c>
      <c r="R2436" s="194"/>
      <c r="S2436" s="194"/>
      <c r="T2436" s="194"/>
      <c r="U2436" s="194"/>
      <c r="V2436" s="194"/>
    </row>
    <row r="2437" spans="4:22" ht="12.75" customHeight="1"/>
    <row r="2438" spans="4:22" ht="12.75" customHeight="1"/>
    <row r="2439" spans="4:22" ht="12.75" customHeight="1"/>
    <row r="2440" spans="4:22" ht="12.75" customHeight="1"/>
    <row r="2441" spans="4:22" ht="12.75" customHeight="1"/>
    <row r="2442" spans="4:22" ht="12.75" customHeight="1"/>
    <row r="2443" spans="4:22" ht="12.75" customHeight="1"/>
    <row r="2444" spans="4:22" ht="12.75" customHeight="1"/>
    <row r="2445" spans="4:22" ht="12.75" customHeight="1"/>
    <row r="2446" spans="4:22" ht="12.75" customHeight="1"/>
    <row r="2447" spans="4:22" ht="12.75" customHeight="1"/>
    <row r="2448" spans="4:22" ht="12.75" customHeight="1"/>
    <row r="2449" spans="2:23" ht="12.75" customHeight="1"/>
    <row r="2450" spans="2:23" ht="12.75" customHeight="1"/>
    <row r="2451" spans="2:23" ht="12.75" customHeight="1"/>
    <row r="2452" spans="2:23" ht="12.75" customHeight="1"/>
    <row r="2453" spans="2:23" ht="12.75" customHeight="1"/>
    <row r="2454" spans="2:23" ht="12.75" customHeight="1"/>
    <row r="2455" spans="2:23" ht="12.75" customHeight="1"/>
    <row r="2456" spans="2:23" ht="12.75" customHeight="1"/>
    <row r="2457" spans="2:23" ht="12.75" customHeight="1">
      <c r="T2457" s="252" t="s">
        <v>800</v>
      </c>
      <c r="U2457" s="223"/>
      <c r="V2457" s="224"/>
    </row>
    <row r="2458" spans="2:23" ht="12.75" customHeight="1">
      <c r="B2458" s="151"/>
      <c r="C2458" s="151"/>
      <c r="D2458" s="151"/>
      <c r="E2458" s="151"/>
      <c r="F2458" s="151"/>
      <c r="G2458" s="151"/>
      <c r="H2458" s="151"/>
      <c r="I2458" s="151"/>
      <c r="J2458" s="151"/>
      <c r="K2458" s="151"/>
      <c r="L2458" s="151"/>
      <c r="M2458" s="151"/>
      <c r="N2458" s="151"/>
      <c r="O2458" s="151"/>
      <c r="P2458" s="151"/>
      <c r="Q2458" s="151"/>
      <c r="R2458" s="151"/>
      <c r="S2458" s="151"/>
      <c r="T2458" s="151"/>
      <c r="U2458" s="151"/>
      <c r="V2458" s="151"/>
      <c r="W2458" s="151"/>
    </row>
    <row r="2459" spans="2:23" ht="12.75" customHeight="1"/>
    <row r="2460" spans="2:23" ht="12.75" customHeight="1">
      <c r="B2460" s="64" t="s">
        <v>770</v>
      </c>
      <c r="G2460" s="11" t="s">
        <v>10</v>
      </c>
      <c r="H2460" s="78">
        <v>3</v>
      </c>
      <c r="I2460" s="78">
        <v>3</v>
      </c>
      <c r="J2460" s="11"/>
      <c r="M2460" s="246" t="s">
        <v>418</v>
      </c>
      <c r="N2460" s="223"/>
      <c r="O2460" s="223"/>
      <c r="P2460" s="223"/>
      <c r="Q2460" s="223"/>
      <c r="R2460" s="223"/>
      <c r="S2460" s="223"/>
      <c r="T2460" s="223"/>
      <c r="U2460" s="223"/>
      <c r="V2460" s="223"/>
      <c r="W2460" s="224"/>
    </row>
    <row r="2461" spans="2:23" ht="12.75" customHeight="1">
      <c r="G2461" s="11"/>
      <c r="H2461" s="11"/>
      <c r="I2461" s="11"/>
      <c r="J2461" s="11"/>
      <c r="M2461" s="77"/>
      <c r="N2461" s="77"/>
      <c r="O2461" s="77"/>
      <c r="P2461" s="77"/>
      <c r="Q2461" s="77"/>
      <c r="R2461" s="77"/>
      <c r="S2461" s="77"/>
      <c r="T2461" s="77"/>
      <c r="U2461" s="77"/>
      <c r="V2461" s="77"/>
      <c r="W2461" s="77"/>
    </row>
    <row r="2462" spans="2:23" ht="12.75" customHeight="1">
      <c r="B2462" s="64" t="s">
        <v>105</v>
      </c>
      <c r="G2462" s="11" t="s">
        <v>10</v>
      </c>
      <c r="H2462" s="78">
        <v>2</v>
      </c>
      <c r="I2462" s="78">
        <v>7</v>
      </c>
      <c r="J2462" s="11"/>
      <c r="M2462" s="246" t="s">
        <v>106</v>
      </c>
      <c r="N2462" s="223"/>
      <c r="O2462" s="223"/>
      <c r="P2462" s="223"/>
      <c r="Q2462" s="223"/>
      <c r="R2462" s="223"/>
      <c r="S2462" s="223"/>
      <c r="T2462" s="223"/>
      <c r="U2462" s="223"/>
      <c r="V2462" s="223"/>
      <c r="W2462" s="224"/>
    </row>
    <row r="2463" spans="2:23" ht="12.75" customHeight="1">
      <c r="G2463" s="11"/>
      <c r="H2463" s="11"/>
      <c r="I2463" s="11"/>
      <c r="J2463" s="11"/>
      <c r="M2463" s="77"/>
      <c r="N2463" s="77"/>
      <c r="O2463" s="77"/>
      <c r="P2463" s="77"/>
      <c r="Q2463" s="77"/>
      <c r="R2463" s="77"/>
      <c r="S2463" s="77"/>
      <c r="T2463" s="77"/>
      <c r="U2463" s="77"/>
      <c r="V2463" s="77"/>
      <c r="W2463" s="77"/>
    </row>
    <row r="2464" spans="2:23" ht="12.75" customHeight="1">
      <c r="B2464" s="64" t="s">
        <v>103</v>
      </c>
      <c r="G2464" s="11" t="s">
        <v>10</v>
      </c>
      <c r="H2464" s="78">
        <v>4</v>
      </c>
      <c r="I2464" s="78">
        <v>0</v>
      </c>
      <c r="J2464" s="11"/>
      <c r="M2464" s="246" t="s">
        <v>104</v>
      </c>
      <c r="N2464" s="223"/>
      <c r="O2464" s="223"/>
      <c r="P2464" s="223"/>
      <c r="Q2464" s="223"/>
      <c r="R2464" s="223"/>
      <c r="S2464" s="223"/>
      <c r="T2464" s="223"/>
      <c r="U2464" s="223"/>
      <c r="V2464" s="223"/>
      <c r="W2464" s="224"/>
    </row>
    <row r="2465" spans="1:25" ht="12.75" customHeight="1">
      <c r="G2465" s="11"/>
      <c r="H2465" s="11"/>
      <c r="I2465" s="11"/>
      <c r="J2465" s="11"/>
      <c r="M2465" s="77"/>
      <c r="N2465" s="77"/>
      <c r="O2465" s="77"/>
      <c r="P2465" s="77"/>
      <c r="Q2465" s="77"/>
      <c r="R2465" s="77"/>
      <c r="S2465" s="77"/>
      <c r="T2465" s="77"/>
      <c r="U2465" s="77"/>
      <c r="V2465" s="77"/>
      <c r="W2465" s="77"/>
    </row>
    <row r="2466" spans="1:25" ht="12.75" customHeight="1">
      <c r="B2466" s="64" t="s">
        <v>771</v>
      </c>
      <c r="G2466" s="11" t="s">
        <v>10</v>
      </c>
      <c r="H2466" s="78">
        <v>0</v>
      </c>
      <c r="I2466" s="78">
        <v>1</v>
      </c>
      <c r="J2466" s="78">
        <v>1</v>
      </c>
      <c r="K2466" s="91"/>
      <c r="M2466" s="246" t="s">
        <v>102</v>
      </c>
      <c r="N2466" s="223"/>
      <c r="O2466" s="223"/>
      <c r="P2466" s="223"/>
      <c r="Q2466" s="223"/>
      <c r="R2466" s="223"/>
      <c r="S2466" s="223"/>
      <c r="T2466" s="223"/>
      <c r="U2466" s="223"/>
      <c r="V2466" s="223"/>
      <c r="W2466" s="224"/>
    </row>
    <row r="2467" spans="1:25" ht="12.75" customHeight="1">
      <c r="G2467" s="11"/>
    </row>
    <row r="2468" spans="1:25" ht="12.75" customHeight="1">
      <c r="B2468" s="64" t="s">
        <v>772</v>
      </c>
      <c r="G2468" s="11" t="s">
        <v>10</v>
      </c>
      <c r="H2468" s="246" t="s">
        <v>773</v>
      </c>
      <c r="I2468" s="223"/>
      <c r="J2468" s="223"/>
      <c r="K2468" s="223"/>
      <c r="L2468" s="223"/>
      <c r="M2468" s="223"/>
      <c r="N2468" s="223"/>
      <c r="O2468" s="223"/>
      <c r="P2468" s="223"/>
      <c r="Q2468" s="223"/>
      <c r="R2468" s="223"/>
      <c r="S2468" s="223"/>
      <c r="T2468" s="223"/>
      <c r="U2468" s="223"/>
      <c r="V2468" s="223"/>
      <c r="W2468" s="224"/>
    </row>
    <row r="2469" spans="1:25" ht="12.75" customHeight="1"/>
    <row r="2470" spans="1:25" ht="12.75" customHeight="1">
      <c r="B2470" s="196" t="s">
        <v>774</v>
      </c>
      <c r="C2470" s="194"/>
      <c r="D2470" s="194"/>
      <c r="E2470" s="194"/>
      <c r="F2470" s="194"/>
      <c r="G2470" s="194"/>
      <c r="H2470" s="194"/>
      <c r="I2470" s="194"/>
      <c r="J2470" s="194"/>
      <c r="K2470" s="194"/>
      <c r="L2470" s="194"/>
      <c r="M2470" s="194"/>
      <c r="N2470" s="194"/>
      <c r="O2470" s="194"/>
      <c r="P2470" s="194"/>
      <c r="Q2470" s="194"/>
      <c r="R2470" s="194"/>
      <c r="S2470" s="194"/>
      <c r="T2470" s="194"/>
      <c r="U2470" s="194"/>
      <c r="V2470" s="194"/>
      <c r="W2470" s="194"/>
      <c r="Y2470" s="72" t="s">
        <v>1009</v>
      </c>
    </row>
    <row r="2471" spans="1:25" ht="12.75" customHeight="1">
      <c r="B2471" s="225" t="s">
        <v>853</v>
      </c>
      <c r="C2471" s="194"/>
      <c r="D2471" s="194"/>
      <c r="E2471" s="194"/>
      <c r="F2471" s="194"/>
      <c r="G2471" s="194"/>
      <c r="H2471" s="194"/>
      <c r="I2471" s="194"/>
      <c r="J2471" s="194"/>
      <c r="K2471" s="194"/>
      <c r="L2471" s="194"/>
      <c r="M2471" s="194"/>
      <c r="N2471" s="194"/>
      <c r="O2471" s="194"/>
      <c r="P2471" s="194"/>
      <c r="Q2471" s="194"/>
      <c r="R2471" s="194"/>
      <c r="S2471" s="194"/>
      <c r="T2471" s="194"/>
      <c r="U2471" s="194"/>
      <c r="V2471" s="194"/>
      <c r="W2471" s="194"/>
    </row>
    <row r="2472" spans="1:25" ht="12.75" customHeight="1">
      <c r="B2472" s="225" t="s">
        <v>1010</v>
      </c>
      <c r="C2472" s="194"/>
      <c r="D2472" s="194"/>
      <c r="E2472" s="194"/>
      <c r="F2472" s="194"/>
      <c r="G2472" s="194"/>
      <c r="H2472" s="194"/>
      <c r="I2472" s="194"/>
      <c r="J2472" s="194"/>
      <c r="K2472" s="194"/>
      <c r="L2472" s="194"/>
      <c r="M2472" s="194"/>
      <c r="N2472" s="194"/>
      <c r="O2472" s="194"/>
      <c r="P2472" s="194"/>
      <c r="Q2472" s="194"/>
      <c r="R2472" s="194"/>
      <c r="S2472" s="194"/>
      <c r="T2472" s="194"/>
      <c r="U2472" s="194"/>
      <c r="V2472" s="194"/>
      <c r="W2472" s="194"/>
    </row>
    <row r="2473" spans="1:25" ht="12.75" customHeight="1">
      <c r="A2473" s="11"/>
      <c r="B2473" s="38" t="s">
        <v>777</v>
      </c>
    </row>
    <row r="2474" spans="1:25" ht="12.75" customHeight="1"/>
    <row r="2475" spans="1:25" ht="12.75" customHeight="1">
      <c r="B2475" s="152" t="s">
        <v>111</v>
      </c>
      <c r="C2475" s="64" t="s">
        <v>387</v>
      </c>
      <c r="H2475" s="78">
        <v>3</v>
      </c>
      <c r="I2475" s="78">
        <v>3</v>
      </c>
      <c r="J2475" s="78">
        <v>2</v>
      </c>
      <c r="K2475" s="78">
        <v>7</v>
      </c>
      <c r="L2475" s="78">
        <v>0</v>
      </c>
      <c r="M2475" s="78">
        <v>4</v>
      </c>
      <c r="N2475" s="78">
        <v>1</v>
      </c>
      <c r="O2475" s="78">
        <v>1</v>
      </c>
      <c r="P2475" s="78">
        <v>0</v>
      </c>
      <c r="Q2475" s="78">
        <v>8</v>
      </c>
      <c r="R2475" s="78">
        <v>0</v>
      </c>
      <c r="S2475" s="78">
        <v>8</v>
      </c>
      <c r="T2475" s="78">
        <v>0</v>
      </c>
      <c r="U2475" s="78">
        <v>0</v>
      </c>
      <c r="V2475" s="78">
        <v>0</v>
      </c>
      <c r="W2475" s="78">
        <v>8</v>
      </c>
    </row>
    <row r="2476" spans="1:25" ht="12.75" customHeight="1">
      <c r="B2476" s="11"/>
    </row>
    <row r="2477" spans="1:25" ht="12.75" customHeight="1">
      <c r="B2477" s="152" t="s">
        <v>115</v>
      </c>
      <c r="C2477" s="64" t="s">
        <v>385</v>
      </c>
      <c r="H2477" s="246" t="s">
        <v>1011</v>
      </c>
      <c r="I2477" s="223"/>
      <c r="J2477" s="223"/>
      <c r="K2477" s="223"/>
      <c r="L2477" s="223"/>
      <c r="M2477" s="223"/>
      <c r="N2477" s="223"/>
      <c r="O2477" s="223"/>
      <c r="P2477" s="223"/>
      <c r="Q2477" s="223"/>
      <c r="R2477" s="223"/>
      <c r="S2477" s="223"/>
      <c r="T2477" s="223"/>
      <c r="U2477" s="223"/>
      <c r="V2477" s="223"/>
      <c r="W2477" s="224"/>
    </row>
    <row r="2478" spans="1:25" ht="12.75" customHeight="1">
      <c r="B2478" s="11"/>
    </row>
    <row r="2479" spans="1:25" ht="12.75" customHeight="1">
      <c r="B2479" s="152" t="s">
        <v>118</v>
      </c>
      <c r="C2479" s="64" t="s">
        <v>345</v>
      </c>
      <c r="H2479" s="246" t="s">
        <v>102</v>
      </c>
      <c r="I2479" s="223"/>
      <c r="J2479" s="223"/>
      <c r="K2479" s="223"/>
      <c r="L2479" s="223"/>
      <c r="M2479" s="223"/>
      <c r="N2479" s="223"/>
      <c r="O2479" s="224"/>
      <c r="P2479" s="64" t="s">
        <v>675</v>
      </c>
      <c r="Q2479" s="78">
        <v>0</v>
      </c>
      <c r="R2479" s="78">
        <v>0</v>
      </c>
      <c r="S2479" s="78">
        <v>9</v>
      </c>
      <c r="T2479" s="11" t="s">
        <v>676</v>
      </c>
      <c r="U2479" s="78">
        <v>0</v>
      </c>
      <c r="V2479" s="78">
        <v>0</v>
      </c>
      <c r="W2479" s="78">
        <v>2</v>
      </c>
    </row>
    <row r="2480" spans="1:25" ht="12.75" customHeight="1">
      <c r="B2480" s="11"/>
    </row>
    <row r="2481" spans="1:23" ht="12.75" customHeight="1">
      <c r="B2481" s="11"/>
      <c r="H2481" s="64" t="s">
        <v>779</v>
      </c>
      <c r="L2481" s="246" t="s">
        <v>909</v>
      </c>
      <c r="M2481" s="223"/>
      <c r="N2481" s="223"/>
      <c r="O2481" s="223"/>
      <c r="P2481" s="223"/>
      <c r="Q2481" s="223"/>
      <c r="R2481" s="223"/>
      <c r="S2481" s="223"/>
      <c r="T2481" s="223"/>
      <c r="U2481" s="223"/>
      <c r="V2481" s="223"/>
      <c r="W2481" s="224"/>
    </row>
    <row r="2482" spans="1:23" ht="12.75" customHeight="1">
      <c r="B2482" s="11"/>
      <c r="L2482" s="11"/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</row>
    <row r="2483" spans="1:23" ht="12.75" customHeight="1">
      <c r="B2483" s="11"/>
      <c r="C2483" s="64" t="s">
        <v>414</v>
      </c>
      <c r="H2483" s="246" t="s">
        <v>102</v>
      </c>
      <c r="I2483" s="223"/>
      <c r="J2483" s="223"/>
      <c r="K2483" s="223"/>
      <c r="L2483" s="223"/>
      <c r="M2483" s="224"/>
      <c r="O2483" s="64" t="s">
        <v>562</v>
      </c>
      <c r="R2483" s="246" t="s">
        <v>106</v>
      </c>
      <c r="S2483" s="223"/>
      <c r="T2483" s="223"/>
      <c r="U2483" s="223"/>
      <c r="V2483" s="223"/>
      <c r="W2483" s="224"/>
    </row>
    <row r="2484" spans="1:23" ht="12.75" customHeight="1">
      <c r="B2484" s="11"/>
      <c r="H2484" s="77"/>
      <c r="I2484" s="77"/>
      <c r="J2484" s="77"/>
      <c r="K2484" s="77"/>
      <c r="L2484" s="77"/>
      <c r="M2484" s="77"/>
      <c r="R2484" s="77"/>
      <c r="S2484" s="77"/>
      <c r="T2484" s="77"/>
      <c r="U2484" s="77"/>
      <c r="V2484" s="77"/>
      <c r="W2484" s="77"/>
    </row>
    <row r="2485" spans="1:23" ht="12.75" customHeight="1">
      <c r="B2485" s="11"/>
      <c r="C2485" s="64" t="s">
        <v>416</v>
      </c>
      <c r="H2485" s="246" t="s">
        <v>104</v>
      </c>
      <c r="I2485" s="223"/>
      <c r="J2485" s="223"/>
      <c r="K2485" s="223"/>
      <c r="L2485" s="223"/>
      <c r="M2485" s="224"/>
      <c r="O2485" s="64" t="s">
        <v>417</v>
      </c>
      <c r="R2485" s="246" t="s">
        <v>418</v>
      </c>
      <c r="S2485" s="223"/>
      <c r="T2485" s="223"/>
      <c r="U2485" s="223"/>
      <c r="V2485" s="223"/>
      <c r="W2485" s="224"/>
    </row>
    <row r="2486" spans="1:23" ht="12.75" customHeight="1">
      <c r="B2486" s="11"/>
      <c r="H2486" s="77"/>
      <c r="I2486" s="77"/>
      <c r="J2486" s="77"/>
      <c r="K2486" s="77"/>
      <c r="L2486" s="77"/>
      <c r="M2486" s="77"/>
      <c r="R2486" s="11"/>
      <c r="S2486" s="11"/>
      <c r="T2486" s="11"/>
      <c r="U2486" s="11"/>
      <c r="V2486" s="11"/>
      <c r="W2486" s="11"/>
    </row>
    <row r="2487" spans="1:23" ht="12.75" customHeight="1">
      <c r="B2487" s="11"/>
      <c r="H2487" s="11" t="s">
        <v>674</v>
      </c>
      <c r="I2487" s="11"/>
      <c r="J2487" s="78">
        <v>5</v>
      </c>
      <c r="K2487" s="78">
        <v>2</v>
      </c>
      <c r="L2487" s="78">
        <v>3</v>
      </c>
      <c r="M2487" s="78">
        <v>5</v>
      </c>
      <c r="N2487" s="78">
        <v>7</v>
      </c>
      <c r="P2487" s="64" t="s">
        <v>680</v>
      </c>
      <c r="R2487" s="78"/>
      <c r="S2487" s="78"/>
      <c r="T2487" s="78"/>
      <c r="U2487" s="78"/>
      <c r="V2487" s="78"/>
      <c r="W2487" s="78"/>
    </row>
    <row r="2488" spans="1:23" ht="12.75" customHeight="1">
      <c r="B2488" s="11"/>
    </row>
    <row r="2489" spans="1:23" ht="12.75" customHeight="1">
      <c r="B2489" s="152" t="s">
        <v>121</v>
      </c>
      <c r="C2489" s="64" t="s">
        <v>780</v>
      </c>
      <c r="H2489" s="78">
        <v>3</v>
      </c>
      <c r="I2489" s="78">
        <v>3</v>
      </c>
      <c r="J2489" s="78">
        <v>2</v>
      </c>
      <c r="K2489" s="78">
        <v>7</v>
      </c>
      <c r="L2489" s="78">
        <v>0</v>
      </c>
      <c r="M2489" s="78">
        <v>4</v>
      </c>
      <c r="N2489" s="78">
        <v>5</v>
      </c>
      <c r="O2489" s="78">
        <v>5</v>
      </c>
      <c r="P2489" s="78">
        <v>0</v>
      </c>
      <c r="Q2489" s="78">
        <v>6</v>
      </c>
      <c r="R2489" s="78">
        <v>7</v>
      </c>
      <c r="S2489" s="78">
        <v>8</v>
      </c>
      <c r="T2489" s="78">
        <v>0</v>
      </c>
      <c r="U2489" s="78">
        <v>0</v>
      </c>
      <c r="V2489" s="78">
        <v>0</v>
      </c>
      <c r="W2489" s="78">
        <v>6</v>
      </c>
    </row>
    <row r="2490" spans="1:23" ht="12.75" customHeight="1">
      <c r="B2490" s="11"/>
    </row>
    <row r="2491" spans="1:23" ht="12.75" customHeight="1">
      <c r="B2491" s="152" t="s">
        <v>124</v>
      </c>
      <c r="C2491" s="64" t="s">
        <v>391</v>
      </c>
      <c r="H2491" s="246" t="s">
        <v>1012</v>
      </c>
      <c r="I2491" s="223"/>
      <c r="J2491" s="223"/>
      <c r="K2491" s="223"/>
      <c r="L2491" s="223"/>
      <c r="M2491" s="223"/>
      <c r="N2491" s="223"/>
      <c r="O2491" s="223"/>
      <c r="P2491" s="223"/>
      <c r="Q2491" s="223"/>
      <c r="R2491" s="223"/>
      <c r="S2491" s="223"/>
      <c r="T2491" s="223"/>
      <c r="U2491" s="223"/>
      <c r="V2491" s="223"/>
      <c r="W2491" s="224"/>
    </row>
    <row r="2492" spans="1:23" ht="12.75" customHeight="1"/>
    <row r="2493" spans="1:23" ht="12.75" customHeight="1"/>
    <row r="2494" spans="1:23" ht="12.75" customHeight="1">
      <c r="B2494" s="38" t="s">
        <v>782</v>
      </c>
    </row>
    <row r="2495" spans="1:23" ht="12.75" customHeight="1"/>
    <row r="2496" spans="1:23" ht="12.75" customHeight="1">
      <c r="A2496" s="11"/>
      <c r="B2496" s="152" t="s">
        <v>111</v>
      </c>
      <c r="C2496" s="64" t="s">
        <v>783</v>
      </c>
      <c r="H2496" s="78">
        <v>2</v>
      </c>
      <c r="I2496" s="64" t="s">
        <v>784</v>
      </c>
    </row>
    <row r="2497" spans="1:23" ht="12.75" customHeight="1">
      <c r="A2497" s="11"/>
      <c r="B2497" s="11"/>
    </row>
    <row r="2498" spans="1:23" ht="12.75" customHeight="1">
      <c r="A2498" s="11"/>
      <c r="B2498" s="152" t="s">
        <v>115</v>
      </c>
      <c r="C2498" s="64" t="s">
        <v>387</v>
      </c>
      <c r="H2498" s="78"/>
      <c r="I2498" s="78"/>
      <c r="J2498" s="78"/>
      <c r="K2498" s="78"/>
      <c r="L2498" s="78"/>
      <c r="M2498" s="78"/>
      <c r="N2498" s="78"/>
      <c r="O2498" s="78"/>
      <c r="P2498" s="78"/>
      <c r="Q2498" s="78"/>
      <c r="R2498" s="78"/>
      <c r="S2498" s="78"/>
      <c r="T2498" s="78"/>
      <c r="U2498" s="78"/>
      <c r="V2498" s="78"/>
      <c r="W2498" s="78"/>
    </row>
    <row r="2499" spans="1:23" ht="12.75" customHeight="1">
      <c r="A2499" s="11"/>
      <c r="B2499" s="11"/>
    </row>
    <row r="2500" spans="1:23" ht="12.75" customHeight="1">
      <c r="A2500" s="11"/>
      <c r="B2500" s="152" t="s">
        <v>118</v>
      </c>
      <c r="C2500" s="64" t="s">
        <v>785</v>
      </c>
      <c r="H2500" s="78">
        <v>3</v>
      </c>
      <c r="I2500" s="78">
        <v>3</v>
      </c>
      <c r="J2500" s="78">
        <v>2</v>
      </c>
      <c r="K2500" s="78">
        <v>7</v>
      </c>
      <c r="L2500" s="78">
        <v>0</v>
      </c>
      <c r="M2500" s="78">
        <v>4</v>
      </c>
      <c r="N2500" s="78">
        <v>5</v>
      </c>
      <c r="O2500" s="78">
        <v>5</v>
      </c>
      <c r="P2500" s="78">
        <v>0</v>
      </c>
      <c r="Q2500" s="78">
        <v>6</v>
      </c>
      <c r="R2500" s="78">
        <v>7</v>
      </c>
      <c r="S2500" s="78">
        <v>8</v>
      </c>
      <c r="T2500" s="78">
        <v>0</v>
      </c>
      <c r="U2500" s="78">
        <v>0</v>
      </c>
      <c r="V2500" s="78">
        <v>0</v>
      </c>
      <c r="W2500" s="78">
        <v>6</v>
      </c>
    </row>
    <row r="2501" spans="1:23" ht="12.75" customHeight="1">
      <c r="A2501" s="11"/>
      <c r="B2501" s="11"/>
    </row>
    <row r="2502" spans="1:23" ht="12.75" customHeight="1">
      <c r="A2502" s="11"/>
      <c r="B2502" s="152" t="s">
        <v>121</v>
      </c>
      <c r="C2502" s="64" t="s">
        <v>385</v>
      </c>
      <c r="H2502" s="246" t="s">
        <v>1012</v>
      </c>
      <c r="I2502" s="223"/>
      <c r="J2502" s="223"/>
      <c r="K2502" s="223"/>
      <c r="L2502" s="223"/>
      <c r="M2502" s="223"/>
      <c r="N2502" s="223"/>
      <c r="O2502" s="223"/>
      <c r="P2502" s="223"/>
      <c r="Q2502" s="223"/>
      <c r="R2502" s="223"/>
      <c r="S2502" s="223"/>
      <c r="T2502" s="223"/>
      <c r="U2502" s="223"/>
      <c r="V2502" s="223"/>
      <c r="W2502" s="224"/>
    </row>
    <row r="2503" spans="1:23" ht="12.75" customHeight="1">
      <c r="A2503" s="11"/>
      <c r="B2503" s="11"/>
    </row>
    <row r="2504" spans="1:23" ht="12.75" customHeight="1">
      <c r="A2504" s="11"/>
      <c r="B2504" s="152" t="s">
        <v>124</v>
      </c>
      <c r="C2504" s="64" t="s">
        <v>786</v>
      </c>
      <c r="H2504" s="78"/>
      <c r="I2504" s="78"/>
      <c r="J2504" s="11"/>
      <c r="K2504" s="78"/>
      <c r="L2504" s="78"/>
      <c r="M2504" s="11"/>
      <c r="N2504" s="78"/>
      <c r="O2504" s="78"/>
      <c r="P2504" s="78"/>
      <c r="Q2504" s="78"/>
      <c r="R2504" s="11"/>
    </row>
    <row r="2505" spans="1:23" ht="12.75" customHeight="1">
      <c r="A2505" s="11"/>
      <c r="B2505" s="11"/>
    </row>
    <row r="2506" spans="1:23" ht="12.75" customHeight="1">
      <c r="A2506" s="11"/>
      <c r="B2506" s="152" t="s">
        <v>127</v>
      </c>
      <c r="C2506" s="64" t="s">
        <v>345</v>
      </c>
      <c r="F2506" s="91"/>
      <c r="H2506" s="246" t="s">
        <v>1013</v>
      </c>
      <c r="I2506" s="223"/>
      <c r="J2506" s="223"/>
      <c r="K2506" s="223"/>
      <c r="L2506" s="223"/>
      <c r="M2506" s="223"/>
      <c r="N2506" s="224"/>
      <c r="P2506" s="64" t="s">
        <v>675</v>
      </c>
      <c r="Q2506" s="78">
        <v>0</v>
      </c>
      <c r="R2506" s="78">
        <v>1</v>
      </c>
      <c r="S2506" s="78">
        <v>5</v>
      </c>
      <c r="T2506" s="11" t="s">
        <v>676</v>
      </c>
      <c r="U2506" s="78">
        <v>0</v>
      </c>
      <c r="V2506" s="78">
        <v>0</v>
      </c>
      <c r="W2506" s="78">
        <v>4</v>
      </c>
    </row>
    <row r="2507" spans="1:23" ht="12.75" customHeight="1">
      <c r="A2507" s="11"/>
      <c r="B2507" s="11"/>
    </row>
    <row r="2508" spans="1:23" ht="12.75" customHeight="1">
      <c r="A2508" s="11"/>
      <c r="B2508" s="11"/>
      <c r="F2508" s="91"/>
      <c r="H2508" s="64" t="s">
        <v>779</v>
      </c>
      <c r="L2508" s="246"/>
      <c r="M2508" s="223"/>
      <c r="N2508" s="223"/>
      <c r="O2508" s="223"/>
      <c r="P2508" s="223"/>
      <c r="Q2508" s="223"/>
      <c r="R2508" s="223"/>
      <c r="S2508" s="223"/>
      <c r="T2508" s="223"/>
      <c r="U2508" s="223"/>
      <c r="V2508" s="223"/>
      <c r="W2508" s="224"/>
    </row>
    <row r="2509" spans="1:23" ht="12.75" customHeight="1">
      <c r="A2509" s="11"/>
      <c r="B2509" s="11"/>
    </row>
    <row r="2510" spans="1:23" ht="12.75" customHeight="1">
      <c r="A2510" s="11"/>
      <c r="B2510" s="11"/>
      <c r="C2510" s="64" t="s">
        <v>414</v>
      </c>
      <c r="H2510" s="246" t="s">
        <v>1014</v>
      </c>
      <c r="I2510" s="223"/>
      <c r="J2510" s="223"/>
      <c r="K2510" s="223"/>
      <c r="L2510" s="223"/>
      <c r="M2510" s="224"/>
      <c r="O2510" s="64" t="s">
        <v>562</v>
      </c>
      <c r="R2510" s="246" t="s">
        <v>1015</v>
      </c>
      <c r="S2510" s="223"/>
      <c r="T2510" s="223"/>
      <c r="U2510" s="223"/>
      <c r="V2510" s="223"/>
      <c r="W2510" s="224"/>
    </row>
    <row r="2511" spans="1:23" ht="12.75" customHeight="1">
      <c r="A2511" s="11"/>
      <c r="B2511" s="11"/>
      <c r="H2511" s="77"/>
      <c r="I2511" s="77"/>
      <c r="J2511" s="77"/>
      <c r="K2511" s="77"/>
      <c r="L2511" s="77"/>
      <c r="M2511" s="77"/>
      <c r="R2511" s="77"/>
      <c r="S2511" s="77"/>
      <c r="T2511" s="77"/>
      <c r="U2511" s="77"/>
      <c r="V2511" s="77"/>
      <c r="W2511" s="77"/>
    </row>
    <row r="2512" spans="1:23" ht="12.75" customHeight="1">
      <c r="A2512" s="11"/>
      <c r="B2512" s="11"/>
      <c r="C2512" s="64" t="s">
        <v>563</v>
      </c>
      <c r="H2512" s="246" t="s">
        <v>1016</v>
      </c>
      <c r="I2512" s="223"/>
      <c r="J2512" s="223"/>
      <c r="K2512" s="223"/>
      <c r="L2512" s="223"/>
      <c r="M2512" s="224"/>
      <c r="O2512" s="64" t="s">
        <v>417</v>
      </c>
      <c r="R2512" s="246" t="s">
        <v>924</v>
      </c>
      <c r="S2512" s="223"/>
      <c r="T2512" s="223"/>
      <c r="U2512" s="223"/>
      <c r="V2512" s="223"/>
      <c r="W2512" s="224"/>
    </row>
    <row r="2513" spans="1:23" ht="12.75" customHeight="1">
      <c r="A2513" s="11"/>
      <c r="B2513" s="11"/>
      <c r="H2513" s="77"/>
      <c r="I2513" s="77"/>
      <c r="J2513" s="77"/>
      <c r="K2513" s="77"/>
      <c r="L2513" s="77"/>
      <c r="M2513" s="77"/>
      <c r="R2513" s="77"/>
      <c r="S2513" s="77"/>
      <c r="T2513" s="77"/>
      <c r="U2513" s="77"/>
      <c r="V2513" s="77"/>
      <c r="W2513" s="77"/>
    </row>
    <row r="2514" spans="1:23" ht="12.75" customHeight="1">
      <c r="A2514" s="11"/>
      <c r="B2514" s="152" t="s">
        <v>130</v>
      </c>
      <c r="C2514" s="64" t="s">
        <v>790</v>
      </c>
    </row>
    <row r="2515" spans="1:23" ht="12.75" customHeight="1"/>
    <row r="2516" spans="1:23" ht="12.75" customHeight="1">
      <c r="B2516" s="104" t="s">
        <v>684</v>
      </c>
      <c r="C2516" s="275" t="s">
        <v>340</v>
      </c>
      <c r="D2516" s="223"/>
      <c r="E2516" s="223"/>
      <c r="F2516" s="223"/>
      <c r="G2516" s="223"/>
      <c r="H2516" s="223"/>
      <c r="I2516" s="223"/>
      <c r="J2516" s="223"/>
      <c r="K2516" s="224"/>
      <c r="L2516" s="275" t="s">
        <v>791</v>
      </c>
      <c r="M2516" s="223"/>
      <c r="N2516" s="223"/>
      <c r="O2516" s="223"/>
      <c r="P2516" s="223"/>
      <c r="Q2516" s="224"/>
      <c r="R2516" s="286" t="s">
        <v>792</v>
      </c>
      <c r="S2516" s="223"/>
      <c r="T2516" s="224"/>
      <c r="U2516" s="275" t="s">
        <v>793</v>
      </c>
      <c r="V2516" s="223"/>
      <c r="W2516" s="224"/>
    </row>
    <row r="2517" spans="1:23" ht="12.75" customHeight="1">
      <c r="B2517" s="78">
        <v>1</v>
      </c>
      <c r="C2517" s="288" t="s">
        <v>1017</v>
      </c>
      <c r="D2517" s="223"/>
      <c r="E2517" s="223"/>
      <c r="F2517" s="223"/>
      <c r="G2517" s="223"/>
      <c r="H2517" s="223"/>
      <c r="I2517" s="223"/>
      <c r="J2517" s="223"/>
      <c r="K2517" s="224"/>
      <c r="L2517" s="252" t="s">
        <v>1012</v>
      </c>
      <c r="M2517" s="223"/>
      <c r="N2517" s="223"/>
      <c r="O2517" s="223"/>
      <c r="P2517" s="223"/>
      <c r="Q2517" s="224"/>
      <c r="R2517" s="252"/>
      <c r="S2517" s="223"/>
      <c r="T2517" s="224"/>
      <c r="U2517" s="252" t="s">
        <v>795</v>
      </c>
      <c r="V2517" s="223"/>
      <c r="W2517" s="224"/>
    </row>
    <row r="2518" spans="1:23" ht="12.75" customHeight="1">
      <c r="B2518" s="78">
        <v>2</v>
      </c>
      <c r="C2518" s="252"/>
      <c r="D2518" s="223"/>
      <c r="E2518" s="223"/>
      <c r="F2518" s="223"/>
      <c r="G2518" s="223"/>
      <c r="H2518" s="223"/>
      <c r="I2518" s="223"/>
      <c r="J2518" s="223"/>
      <c r="K2518" s="224"/>
      <c r="L2518" s="252"/>
      <c r="M2518" s="223"/>
      <c r="N2518" s="223"/>
      <c r="O2518" s="223"/>
      <c r="P2518" s="223"/>
      <c r="Q2518" s="224"/>
      <c r="R2518" s="252"/>
      <c r="S2518" s="223"/>
      <c r="T2518" s="224"/>
      <c r="U2518" s="252"/>
      <c r="V2518" s="223"/>
      <c r="W2518" s="224"/>
    </row>
    <row r="2519" spans="1:23" ht="12.75" customHeight="1">
      <c r="B2519" s="78">
        <v>3</v>
      </c>
      <c r="C2519" s="252"/>
      <c r="D2519" s="223"/>
      <c r="E2519" s="223"/>
      <c r="F2519" s="223"/>
      <c r="G2519" s="223"/>
      <c r="H2519" s="223"/>
      <c r="I2519" s="223"/>
      <c r="J2519" s="223"/>
      <c r="K2519" s="224"/>
      <c r="L2519" s="252"/>
      <c r="M2519" s="223"/>
      <c r="N2519" s="223"/>
      <c r="O2519" s="223"/>
      <c r="P2519" s="223"/>
      <c r="Q2519" s="224"/>
      <c r="R2519" s="252"/>
      <c r="S2519" s="223"/>
      <c r="T2519" s="224"/>
      <c r="U2519" s="252"/>
      <c r="V2519" s="223"/>
      <c r="W2519" s="224"/>
    </row>
    <row r="2520" spans="1:23" ht="12.75" customHeight="1">
      <c r="B2520" s="78">
        <v>4</v>
      </c>
      <c r="C2520" s="252"/>
      <c r="D2520" s="223"/>
      <c r="E2520" s="223"/>
      <c r="F2520" s="223"/>
      <c r="G2520" s="223"/>
      <c r="H2520" s="223"/>
      <c r="I2520" s="223"/>
      <c r="J2520" s="223"/>
      <c r="K2520" s="224"/>
      <c r="L2520" s="252"/>
      <c r="M2520" s="223"/>
      <c r="N2520" s="223"/>
      <c r="O2520" s="223"/>
      <c r="P2520" s="223"/>
      <c r="Q2520" s="224"/>
      <c r="R2520" s="252"/>
      <c r="S2520" s="223"/>
      <c r="T2520" s="224"/>
      <c r="U2520" s="252"/>
      <c r="V2520" s="223"/>
      <c r="W2520" s="224"/>
    </row>
    <row r="2521" spans="1:23" ht="12.75" customHeight="1">
      <c r="B2521" s="78">
        <v>5</v>
      </c>
      <c r="C2521" s="252"/>
      <c r="D2521" s="223"/>
      <c r="E2521" s="223"/>
      <c r="F2521" s="223"/>
      <c r="G2521" s="223"/>
      <c r="H2521" s="223"/>
      <c r="I2521" s="223"/>
      <c r="J2521" s="223"/>
      <c r="K2521" s="224"/>
      <c r="L2521" s="252"/>
      <c r="M2521" s="223"/>
      <c r="N2521" s="223"/>
      <c r="O2521" s="223"/>
      <c r="P2521" s="223"/>
      <c r="Q2521" s="224"/>
      <c r="R2521" s="252"/>
      <c r="S2521" s="223"/>
      <c r="T2521" s="224"/>
      <c r="U2521" s="252"/>
      <c r="V2521" s="223"/>
      <c r="W2521" s="224"/>
    </row>
    <row r="2522" spans="1:23" ht="12.75" customHeight="1">
      <c r="B2522" s="78">
        <v>6</v>
      </c>
      <c r="C2522" s="252"/>
      <c r="D2522" s="223"/>
      <c r="E2522" s="223"/>
      <c r="F2522" s="223"/>
      <c r="G2522" s="223"/>
      <c r="H2522" s="223"/>
      <c r="I2522" s="223"/>
      <c r="J2522" s="223"/>
      <c r="K2522" s="224"/>
      <c r="L2522" s="252"/>
      <c r="M2522" s="223"/>
      <c r="N2522" s="223"/>
      <c r="O2522" s="223"/>
      <c r="P2522" s="223"/>
      <c r="Q2522" s="224"/>
      <c r="R2522" s="252"/>
      <c r="S2522" s="223"/>
      <c r="T2522" s="224"/>
      <c r="U2522" s="252"/>
      <c r="V2522" s="223"/>
      <c r="W2522" s="224"/>
    </row>
    <row r="2523" spans="1:23" ht="12.75" customHeight="1">
      <c r="B2523" s="78">
        <v>7</v>
      </c>
      <c r="C2523" s="252"/>
      <c r="D2523" s="223"/>
      <c r="E2523" s="223"/>
      <c r="F2523" s="223"/>
      <c r="G2523" s="223"/>
      <c r="H2523" s="223"/>
      <c r="I2523" s="223"/>
      <c r="J2523" s="223"/>
      <c r="K2523" s="224"/>
      <c r="L2523" s="252"/>
      <c r="M2523" s="223"/>
      <c r="N2523" s="223"/>
      <c r="O2523" s="223"/>
      <c r="P2523" s="223"/>
      <c r="Q2523" s="224"/>
      <c r="R2523" s="252"/>
      <c r="S2523" s="223"/>
      <c r="T2523" s="224"/>
      <c r="U2523" s="252"/>
      <c r="V2523" s="223"/>
      <c r="W2523" s="224"/>
    </row>
    <row r="2524" spans="1:23" ht="12.75" customHeight="1"/>
    <row r="2525" spans="1:23" ht="12.75" customHeight="1"/>
    <row r="2526" spans="1:23" ht="12.75" customHeight="1">
      <c r="J2526" s="225" t="s">
        <v>480</v>
      </c>
      <c r="K2526" s="194"/>
      <c r="L2526" s="194"/>
      <c r="M2526" s="194"/>
      <c r="N2526" s="194"/>
      <c r="O2526" s="194"/>
      <c r="R2526" s="3" t="s">
        <v>1018</v>
      </c>
    </row>
    <row r="2527" spans="1:23" ht="12.75" customHeight="1">
      <c r="D2527" s="64" t="s">
        <v>797</v>
      </c>
      <c r="J2527" s="225" t="s">
        <v>885</v>
      </c>
      <c r="K2527" s="194"/>
      <c r="L2527" s="194"/>
      <c r="M2527" s="194"/>
      <c r="N2527" s="194"/>
      <c r="O2527" s="194"/>
      <c r="S2527" s="64" t="s">
        <v>799</v>
      </c>
    </row>
    <row r="2528" spans="1:23" ht="12.75" customHeight="1">
      <c r="J2528" s="225" t="s">
        <v>365</v>
      </c>
      <c r="K2528" s="194"/>
      <c r="L2528" s="194"/>
      <c r="M2528" s="194"/>
      <c r="N2528" s="194"/>
      <c r="O2528" s="194"/>
    </row>
    <row r="2529" spans="4:21" ht="12.75" customHeight="1"/>
    <row r="2530" spans="4:21" ht="12.75" customHeight="1"/>
    <row r="2531" spans="4:21" ht="12.75" customHeight="1"/>
    <row r="2532" spans="4:21" ht="12.75" customHeight="1">
      <c r="D2532" s="3" t="s">
        <v>964</v>
      </c>
      <c r="K2532" s="225" t="s">
        <v>366</v>
      </c>
      <c r="L2532" s="194"/>
      <c r="M2532" s="194"/>
      <c r="N2532" s="194"/>
      <c r="R2532" s="225" t="s">
        <v>1012</v>
      </c>
      <c r="S2532" s="194"/>
      <c r="T2532" s="194"/>
      <c r="U2532" s="194"/>
    </row>
  </sheetData>
  <mergeCells count="1469">
    <mergeCell ref="H2183:W2183"/>
    <mergeCell ref="B2185:W2185"/>
    <mergeCell ref="B2186:W2186"/>
    <mergeCell ref="B2187:W2187"/>
    <mergeCell ref="H2192:W2192"/>
    <mergeCell ref="H2194:O2194"/>
    <mergeCell ref="L2196:W2196"/>
    <mergeCell ref="M2177:W2177"/>
    <mergeCell ref="M2179:W2179"/>
    <mergeCell ref="M2181:W2181"/>
    <mergeCell ref="R2130:W2130"/>
    <mergeCell ref="R2132:W2132"/>
    <mergeCell ref="R2136:T2136"/>
    <mergeCell ref="U2136:W2136"/>
    <mergeCell ref="R2137:T2137"/>
    <mergeCell ref="U2137:W2137"/>
    <mergeCell ref="H2103:M2103"/>
    <mergeCell ref="R2103:W2103"/>
    <mergeCell ref="H2105:M2105"/>
    <mergeCell ref="R2105:W2105"/>
    <mergeCell ref="H2111:W2111"/>
    <mergeCell ref="H2122:W2122"/>
    <mergeCell ref="L2128:W2128"/>
    <mergeCell ref="H2126:N2126"/>
    <mergeCell ref="H2130:M2130"/>
    <mergeCell ref="H2132:M2132"/>
    <mergeCell ref="C2136:K2136"/>
    <mergeCell ref="L2136:Q2136"/>
    <mergeCell ref="C2137:K2137"/>
    <mergeCell ref="L2137:Q2137"/>
    <mergeCell ref="C2138:K2138"/>
    <mergeCell ref="L2138:Q2138"/>
    <mergeCell ref="R2138:T2138"/>
    <mergeCell ref="U2138:W2138"/>
    <mergeCell ref="L2139:Q2139"/>
    <mergeCell ref="R2139:T2139"/>
    <mergeCell ref="U2139:W2139"/>
    <mergeCell ref="C2139:K2139"/>
    <mergeCell ref="C2140:K2140"/>
    <mergeCell ref="H2088:W2088"/>
    <mergeCell ref="B2090:W2090"/>
    <mergeCell ref="B2091:W2091"/>
    <mergeCell ref="B2092:W2092"/>
    <mergeCell ref="H2097:W2097"/>
    <mergeCell ref="H2099:O2099"/>
    <mergeCell ref="L2101:W2101"/>
    <mergeCell ref="L2143:Q2143"/>
    <mergeCell ref="J2146:O2146"/>
    <mergeCell ref="J2147:O2147"/>
    <mergeCell ref="J2148:O2148"/>
    <mergeCell ref="K2152:N2152"/>
    <mergeCell ref="R2152:U2152"/>
    <mergeCell ref="R2141:T2141"/>
    <mergeCell ref="U2141:W2141"/>
    <mergeCell ref="T2172:V2172"/>
    <mergeCell ref="M2175:W2175"/>
    <mergeCell ref="L2140:Q2140"/>
    <mergeCell ref="R2140:T2140"/>
    <mergeCell ref="U2140:W2140"/>
    <mergeCell ref="C2141:K2141"/>
    <mergeCell ref="L2141:Q2141"/>
    <mergeCell ref="C2142:K2142"/>
    <mergeCell ref="L2142:Q2142"/>
    <mergeCell ref="R2142:T2142"/>
    <mergeCell ref="U2142:W2142"/>
    <mergeCell ref="C2143:K2143"/>
    <mergeCell ref="R2143:T2143"/>
    <mergeCell ref="U2143:W2143"/>
    <mergeCell ref="M2082:W2082"/>
    <mergeCell ref="M2084:W2084"/>
    <mergeCell ref="M2086:W2086"/>
    <mergeCell ref="R2033:W2033"/>
    <mergeCell ref="R2035:W2035"/>
    <mergeCell ref="R2039:T2039"/>
    <mergeCell ref="U2039:W2039"/>
    <mergeCell ref="R2040:T2040"/>
    <mergeCell ref="U2040:W2040"/>
    <mergeCell ref="H2006:M2006"/>
    <mergeCell ref="R2006:W2006"/>
    <mergeCell ref="H2008:M2008"/>
    <mergeCell ref="R2008:W2008"/>
    <mergeCell ref="H2014:W2014"/>
    <mergeCell ref="H2025:W2025"/>
    <mergeCell ref="L2031:W2031"/>
    <mergeCell ref="H2029:N2029"/>
    <mergeCell ref="H2033:M2033"/>
    <mergeCell ref="H2035:M2035"/>
    <mergeCell ref="C2039:K2039"/>
    <mergeCell ref="L2039:Q2039"/>
    <mergeCell ref="C2040:K2040"/>
    <mergeCell ref="L2040:Q2040"/>
    <mergeCell ref="C2041:K2041"/>
    <mergeCell ref="L2041:Q2041"/>
    <mergeCell ref="R2041:T2041"/>
    <mergeCell ref="U2041:W2041"/>
    <mergeCell ref="L2042:Q2042"/>
    <mergeCell ref="R2042:T2042"/>
    <mergeCell ref="U2042:W2042"/>
    <mergeCell ref="C2042:K2042"/>
    <mergeCell ref="C2043:K2043"/>
    <mergeCell ref="H1991:W1991"/>
    <mergeCell ref="B1993:W1993"/>
    <mergeCell ref="B1994:W1994"/>
    <mergeCell ref="B1995:W1995"/>
    <mergeCell ref="H2000:W2000"/>
    <mergeCell ref="H2002:O2002"/>
    <mergeCell ref="L2004:W2004"/>
    <mergeCell ref="L2046:Q2046"/>
    <mergeCell ref="J2049:O2049"/>
    <mergeCell ref="J2050:O2050"/>
    <mergeCell ref="J2051:O2051"/>
    <mergeCell ref="K2055:N2055"/>
    <mergeCell ref="Q2055:V2055"/>
    <mergeCell ref="R2044:T2044"/>
    <mergeCell ref="U2044:W2044"/>
    <mergeCell ref="T2077:V2077"/>
    <mergeCell ref="M2080:W2080"/>
    <mergeCell ref="L2043:Q2043"/>
    <mergeCell ref="R2043:T2043"/>
    <mergeCell ref="U2043:W2043"/>
    <mergeCell ref="C2044:K2044"/>
    <mergeCell ref="L2044:Q2044"/>
    <mergeCell ref="C2045:K2045"/>
    <mergeCell ref="L2045:Q2045"/>
    <mergeCell ref="R2045:T2045"/>
    <mergeCell ref="U2045:W2045"/>
    <mergeCell ref="C2046:K2046"/>
    <mergeCell ref="R2046:T2046"/>
    <mergeCell ref="U2046:W2046"/>
    <mergeCell ref="M1985:W1985"/>
    <mergeCell ref="M1987:W1987"/>
    <mergeCell ref="M1989:W1989"/>
    <mergeCell ref="R1919:W1919"/>
    <mergeCell ref="R1921:W1921"/>
    <mergeCell ref="R1925:T1925"/>
    <mergeCell ref="U1925:W1925"/>
    <mergeCell ref="R1926:T1926"/>
    <mergeCell ref="U1926:W1926"/>
    <mergeCell ref="H1892:M1892"/>
    <mergeCell ref="R1892:W1892"/>
    <mergeCell ref="H1894:M1894"/>
    <mergeCell ref="R1894:W1894"/>
    <mergeCell ref="H1900:W1900"/>
    <mergeCell ref="H1911:W1911"/>
    <mergeCell ref="L1917:W1917"/>
    <mergeCell ref="H1915:N1915"/>
    <mergeCell ref="H1919:M1919"/>
    <mergeCell ref="H1921:M1921"/>
    <mergeCell ref="C1925:K1925"/>
    <mergeCell ref="L1925:Q1925"/>
    <mergeCell ref="C1926:K1926"/>
    <mergeCell ref="L1926:Q1926"/>
    <mergeCell ref="C1927:K1927"/>
    <mergeCell ref="L1927:Q1927"/>
    <mergeCell ref="R1927:T1927"/>
    <mergeCell ref="U1927:W1927"/>
    <mergeCell ref="L1928:Q1928"/>
    <mergeCell ref="R1928:T1928"/>
    <mergeCell ref="U1928:W1928"/>
    <mergeCell ref="C1928:K1928"/>
    <mergeCell ref="C1929:K1929"/>
    <mergeCell ref="H1877:W1877"/>
    <mergeCell ref="B1879:W1879"/>
    <mergeCell ref="B1880:W1880"/>
    <mergeCell ref="B1881:W1881"/>
    <mergeCell ref="H1886:W1886"/>
    <mergeCell ref="H1888:O1888"/>
    <mergeCell ref="L1890:W1890"/>
    <mergeCell ref="L1932:Q1932"/>
    <mergeCell ref="J1935:O1935"/>
    <mergeCell ref="J1936:O1936"/>
    <mergeCell ref="J1937:O1937"/>
    <mergeCell ref="K1941:N1941"/>
    <mergeCell ref="Q1941:V1941"/>
    <mergeCell ref="R1930:T1930"/>
    <mergeCell ref="U1930:W1930"/>
    <mergeCell ref="T1980:V1980"/>
    <mergeCell ref="M1983:W1983"/>
    <mergeCell ref="L1929:Q1929"/>
    <mergeCell ref="R1929:T1929"/>
    <mergeCell ref="U1929:W1929"/>
    <mergeCell ref="C1930:K1930"/>
    <mergeCell ref="L1930:Q1930"/>
    <mergeCell ref="C1931:K1931"/>
    <mergeCell ref="L1931:Q1931"/>
    <mergeCell ref="R1931:T1931"/>
    <mergeCell ref="U1931:W1931"/>
    <mergeCell ref="C1932:K1932"/>
    <mergeCell ref="R1932:T1932"/>
    <mergeCell ref="U1932:W1932"/>
    <mergeCell ref="M1871:W1871"/>
    <mergeCell ref="M1873:W1873"/>
    <mergeCell ref="M1875:W1875"/>
    <mergeCell ref="R1809:W1809"/>
    <mergeCell ref="R1811:W1811"/>
    <mergeCell ref="R1815:T1815"/>
    <mergeCell ref="U1815:W1815"/>
    <mergeCell ref="R1816:T1816"/>
    <mergeCell ref="U1816:W1816"/>
    <mergeCell ref="H1782:M1782"/>
    <mergeCell ref="R1782:W1782"/>
    <mergeCell ref="H1784:M1784"/>
    <mergeCell ref="R1784:W1784"/>
    <mergeCell ref="H1790:W1790"/>
    <mergeCell ref="H1801:W1801"/>
    <mergeCell ref="L1807:W1807"/>
    <mergeCell ref="H1805:N1805"/>
    <mergeCell ref="H1809:M1809"/>
    <mergeCell ref="H1811:M1811"/>
    <mergeCell ref="C1815:K1815"/>
    <mergeCell ref="L1815:Q1815"/>
    <mergeCell ref="C1816:K1816"/>
    <mergeCell ref="L1816:Q1816"/>
    <mergeCell ref="C1817:K1817"/>
    <mergeCell ref="L1817:Q1817"/>
    <mergeCell ref="R1817:T1817"/>
    <mergeCell ref="U1817:W1817"/>
    <mergeCell ref="L1818:Q1818"/>
    <mergeCell ref="R1818:T1818"/>
    <mergeCell ref="U1818:W1818"/>
    <mergeCell ref="C1818:K1818"/>
    <mergeCell ref="C1819:K1819"/>
    <mergeCell ref="H1767:W1767"/>
    <mergeCell ref="B1769:W1769"/>
    <mergeCell ref="B1770:W1770"/>
    <mergeCell ref="B1771:W1771"/>
    <mergeCell ref="H1776:W1776"/>
    <mergeCell ref="H1778:O1778"/>
    <mergeCell ref="L1780:W1780"/>
    <mergeCell ref="L1822:Q1822"/>
    <mergeCell ref="J1825:O1825"/>
    <mergeCell ref="J1826:O1826"/>
    <mergeCell ref="J1827:O1827"/>
    <mergeCell ref="K1831:N1831"/>
    <mergeCell ref="R1831:U1831"/>
    <mergeCell ref="R1820:T1820"/>
    <mergeCell ref="U1820:W1820"/>
    <mergeCell ref="T1866:V1866"/>
    <mergeCell ref="M1869:W1869"/>
    <mergeCell ref="L1819:Q1819"/>
    <mergeCell ref="R1819:T1819"/>
    <mergeCell ref="U1819:W1819"/>
    <mergeCell ref="C1820:K1820"/>
    <mergeCell ref="L1820:Q1820"/>
    <mergeCell ref="C1821:K1821"/>
    <mergeCell ref="L1821:Q1821"/>
    <mergeCell ref="R1821:T1821"/>
    <mergeCell ref="U1821:W1821"/>
    <mergeCell ref="C1822:K1822"/>
    <mergeCell ref="R1822:T1822"/>
    <mergeCell ref="U1822:W1822"/>
    <mergeCell ref="M1759:W1759"/>
    <mergeCell ref="M1761:W1761"/>
    <mergeCell ref="M1763:W1763"/>
    <mergeCell ref="M1765:W1765"/>
    <mergeCell ref="H1651:M1651"/>
    <mergeCell ref="R1651:W1651"/>
    <mergeCell ref="H1653:M1653"/>
    <mergeCell ref="R1653:W1653"/>
    <mergeCell ref="H1659:W1659"/>
    <mergeCell ref="I1662:L1662"/>
    <mergeCell ref="H1670:W1670"/>
    <mergeCell ref="C1684:K1684"/>
    <mergeCell ref="C1685:K1685"/>
    <mergeCell ref="C1686:K1686"/>
    <mergeCell ref="C1687:K1687"/>
    <mergeCell ref="C1688:K1688"/>
    <mergeCell ref="C1689:K1689"/>
    <mergeCell ref="C1690:K1690"/>
    <mergeCell ref="C1691:K1691"/>
    <mergeCell ref="H1674:N1674"/>
    <mergeCell ref="L1676:W1676"/>
    <mergeCell ref="H1678:M1678"/>
    <mergeCell ref="R1678:W1678"/>
    <mergeCell ref="H1680:M1680"/>
    <mergeCell ref="R1680:W1680"/>
    <mergeCell ref="U1684:W1684"/>
    <mergeCell ref="L1684:Q1684"/>
    <mergeCell ref="R1684:T1684"/>
    <mergeCell ref="L1685:Q1685"/>
    <mergeCell ref="R1685:T1685"/>
    <mergeCell ref="U1685:W1685"/>
    <mergeCell ref="R1686:T1686"/>
    <mergeCell ref="H1636:W1636"/>
    <mergeCell ref="B1638:W1638"/>
    <mergeCell ref="B1639:W1639"/>
    <mergeCell ref="B1640:W1640"/>
    <mergeCell ref="H1645:W1645"/>
    <mergeCell ref="H1647:O1647"/>
    <mergeCell ref="L1649:W1649"/>
    <mergeCell ref="L1689:Q1689"/>
    <mergeCell ref="R1689:T1689"/>
    <mergeCell ref="U1689:W1689"/>
    <mergeCell ref="L1690:Q1690"/>
    <mergeCell ref="R1690:T1690"/>
    <mergeCell ref="U1690:W1690"/>
    <mergeCell ref="L1691:Q1691"/>
    <mergeCell ref="R1691:T1691"/>
    <mergeCell ref="U1691:W1691"/>
    <mergeCell ref="T1756:V1756"/>
    <mergeCell ref="U1686:W1686"/>
    <mergeCell ref="L1686:Q1686"/>
    <mergeCell ref="L1687:Q1687"/>
    <mergeCell ref="R1687:T1687"/>
    <mergeCell ref="U1687:W1687"/>
    <mergeCell ref="L1688:Q1688"/>
    <mergeCell ref="R1688:T1688"/>
    <mergeCell ref="U1688:W1688"/>
    <mergeCell ref="J1695:O1695"/>
    <mergeCell ref="K1696:O1696"/>
    <mergeCell ref="D1700:F1700"/>
    <mergeCell ref="K1700:N1700"/>
    <mergeCell ref="Q1700:V1700"/>
    <mergeCell ref="M1630:W1630"/>
    <mergeCell ref="M1632:W1632"/>
    <mergeCell ref="M1634:W1634"/>
    <mergeCell ref="H1556:M1556"/>
    <mergeCell ref="R1556:W1556"/>
    <mergeCell ref="H1558:M1558"/>
    <mergeCell ref="R1558:W1558"/>
    <mergeCell ref="H1564:W1564"/>
    <mergeCell ref="I1567:L1567"/>
    <mergeCell ref="H1575:W1575"/>
    <mergeCell ref="C1589:K1589"/>
    <mergeCell ref="C1590:K1590"/>
    <mergeCell ref="C1591:K1591"/>
    <mergeCell ref="C1592:K1592"/>
    <mergeCell ref="C1593:K1593"/>
    <mergeCell ref="C1594:K1594"/>
    <mergeCell ref="C1595:K1595"/>
    <mergeCell ref="C1596:K1596"/>
    <mergeCell ref="H1579:N1579"/>
    <mergeCell ref="L1581:W1581"/>
    <mergeCell ref="H1583:M1583"/>
    <mergeCell ref="R1583:W1583"/>
    <mergeCell ref="H1585:M1585"/>
    <mergeCell ref="R1585:W1585"/>
    <mergeCell ref="U1589:W1589"/>
    <mergeCell ref="L1589:Q1589"/>
    <mergeCell ref="R1589:T1589"/>
    <mergeCell ref="L1590:Q1590"/>
    <mergeCell ref="R1590:T1590"/>
    <mergeCell ref="U1590:W1590"/>
    <mergeCell ref="R1591:T1591"/>
    <mergeCell ref="U1591:W1591"/>
    <mergeCell ref="B1543:W1543"/>
    <mergeCell ref="B1544:W1544"/>
    <mergeCell ref="B1545:W1545"/>
    <mergeCell ref="H1550:W1550"/>
    <mergeCell ref="H1552:O1552"/>
    <mergeCell ref="L1554:W1554"/>
    <mergeCell ref="L1594:Q1594"/>
    <mergeCell ref="R1594:T1594"/>
    <mergeCell ref="U1594:W1594"/>
    <mergeCell ref="L1595:Q1595"/>
    <mergeCell ref="R1595:T1595"/>
    <mergeCell ref="U1595:W1595"/>
    <mergeCell ref="L1596:Q1596"/>
    <mergeCell ref="R1596:T1596"/>
    <mergeCell ref="U1596:W1596"/>
    <mergeCell ref="T1625:V1625"/>
    <mergeCell ref="M1628:W1628"/>
    <mergeCell ref="L1591:Q1591"/>
    <mergeCell ref="L1592:Q1592"/>
    <mergeCell ref="R1592:T1592"/>
    <mergeCell ref="U1592:W1592"/>
    <mergeCell ref="L1593:Q1593"/>
    <mergeCell ref="R1593:T1593"/>
    <mergeCell ref="U1593:W1593"/>
    <mergeCell ref="J1600:O1600"/>
    <mergeCell ref="K1601:O1601"/>
    <mergeCell ref="D1605:F1605"/>
    <mergeCell ref="K1605:N1605"/>
    <mergeCell ref="Q1605:V1605"/>
    <mergeCell ref="C1496:K1496"/>
    <mergeCell ref="C1497:K1497"/>
    <mergeCell ref="C1498:K1498"/>
    <mergeCell ref="C1499:K1499"/>
    <mergeCell ref="C1500:K1500"/>
    <mergeCell ref="C1501:K1501"/>
    <mergeCell ref="C1502:K1502"/>
    <mergeCell ref="H1485:N1485"/>
    <mergeCell ref="L1487:W1487"/>
    <mergeCell ref="H1489:M1489"/>
    <mergeCell ref="R1489:W1489"/>
    <mergeCell ref="H1491:M1491"/>
    <mergeCell ref="R1491:W1491"/>
    <mergeCell ref="U1495:W1495"/>
    <mergeCell ref="L1495:Q1495"/>
    <mergeCell ref="R1495:T1495"/>
    <mergeCell ref="L1496:Q1496"/>
    <mergeCell ref="R1496:T1496"/>
    <mergeCell ref="U1496:W1496"/>
    <mergeCell ref="R1497:T1497"/>
    <mergeCell ref="U1497:W1497"/>
    <mergeCell ref="L1497:Q1497"/>
    <mergeCell ref="L1498:Q1498"/>
    <mergeCell ref="R1498:T1498"/>
    <mergeCell ref="U1498:W1498"/>
    <mergeCell ref="L1499:Q1499"/>
    <mergeCell ref="R1499:T1499"/>
    <mergeCell ref="U1499:W1499"/>
    <mergeCell ref="J2526:O2526"/>
    <mergeCell ref="J2527:O2527"/>
    <mergeCell ref="J2528:O2528"/>
    <mergeCell ref="K2532:N2532"/>
    <mergeCell ref="R2532:U2532"/>
    <mergeCell ref="C2522:K2522"/>
    <mergeCell ref="L2522:Q2522"/>
    <mergeCell ref="R2522:T2522"/>
    <mergeCell ref="U2522:W2522"/>
    <mergeCell ref="C2523:K2523"/>
    <mergeCell ref="R2523:T2523"/>
    <mergeCell ref="U2523:W2523"/>
    <mergeCell ref="L1500:Q1500"/>
    <mergeCell ref="R1500:T1500"/>
    <mergeCell ref="U1500:W1500"/>
    <mergeCell ref="L1501:Q1501"/>
    <mergeCell ref="R1501:T1501"/>
    <mergeCell ref="U1501:W1501"/>
    <mergeCell ref="L1502:Q1502"/>
    <mergeCell ref="R1502:T1502"/>
    <mergeCell ref="U1502:W1502"/>
    <mergeCell ref="T1530:V1530"/>
    <mergeCell ref="M1533:W1533"/>
    <mergeCell ref="M1535:W1535"/>
    <mergeCell ref="M1537:W1537"/>
    <mergeCell ref="M1539:W1539"/>
    <mergeCell ref="J1506:O1506"/>
    <mergeCell ref="K1507:O1507"/>
    <mergeCell ref="D1511:F1511"/>
    <mergeCell ref="K1511:N1511"/>
    <mergeCell ref="Q1511:V1511"/>
    <mergeCell ref="H1541:W1541"/>
    <mergeCell ref="C2518:K2518"/>
    <mergeCell ref="L2518:Q2518"/>
    <mergeCell ref="R2518:T2518"/>
    <mergeCell ref="U2518:W2518"/>
    <mergeCell ref="L2519:Q2519"/>
    <mergeCell ref="R2519:T2519"/>
    <mergeCell ref="U2519:W2519"/>
    <mergeCell ref="R2521:T2521"/>
    <mergeCell ref="U2521:W2521"/>
    <mergeCell ref="C2519:K2519"/>
    <mergeCell ref="C2520:K2520"/>
    <mergeCell ref="L2520:Q2520"/>
    <mergeCell ref="R2520:T2520"/>
    <mergeCell ref="U2520:W2520"/>
    <mergeCell ref="C2521:K2521"/>
    <mergeCell ref="L2521:Q2521"/>
    <mergeCell ref="L2523:Q2523"/>
    <mergeCell ref="H693:W693"/>
    <mergeCell ref="B695:W695"/>
    <mergeCell ref="B696:W696"/>
    <mergeCell ref="B697:W697"/>
    <mergeCell ref="H702:W702"/>
    <mergeCell ref="H704:O704"/>
    <mergeCell ref="L706:W706"/>
    <mergeCell ref="R2510:W2510"/>
    <mergeCell ref="R2512:W2512"/>
    <mergeCell ref="R2516:T2516"/>
    <mergeCell ref="U2516:W2516"/>
    <mergeCell ref="R2517:T2517"/>
    <mergeCell ref="U2517:W2517"/>
    <mergeCell ref="H2483:M2483"/>
    <mergeCell ref="R2483:W2483"/>
    <mergeCell ref="H2485:M2485"/>
    <mergeCell ref="R2485:W2485"/>
    <mergeCell ref="H2491:W2491"/>
    <mergeCell ref="H2502:W2502"/>
    <mergeCell ref="L2508:W2508"/>
    <mergeCell ref="H2506:N2506"/>
    <mergeCell ref="H2510:M2510"/>
    <mergeCell ref="H2512:M2512"/>
    <mergeCell ref="C2516:K2516"/>
    <mergeCell ref="L2516:Q2516"/>
    <mergeCell ref="C2517:K2517"/>
    <mergeCell ref="L2517:Q2517"/>
    <mergeCell ref="H1462:M1462"/>
    <mergeCell ref="R1462:W1462"/>
    <mergeCell ref="H1464:M1464"/>
    <mergeCell ref="R1464:W1464"/>
    <mergeCell ref="H1470:W1470"/>
    <mergeCell ref="J547:O547"/>
    <mergeCell ref="J548:O548"/>
    <mergeCell ref="T682:V682"/>
    <mergeCell ref="M685:W685"/>
    <mergeCell ref="M687:W687"/>
    <mergeCell ref="M689:W689"/>
    <mergeCell ref="M691:W691"/>
    <mergeCell ref="R615:W615"/>
    <mergeCell ref="R617:W617"/>
    <mergeCell ref="R621:T621"/>
    <mergeCell ref="U621:W621"/>
    <mergeCell ref="R622:T622"/>
    <mergeCell ref="U622:W622"/>
    <mergeCell ref="H588:M588"/>
    <mergeCell ref="R588:W588"/>
    <mergeCell ref="H590:M590"/>
    <mergeCell ref="R590:W590"/>
    <mergeCell ref="H596:W596"/>
    <mergeCell ref="H607:W607"/>
    <mergeCell ref="L613:W613"/>
    <mergeCell ref="H611:N611"/>
    <mergeCell ref="H615:M615"/>
    <mergeCell ref="H617:M617"/>
    <mergeCell ref="C621:K621"/>
    <mergeCell ref="L621:Q621"/>
    <mergeCell ref="C622:K622"/>
    <mergeCell ref="L622:Q622"/>
    <mergeCell ref="C623:K623"/>
    <mergeCell ref="L623:Q623"/>
    <mergeCell ref="R623:T623"/>
    <mergeCell ref="U623:W623"/>
    <mergeCell ref="L624:Q624"/>
    <mergeCell ref="H573:W573"/>
    <mergeCell ref="B575:W575"/>
    <mergeCell ref="B576:W576"/>
    <mergeCell ref="B577:W577"/>
    <mergeCell ref="H582:W582"/>
    <mergeCell ref="H584:O584"/>
    <mergeCell ref="L586:W586"/>
    <mergeCell ref="L628:Q628"/>
    <mergeCell ref="J631:O631"/>
    <mergeCell ref="J632:O632"/>
    <mergeCell ref="J633:O633"/>
    <mergeCell ref="K637:N637"/>
    <mergeCell ref="Q637:V637"/>
    <mergeCell ref="R626:T626"/>
    <mergeCell ref="U626:W626"/>
    <mergeCell ref="C624:K624"/>
    <mergeCell ref="C625:K625"/>
    <mergeCell ref="L625:Q625"/>
    <mergeCell ref="R625:T625"/>
    <mergeCell ref="U625:W625"/>
    <mergeCell ref="C626:K626"/>
    <mergeCell ref="L626:Q626"/>
    <mergeCell ref="C627:K627"/>
    <mergeCell ref="L627:Q627"/>
    <mergeCell ref="R627:T627"/>
    <mergeCell ref="U627:W627"/>
    <mergeCell ref="C628:K628"/>
    <mergeCell ref="R628:T628"/>
    <mergeCell ref="U628:W628"/>
    <mergeCell ref="R624:T624"/>
    <mergeCell ref="U624:W624"/>
    <mergeCell ref="H503:M503"/>
    <mergeCell ref="R503:W503"/>
    <mergeCell ref="H505:M505"/>
    <mergeCell ref="R505:W505"/>
    <mergeCell ref="H511:W511"/>
    <mergeCell ref="H522:W522"/>
    <mergeCell ref="L528:W528"/>
    <mergeCell ref="H526:N526"/>
    <mergeCell ref="H530:M530"/>
    <mergeCell ref="H532:M532"/>
    <mergeCell ref="C536:K536"/>
    <mergeCell ref="L536:Q536"/>
    <mergeCell ref="C537:K537"/>
    <mergeCell ref="L537:Q537"/>
    <mergeCell ref="C538:K538"/>
    <mergeCell ref="L538:Q538"/>
    <mergeCell ref="R538:T538"/>
    <mergeCell ref="U538:W538"/>
    <mergeCell ref="K552:N552"/>
    <mergeCell ref="Q552:V552"/>
    <mergeCell ref="R541:T541"/>
    <mergeCell ref="U541:W541"/>
    <mergeCell ref="T562:V562"/>
    <mergeCell ref="M565:W565"/>
    <mergeCell ref="M567:W567"/>
    <mergeCell ref="M569:W569"/>
    <mergeCell ref="M571:W571"/>
    <mergeCell ref="R530:W530"/>
    <mergeCell ref="R532:W532"/>
    <mergeCell ref="R536:T536"/>
    <mergeCell ref="U536:W536"/>
    <mergeCell ref="R537:T537"/>
    <mergeCell ref="U537:W537"/>
    <mergeCell ref="L539:Q539"/>
    <mergeCell ref="R539:T539"/>
    <mergeCell ref="U539:W539"/>
    <mergeCell ref="C539:K539"/>
    <mergeCell ref="C540:K540"/>
    <mergeCell ref="L540:Q540"/>
    <mergeCell ref="R540:T540"/>
    <mergeCell ref="U540:W540"/>
    <mergeCell ref="C541:K541"/>
    <mergeCell ref="L541:Q541"/>
    <mergeCell ref="C542:K542"/>
    <mergeCell ref="L542:Q542"/>
    <mergeCell ref="R542:T542"/>
    <mergeCell ref="U542:W542"/>
    <mergeCell ref="C543:K543"/>
    <mergeCell ref="R543:T543"/>
    <mergeCell ref="U543:W543"/>
    <mergeCell ref="C435:K435"/>
    <mergeCell ref="L435:Q435"/>
    <mergeCell ref="R435:T435"/>
    <mergeCell ref="U435:W435"/>
    <mergeCell ref="L436:Q436"/>
    <mergeCell ref="R436:T436"/>
    <mergeCell ref="U436:W436"/>
    <mergeCell ref="C436:K436"/>
    <mergeCell ref="C437:K437"/>
    <mergeCell ref="L437:Q437"/>
    <mergeCell ref="R437:T437"/>
    <mergeCell ref="U437:W437"/>
    <mergeCell ref="C438:K438"/>
    <mergeCell ref="L438:Q438"/>
    <mergeCell ref="C439:K439"/>
    <mergeCell ref="L439:Q439"/>
    <mergeCell ref="R439:T439"/>
    <mergeCell ref="U439:W439"/>
    <mergeCell ref="U433:W433"/>
    <mergeCell ref="R434:T434"/>
    <mergeCell ref="U434:W434"/>
    <mergeCell ref="H400:M400"/>
    <mergeCell ref="R400:W400"/>
    <mergeCell ref="H402:M402"/>
    <mergeCell ref="R402:W402"/>
    <mergeCell ref="H408:W408"/>
    <mergeCell ref="H419:W419"/>
    <mergeCell ref="L425:W425"/>
    <mergeCell ref="H423:N423"/>
    <mergeCell ref="H427:M427"/>
    <mergeCell ref="H429:M429"/>
    <mergeCell ref="C433:K433"/>
    <mergeCell ref="L433:Q433"/>
    <mergeCell ref="C434:K434"/>
    <mergeCell ref="L434:Q434"/>
    <mergeCell ref="H2468:W2468"/>
    <mergeCell ref="B2470:W2470"/>
    <mergeCell ref="B2471:W2471"/>
    <mergeCell ref="B2472:W2472"/>
    <mergeCell ref="H2477:W2477"/>
    <mergeCell ref="H2479:O2479"/>
    <mergeCell ref="L2481:W2481"/>
    <mergeCell ref="L440:Q440"/>
    <mergeCell ref="J443:O443"/>
    <mergeCell ref="J444:O444"/>
    <mergeCell ref="J445:O445"/>
    <mergeCell ref="K449:N449"/>
    <mergeCell ref="Q449:V449"/>
    <mergeCell ref="R438:T438"/>
    <mergeCell ref="U438:W438"/>
    <mergeCell ref="T477:V477"/>
    <mergeCell ref="M480:W480"/>
    <mergeCell ref="M482:W482"/>
    <mergeCell ref="M484:W484"/>
    <mergeCell ref="M486:W486"/>
    <mergeCell ref="C440:K440"/>
    <mergeCell ref="R440:T440"/>
    <mergeCell ref="U440:W440"/>
    <mergeCell ref="H488:W488"/>
    <mergeCell ref="B490:W490"/>
    <mergeCell ref="B491:W491"/>
    <mergeCell ref="B492:W492"/>
    <mergeCell ref="H497:W497"/>
    <mergeCell ref="H499:O499"/>
    <mergeCell ref="L501:W501"/>
    <mergeCell ref="L543:Q543"/>
    <mergeCell ref="J546:O546"/>
    <mergeCell ref="M2460:W2460"/>
    <mergeCell ref="M2462:W2462"/>
    <mergeCell ref="M2464:W2464"/>
    <mergeCell ref="M2466:W2466"/>
    <mergeCell ref="H2387:M2387"/>
    <mergeCell ref="R2387:W2387"/>
    <mergeCell ref="H2389:M2389"/>
    <mergeCell ref="R2389:W2389"/>
    <mergeCell ref="H2395:W2395"/>
    <mergeCell ref="I2398:L2398"/>
    <mergeCell ref="H2406:W2406"/>
    <mergeCell ref="C2420:K2420"/>
    <mergeCell ref="C2421:K2421"/>
    <mergeCell ref="C2422:K2422"/>
    <mergeCell ref="C2423:K2423"/>
    <mergeCell ref="C2424:K2424"/>
    <mergeCell ref="C2425:K2425"/>
    <mergeCell ref="C2426:K2426"/>
    <mergeCell ref="C2427:K2427"/>
    <mergeCell ref="H2410:N2410"/>
    <mergeCell ref="L2412:W2412"/>
    <mergeCell ref="H2414:M2414"/>
    <mergeCell ref="R2414:W2414"/>
    <mergeCell ref="H2416:M2416"/>
    <mergeCell ref="R2416:W2416"/>
    <mergeCell ref="U2420:W2420"/>
    <mergeCell ref="L2420:Q2420"/>
    <mergeCell ref="R2420:T2420"/>
    <mergeCell ref="L2421:Q2421"/>
    <mergeCell ref="R2421:T2421"/>
    <mergeCell ref="U2421:W2421"/>
    <mergeCell ref="R2422:T2422"/>
    <mergeCell ref="H2372:W2372"/>
    <mergeCell ref="B2374:W2374"/>
    <mergeCell ref="B2375:W2375"/>
    <mergeCell ref="B2376:W2376"/>
    <mergeCell ref="H2381:W2381"/>
    <mergeCell ref="H2383:O2383"/>
    <mergeCell ref="L2385:W2385"/>
    <mergeCell ref="L2425:Q2425"/>
    <mergeCell ref="R2425:T2425"/>
    <mergeCell ref="U2425:W2425"/>
    <mergeCell ref="L2426:Q2426"/>
    <mergeCell ref="R2426:T2426"/>
    <mergeCell ref="U2426:W2426"/>
    <mergeCell ref="L2427:Q2427"/>
    <mergeCell ref="R2427:T2427"/>
    <mergeCell ref="U2427:W2427"/>
    <mergeCell ref="T2457:V2457"/>
    <mergeCell ref="U2422:W2422"/>
    <mergeCell ref="L2422:Q2422"/>
    <mergeCell ref="L2423:Q2423"/>
    <mergeCell ref="R2423:T2423"/>
    <mergeCell ref="U2423:W2423"/>
    <mergeCell ref="L2424:Q2424"/>
    <mergeCell ref="R2424:T2424"/>
    <mergeCell ref="U2424:W2424"/>
    <mergeCell ref="J2431:O2431"/>
    <mergeCell ref="K2432:O2432"/>
    <mergeCell ref="D2436:F2436"/>
    <mergeCell ref="K2436:N2436"/>
    <mergeCell ref="Q2436:V2436"/>
    <mergeCell ref="M2366:W2366"/>
    <mergeCell ref="M2368:W2368"/>
    <mergeCell ref="M2370:W2370"/>
    <mergeCell ref="R2319:W2319"/>
    <mergeCell ref="R2321:W2321"/>
    <mergeCell ref="R2325:T2325"/>
    <mergeCell ref="U2325:W2325"/>
    <mergeCell ref="R2326:T2326"/>
    <mergeCell ref="U2326:W2326"/>
    <mergeCell ref="H2292:M2292"/>
    <mergeCell ref="R2292:W2292"/>
    <mergeCell ref="H2294:M2294"/>
    <mergeCell ref="R2294:W2294"/>
    <mergeCell ref="H2300:W2300"/>
    <mergeCell ref="H2311:W2311"/>
    <mergeCell ref="L2317:W2317"/>
    <mergeCell ref="H2315:N2315"/>
    <mergeCell ref="H2319:M2319"/>
    <mergeCell ref="H2321:M2321"/>
    <mergeCell ref="C2325:K2325"/>
    <mergeCell ref="L2325:Q2325"/>
    <mergeCell ref="C2326:K2326"/>
    <mergeCell ref="L2326:Q2326"/>
    <mergeCell ref="C2327:K2327"/>
    <mergeCell ref="L2327:Q2327"/>
    <mergeCell ref="R2327:T2327"/>
    <mergeCell ref="U2327:W2327"/>
    <mergeCell ref="L2328:Q2328"/>
    <mergeCell ref="R2328:T2328"/>
    <mergeCell ref="U2328:W2328"/>
    <mergeCell ref="C2328:K2328"/>
    <mergeCell ref="C2329:K2329"/>
    <mergeCell ref="H2277:W2277"/>
    <mergeCell ref="B2279:W2279"/>
    <mergeCell ref="B2280:W2280"/>
    <mergeCell ref="B2281:W2281"/>
    <mergeCell ref="H2286:W2286"/>
    <mergeCell ref="H2288:O2288"/>
    <mergeCell ref="L2290:W2290"/>
    <mergeCell ref="L2332:Q2332"/>
    <mergeCell ref="J2335:O2335"/>
    <mergeCell ref="J2336:O2336"/>
    <mergeCell ref="J2337:O2337"/>
    <mergeCell ref="K2341:N2341"/>
    <mergeCell ref="R2341:U2341"/>
    <mergeCell ref="R2330:T2330"/>
    <mergeCell ref="U2330:W2330"/>
    <mergeCell ref="T2361:V2361"/>
    <mergeCell ref="M2364:W2364"/>
    <mergeCell ref="L2329:Q2329"/>
    <mergeCell ref="R2329:T2329"/>
    <mergeCell ref="U2329:W2329"/>
    <mergeCell ref="C2330:K2330"/>
    <mergeCell ref="L2330:Q2330"/>
    <mergeCell ref="C2331:K2331"/>
    <mergeCell ref="L2331:Q2331"/>
    <mergeCell ref="R2331:T2331"/>
    <mergeCell ref="U2331:W2331"/>
    <mergeCell ref="C2332:K2332"/>
    <mergeCell ref="R2332:T2332"/>
    <mergeCell ref="U2332:W2332"/>
    <mergeCell ref="M2271:W2271"/>
    <mergeCell ref="M2273:W2273"/>
    <mergeCell ref="M2275:W2275"/>
    <mergeCell ref="R2225:W2225"/>
    <mergeCell ref="R2227:W2227"/>
    <mergeCell ref="R2231:T2231"/>
    <mergeCell ref="U2231:W2231"/>
    <mergeCell ref="R2232:T2232"/>
    <mergeCell ref="U2232:W2232"/>
    <mergeCell ref="H2198:M2198"/>
    <mergeCell ref="R2198:W2198"/>
    <mergeCell ref="H2200:M2200"/>
    <mergeCell ref="R2200:W2200"/>
    <mergeCell ref="H2206:W2206"/>
    <mergeCell ref="H2217:W2217"/>
    <mergeCell ref="L2223:W2223"/>
    <mergeCell ref="H2221:N2221"/>
    <mergeCell ref="H2225:M2225"/>
    <mergeCell ref="H2227:M2227"/>
    <mergeCell ref="C2231:K2231"/>
    <mergeCell ref="L2231:Q2231"/>
    <mergeCell ref="C2232:K2232"/>
    <mergeCell ref="L2232:Q2232"/>
    <mergeCell ref="C2233:K2233"/>
    <mergeCell ref="L2233:Q2233"/>
    <mergeCell ref="R2233:T2233"/>
    <mergeCell ref="U2233:W2233"/>
    <mergeCell ref="L2234:Q2234"/>
    <mergeCell ref="R2234:T2234"/>
    <mergeCell ref="U2234:W2234"/>
    <mergeCell ref="C2234:K2234"/>
    <mergeCell ref="C2235:K2235"/>
    <mergeCell ref="H1447:W1447"/>
    <mergeCell ref="B1449:W1449"/>
    <mergeCell ref="B1450:W1450"/>
    <mergeCell ref="B1451:W1451"/>
    <mergeCell ref="H1456:W1456"/>
    <mergeCell ref="H1458:O1458"/>
    <mergeCell ref="L1460:W1460"/>
    <mergeCell ref="L2238:Q2238"/>
    <mergeCell ref="J2241:O2241"/>
    <mergeCell ref="J2242:O2242"/>
    <mergeCell ref="J2243:O2243"/>
    <mergeCell ref="K2247:N2247"/>
    <mergeCell ref="R2247:U2247"/>
    <mergeCell ref="R2236:T2236"/>
    <mergeCell ref="U2236:W2236"/>
    <mergeCell ref="T2266:V2266"/>
    <mergeCell ref="M2269:W2269"/>
    <mergeCell ref="L2235:Q2235"/>
    <mergeCell ref="R2235:T2235"/>
    <mergeCell ref="U2235:W2235"/>
    <mergeCell ref="C2236:K2236"/>
    <mergeCell ref="L2236:Q2236"/>
    <mergeCell ref="C2237:K2237"/>
    <mergeCell ref="L2237:Q2237"/>
    <mergeCell ref="R2237:T2237"/>
    <mergeCell ref="U2237:W2237"/>
    <mergeCell ref="C2238:K2238"/>
    <mergeCell ref="R2238:T2238"/>
    <mergeCell ref="U2238:W2238"/>
    <mergeCell ref="I1473:L1473"/>
    <mergeCell ref="H1481:W1481"/>
    <mergeCell ref="C1495:K1495"/>
    <mergeCell ref="M1439:W1439"/>
    <mergeCell ref="M1441:W1441"/>
    <mergeCell ref="M1443:W1443"/>
    <mergeCell ref="M1445:W1445"/>
    <mergeCell ref="H1318:M1318"/>
    <mergeCell ref="R1318:W1318"/>
    <mergeCell ref="H1320:M1320"/>
    <mergeCell ref="R1320:W1320"/>
    <mergeCell ref="H1326:W1326"/>
    <mergeCell ref="I1329:L1329"/>
    <mergeCell ref="H1337:W1337"/>
    <mergeCell ref="C1351:K1351"/>
    <mergeCell ref="C1352:K1352"/>
    <mergeCell ref="C1353:K1353"/>
    <mergeCell ref="C1354:K1354"/>
    <mergeCell ref="C1355:K1355"/>
    <mergeCell ref="C1356:K1356"/>
    <mergeCell ref="C1357:K1357"/>
    <mergeCell ref="C1358:K1358"/>
    <mergeCell ref="H1341:N1341"/>
    <mergeCell ref="L1343:W1343"/>
    <mergeCell ref="H1345:M1345"/>
    <mergeCell ref="R1345:W1345"/>
    <mergeCell ref="H1347:M1347"/>
    <mergeCell ref="R1347:W1347"/>
    <mergeCell ref="U1351:W1351"/>
    <mergeCell ref="L1351:Q1351"/>
    <mergeCell ref="R1351:T1351"/>
    <mergeCell ref="L1352:Q1352"/>
    <mergeCell ref="R1352:T1352"/>
    <mergeCell ref="U1352:W1352"/>
    <mergeCell ref="R1353:T1353"/>
    <mergeCell ref="H1303:W1303"/>
    <mergeCell ref="B1305:W1305"/>
    <mergeCell ref="B1306:W1306"/>
    <mergeCell ref="B1307:W1307"/>
    <mergeCell ref="H1312:W1312"/>
    <mergeCell ref="H1314:O1314"/>
    <mergeCell ref="L1316:W1316"/>
    <mergeCell ref="L1356:Q1356"/>
    <mergeCell ref="R1356:T1356"/>
    <mergeCell ref="U1356:W1356"/>
    <mergeCell ref="L1357:Q1357"/>
    <mergeCell ref="R1357:T1357"/>
    <mergeCell ref="U1357:W1357"/>
    <mergeCell ref="L1358:Q1358"/>
    <mergeCell ref="R1358:T1358"/>
    <mergeCell ref="U1358:W1358"/>
    <mergeCell ref="T1436:V1436"/>
    <mergeCell ref="U1353:W1353"/>
    <mergeCell ref="L1353:Q1353"/>
    <mergeCell ref="L1354:Q1354"/>
    <mergeCell ref="R1354:T1354"/>
    <mergeCell ref="U1354:W1354"/>
    <mergeCell ref="L1355:Q1355"/>
    <mergeCell ref="R1355:T1355"/>
    <mergeCell ref="U1355:W1355"/>
    <mergeCell ref="J1362:O1362"/>
    <mergeCell ref="K1363:O1363"/>
    <mergeCell ref="D1367:F1367"/>
    <mergeCell ref="K1367:N1367"/>
    <mergeCell ref="Q1367:V1367"/>
    <mergeCell ref="M1297:W1297"/>
    <mergeCell ref="M1299:W1299"/>
    <mergeCell ref="M1301:W1301"/>
    <mergeCell ref="R1250:W1250"/>
    <mergeCell ref="R1252:W1252"/>
    <mergeCell ref="R1256:T1256"/>
    <mergeCell ref="U1256:W1256"/>
    <mergeCell ref="R1257:T1257"/>
    <mergeCell ref="U1257:W1257"/>
    <mergeCell ref="H1223:M1223"/>
    <mergeCell ref="R1223:W1223"/>
    <mergeCell ref="H1225:M1225"/>
    <mergeCell ref="R1225:W1225"/>
    <mergeCell ref="H1231:W1231"/>
    <mergeCell ref="H1242:W1242"/>
    <mergeCell ref="L1248:W1248"/>
    <mergeCell ref="H1246:N1246"/>
    <mergeCell ref="H1250:M1250"/>
    <mergeCell ref="H1252:M1252"/>
    <mergeCell ref="C1256:K1256"/>
    <mergeCell ref="L1256:Q1256"/>
    <mergeCell ref="C1257:K1257"/>
    <mergeCell ref="L1257:Q1257"/>
    <mergeCell ref="C1258:K1258"/>
    <mergeCell ref="L1258:Q1258"/>
    <mergeCell ref="R1258:T1258"/>
    <mergeCell ref="U1258:W1258"/>
    <mergeCell ref="L1259:Q1259"/>
    <mergeCell ref="R1259:T1259"/>
    <mergeCell ref="U1259:W1259"/>
    <mergeCell ref="C1259:K1259"/>
    <mergeCell ref="C1260:K1260"/>
    <mergeCell ref="H1208:W1208"/>
    <mergeCell ref="B1210:W1210"/>
    <mergeCell ref="B1211:W1211"/>
    <mergeCell ref="B1212:W1212"/>
    <mergeCell ref="H1217:W1217"/>
    <mergeCell ref="H1219:O1219"/>
    <mergeCell ref="L1221:W1221"/>
    <mergeCell ref="L1263:Q1263"/>
    <mergeCell ref="J1266:O1266"/>
    <mergeCell ref="J1267:O1267"/>
    <mergeCell ref="J1268:O1268"/>
    <mergeCell ref="K1272:N1272"/>
    <mergeCell ref="Q1272:V1272"/>
    <mergeCell ref="R1261:T1261"/>
    <mergeCell ref="U1261:W1261"/>
    <mergeCell ref="T1292:V1292"/>
    <mergeCell ref="M1295:W1295"/>
    <mergeCell ref="L1260:Q1260"/>
    <mergeCell ref="R1260:T1260"/>
    <mergeCell ref="U1260:W1260"/>
    <mergeCell ref="C1261:K1261"/>
    <mergeCell ref="L1261:Q1261"/>
    <mergeCell ref="C1262:K1262"/>
    <mergeCell ref="L1262:Q1262"/>
    <mergeCell ref="R1262:T1262"/>
    <mergeCell ref="U1262:W1262"/>
    <mergeCell ref="C1263:K1263"/>
    <mergeCell ref="R1263:T1263"/>
    <mergeCell ref="U1263:W1263"/>
    <mergeCell ref="M1202:W1202"/>
    <mergeCell ref="M1204:W1204"/>
    <mergeCell ref="M1206:W1206"/>
    <mergeCell ref="R1143:W1143"/>
    <mergeCell ref="R1145:W1145"/>
    <mergeCell ref="R1149:T1149"/>
    <mergeCell ref="U1149:W1149"/>
    <mergeCell ref="R1150:T1150"/>
    <mergeCell ref="U1150:W1150"/>
    <mergeCell ref="H1116:M1116"/>
    <mergeCell ref="R1116:W1116"/>
    <mergeCell ref="H1118:M1118"/>
    <mergeCell ref="R1118:W1118"/>
    <mergeCell ref="H1124:W1124"/>
    <mergeCell ref="H1135:W1135"/>
    <mergeCell ref="L1141:W1141"/>
    <mergeCell ref="H1139:N1139"/>
    <mergeCell ref="H1143:M1143"/>
    <mergeCell ref="H1145:M1145"/>
    <mergeCell ref="C1149:K1149"/>
    <mergeCell ref="L1149:Q1149"/>
    <mergeCell ref="C1150:K1150"/>
    <mergeCell ref="L1150:Q1150"/>
    <mergeCell ref="C1151:K1151"/>
    <mergeCell ref="L1151:Q1151"/>
    <mergeCell ref="R1151:T1151"/>
    <mergeCell ref="U1151:W1151"/>
    <mergeCell ref="L1152:Q1152"/>
    <mergeCell ref="R1152:T1152"/>
    <mergeCell ref="U1152:W1152"/>
    <mergeCell ref="C1152:K1152"/>
    <mergeCell ref="C1153:K1153"/>
    <mergeCell ref="H1101:W1101"/>
    <mergeCell ref="B1103:W1103"/>
    <mergeCell ref="B1104:W1104"/>
    <mergeCell ref="B1105:W1105"/>
    <mergeCell ref="H1110:W1110"/>
    <mergeCell ref="H1112:O1112"/>
    <mergeCell ref="L1114:W1114"/>
    <mergeCell ref="L1156:Q1156"/>
    <mergeCell ref="J1159:O1159"/>
    <mergeCell ref="J1160:O1160"/>
    <mergeCell ref="J1161:O1161"/>
    <mergeCell ref="K1165:N1165"/>
    <mergeCell ref="Q1165:V1165"/>
    <mergeCell ref="R1154:T1154"/>
    <mergeCell ref="U1154:W1154"/>
    <mergeCell ref="T1197:V1197"/>
    <mergeCell ref="M1200:W1200"/>
    <mergeCell ref="L1153:Q1153"/>
    <mergeCell ref="R1153:T1153"/>
    <mergeCell ref="U1153:W1153"/>
    <mergeCell ref="C1154:K1154"/>
    <mergeCell ref="L1154:Q1154"/>
    <mergeCell ref="C1155:K1155"/>
    <mergeCell ref="L1155:Q1155"/>
    <mergeCell ref="R1155:T1155"/>
    <mergeCell ref="U1155:W1155"/>
    <mergeCell ref="C1156:K1156"/>
    <mergeCell ref="R1156:T1156"/>
    <mergeCell ref="U1156:W1156"/>
    <mergeCell ref="M1095:W1095"/>
    <mergeCell ref="M1097:W1097"/>
    <mergeCell ref="M1099:W1099"/>
    <mergeCell ref="R1047:W1047"/>
    <mergeCell ref="R1049:W1049"/>
    <mergeCell ref="R1053:T1053"/>
    <mergeCell ref="U1053:W1053"/>
    <mergeCell ref="R1054:T1054"/>
    <mergeCell ref="U1054:W1054"/>
    <mergeCell ref="H1020:M1020"/>
    <mergeCell ref="R1020:W1020"/>
    <mergeCell ref="H1022:M1022"/>
    <mergeCell ref="R1022:W1022"/>
    <mergeCell ref="H1028:W1028"/>
    <mergeCell ref="H1039:W1039"/>
    <mergeCell ref="L1045:W1045"/>
    <mergeCell ref="H1043:N1043"/>
    <mergeCell ref="H1047:M1047"/>
    <mergeCell ref="H1049:M1049"/>
    <mergeCell ref="C1053:K1053"/>
    <mergeCell ref="L1053:Q1053"/>
    <mergeCell ref="C1054:K1054"/>
    <mergeCell ref="L1054:Q1054"/>
    <mergeCell ref="C1055:K1055"/>
    <mergeCell ref="L1055:Q1055"/>
    <mergeCell ref="R1055:T1055"/>
    <mergeCell ref="U1055:W1055"/>
    <mergeCell ref="L1056:Q1056"/>
    <mergeCell ref="R1056:T1056"/>
    <mergeCell ref="U1056:W1056"/>
    <mergeCell ref="C1056:K1056"/>
    <mergeCell ref="C1057:K1057"/>
    <mergeCell ref="H1005:W1005"/>
    <mergeCell ref="B1007:W1007"/>
    <mergeCell ref="B1008:W1008"/>
    <mergeCell ref="B1009:W1009"/>
    <mergeCell ref="H1014:W1014"/>
    <mergeCell ref="H1016:O1016"/>
    <mergeCell ref="L1018:W1018"/>
    <mergeCell ref="L1060:Q1060"/>
    <mergeCell ref="J1063:O1063"/>
    <mergeCell ref="J1064:O1064"/>
    <mergeCell ref="J1065:O1065"/>
    <mergeCell ref="K1069:N1069"/>
    <mergeCell ref="Q1069:V1069"/>
    <mergeCell ref="R1058:T1058"/>
    <mergeCell ref="U1058:W1058"/>
    <mergeCell ref="T1090:V1090"/>
    <mergeCell ref="M1093:W1093"/>
    <mergeCell ref="L1057:Q1057"/>
    <mergeCell ref="R1057:T1057"/>
    <mergeCell ref="U1057:W1057"/>
    <mergeCell ref="C1058:K1058"/>
    <mergeCell ref="L1058:Q1058"/>
    <mergeCell ref="C1059:K1059"/>
    <mergeCell ref="L1059:Q1059"/>
    <mergeCell ref="R1059:T1059"/>
    <mergeCell ref="U1059:W1059"/>
    <mergeCell ref="C1060:K1060"/>
    <mergeCell ref="R1060:T1060"/>
    <mergeCell ref="U1060:W1060"/>
    <mergeCell ref="M999:W999"/>
    <mergeCell ref="M1001:W1001"/>
    <mergeCell ref="M1003:W1003"/>
    <mergeCell ref="R953:W953"/>
    <mergeCell ref="R955:W955"/>
    <mergeCell ref="R959:T959"/>
    <mergeCell ref="U959:W959"/>
    <mergeCell ref="R960:T960"/>
    <mergeCell ref="U960:W960"/>
    <mergeCell ref="H926:M926"/>
    <mergeCell ref="R926:W926"/>
    <mergeCell ref="H928:M928"/>
    <mergeCell ref="R928:W928"/>
    <mergeCell ref="H934:W934"/>
    <mergeCell ref="H945:W945"/>
    <mergeCell ref="L951:W951"/>
    <mergeCell ref="H949:N949"/>
    <mergeCell ref="H953:M953"/>
    <mergeCell ref="H955:M955"/>
    <mergeCell ref="C959:K959"/>
    <mergeCell ref="L959:Q959"/>
    <mergeCell ref="C960:K960"/>
    <mergeCell ref="L960:Q960"/>
    <mergeCell ref="C961:K961"/>
    <mergeCell ref="L961:Q961"/>
    <mergeCell ref="R961:T961"/>
    <mergeCell ref="U961:W961"/>
    <mergeCell ref="L962:Q962"/>
    <mergeCell ref="R962:T962"/>
    <mergeCell ref="U962:W962"/>
    <mergeCell ref="C962:K962"/>
    <mergeCell ref="C963:K963"/>
    <mergeCell ref="H911:W911"/>
    <mergeCell ref="B913:W913"/>
    <mergeCell ref="B914:W914"/>
    <mergeCell ref="B915:W915"/>
    <mergeCell ref="H920:W920"/>
    <mergeCell ref="H922:O922"/>
    <mergeCell ref="L924:W924"/>
    <mergeCell ref="L966:Q966"/>
    <mergeCell ref="J969:O969"/>
    <mergeCell ref="J970:O970"/>
    <mergeCell ref="J971:O971"/>
    <mergeCell ref="K975:N975"/>
    <mergeCell ref="Q975:V975"/>
    <mergeCell ref="R964:T964"/>
    <mergeCell ref="U964:W964"/>
    <mergeCell ref="T994:V994"/>
    <mergeCell ref="M997:W997"/>
    <mergeCell ref="L963:Q963"/>
    <mergeCell ref="R963:T963"/>
    <mergeCell ref="U963:W963"/>
    <mergeCell ref="C964:K964"/>
    <mergeCell ref="L964:Q964"/>
    <mergeCell ref="C965:K965"/>
    <mergeCell ref="L965:Q965"/>
    <mergeCell ref="R965:T965"/>
    <mergeCell ref="U965:W965"/>
    <mergeCell ref="C966:K966"/>
    <mergeCell ref="R966:T966"/>
    <mergeCell ref="U966:W966"/>
    <mergeCell ref="M905:W905"/>
    <mergeCell ref="M907:W907"/>
    <mergeCell ref="M909:W909"/>
    <mergeCell ref="R859:W859"/>
    <mergeCell ref="R861:W861"/>
    <mergeCell ref="R865:T865"/>
    <mergeCell ref="U865:W865"/>
    <mergeCell ref="R866:T866"/>
    <mergeCell ref="U866:W866"/>
    <mergeCell ref="H832:M832"/>
    <mergeCell ref="R832:W832"/>
    <mergeCell ref="H834:M834"/>
    <mergeCell ref="R834:W834"/>
    <mergeCell ref="H840:W840"/>
    <mergeCell ref="H851:W851"/>
    <mergeCell ref="L857:W857"/>
    <mergeCell ref="H855:N855"/>
    <mergeCell ref="H859:M859"/>
    <mergeCell ref="H861:M861"/>
    <mergeCell ref="C865:K865"/>
    <mergeCell ref="L865:Q865"/>
    <mergeCell ref="C866:K866"/>
    <mergeCell ref="L866:Q866"/>
    <mergeCell ref="C867:K867"/>
    <mergeCell ref="L867:Q867"/>
    <mergeCell ref="R867:T867"/>
    <mergeCell ref="U867:W867"/>
    <mergeCell ref="L868:Q868"/>
    <mergeCell ref="R868:T868"/>
    <mergeCell ref="U868:W868"/>
    <mergeCell ref="C868:K868"/>
    <mergeCell ref="C869:K869"/>
    <mergeCell ref="H817:W817"/>
    <mergeCell ref="B819:W819"/>
    <mergeCell ref="B820:W820"/>
    <mergeCell ref="B821:W821"/>
    <mergeCell ref="H826:W826"/>
    <mergeCell ref="H828:O828"/>
    <mergeCell ref="L830:W830"/>
    <mergeCell ref="L872:Q872"/>
    <mergeCell ref="J875:O875"/>
    <mergeCell ref="J876:O876"/>
    <mergeCell ref="J877:O877"/>
    <mergeCell ref="K881:N881"/>
    <mergeCell ref="Q881:V881"/>
    <mergeCell ref="R870:T870"/>
    <mergeCell ref="U870:W870"/>
    <mergeCell ref="T900:V900"/>
    <mergeCell ref="M903:W903"/>
    <mergeCell ref="L869:Q869"/>
    <mergeCell ref="R869:T869"/>
    <mergeCell ref="U869:W869"/>
    <mergeCell ref="C870:K870"/>
    <mergeCell ref="L870:Q870"/>
    <mergeCell ref="C871:K871"/>
    <mergeCell ref="L871:Q871"/>
    <mergeCell ref="R871:T871"/>
    <mergeCell ref="U871:W871"/>
    <mergeCell ref="C872:K872"/>
    <mergeCell ref="R872:T872"/>
    <mergeCell ref="U872:W872"/>
    <mergeCell ref="M811:W811"/>
    <mergeCell ref="M813:W813"/>
    <mergeCell ref="M815:W815"/>
    <mergeCell ref="H708:M708"/>
    <mergeCell ref="R708:W708"/>
    <mergeCell ref="H710:M710"/>
    <mergeCell ref="R710:W710"/>
    <mergeCell ref="H716:W716"/>
    <mergeCell ref="H727:W727"/>
    <mergeCell ref="L733:W733"/>
    <mergeCell ref="H731:N731"/>
    <mergeCell ref="H735:M735"/>
    <mergeCell ref="H737:M737"/>
    <mergeCell ref="C741:K741"/>
    <mergeCell ref="L741:Q741"/>
    <mergeCell ref="C742:K742"/>
    <mergeCell ref="L742:Q742"/>
    <mergeCell ref="C743:K743"/>
    <mergeCell ref="L743:Q743"/>
    <mergeCell ref="R743:T743"/>
    <mergeCell ref="U743:W743"/>
    <mergeCell ref="L744:Q744"/>
    <mergeCell ref="R744:T744"/>
    <mergeCell ref="U744:W744"/>
    <mergeCell ref="C744:K744"/>
    <mergeCell ref="C745:K745"/>
    <mergeCell ref="L745:Q745"/>
    <mergeCell ref="R745:T745"/>
    <mergeCell ref="U745:W745"/>
    <mergeCell ref="C746:K746"/>
    <mergeCell ref="L746:Q746"/>
    <mergeCell ref="L748:Q748"/>
    <mergeCell ref="H385:W385"/>
    <mergeCell ref="B387:W387"/>
    <mergeCell ref="B388:W388"/>
    <mergeCell ref="B389:W389"/>
    <mergeCell ref="H394:W394"/>
    <mergeCell ref="H396:O396"/>
    <mergeCell ref="L398:W398"/>
    <mergeCell ref="R735:W735"/>
    <mergeCell ref="R737:W737"/>
    <mergeCell ref="R741:T741"/>
    <mergeCell ref="U741:W741"/>
    <mergeCell ref="R742:T742"/>
    <mergeCell ref="U742:W742"/>
    <mergeCell ref="R746:T746"/>
    <mergeCell ref="U746:W746"/>
    <mergeCell ref="T806:V806"/>
    <mergeCell ref="M809:W809"/>
    <mergeCell ref="J751:O751"/>
    <mergeCell ref="J752:O752"/>
    <mergeCell ref="J753:O753"/>
    <mergeCell ref="K757:N757"/>
    <mergeCell ref="Q757:V757"/>
    <mergeCell ref="C747:K747"/>
    <mergeCell ref="L747:Q747"/>
    <mergeCell ref="R747:T747"/>
    <mergeCell ref="U747:W747"/>
    <mergeCell ref="C748:K748"/>
    <mergeCell ref="R748:T748"/>
    <mergeCell ref="U748:W748"/>
    <mergeCell ref="R427:W427"/>
    <mergeCell ref="R429:W429"/>
    <mergeCell ref="R433:T433"/>
    <mergeCell ref="M379:W379"/>
    <mergeCell ref="M381:W381"/>
    <mergeCell ref="M383:W383"/>
    <mergeCell ref="H214:M214"/>
    <mergeCell ref="R214:W214"/>
    <mergeCell ref="H216:M216"/>
    <mergeCell ref="R216:W216"/>
    <mergeCell ref="H222:W222"/>
    <mergeCell ref="H233:W233"/>
    <mergeCell ref="L239:W239"/>
    <mergeCell ref="H237:N237"/>
    <mergeCell ref="H241:M241"/>
    <mergeCell ref="H243:M243"/>
    <mergeCell ref="C247:K247"/>
    <mergeCell ref="L247:Q247"/>
    <mergeCell ref="C248:K248"/>
    <mergeCell ref="L248:Q248"/>
    <mergeCell ref="C249:K249"/>
    <mergeCell ref="L249:Q249"/>
    <mergeCell ref="R249:T249"/>
    <mergeCell ref="U249:W249"/>
    <mergeCell ref="L250:Q250"/>
    <mergeCell ref="R250:T250"/>
    <mergeCell ref="U250:W250"/>
    <mergeCell ref="C250:K250"/>
    <mergeCell ref="C251:K251"/>
    <mergeCell ref="L251:Q251"/>
    <mergeCell ref="R251:T251"/>
    <mergeCell ref="U251:W251"/>
    <mergeCell ref="C252:K252"/>
    <mergeCell ref="L252:Q252"/>
    <mergeCell ref="L254:Q254"/>
    <mergeCell ref="H199:W199"/>
    <mergeCell ref="B201:W201"/>
    <mergeCell ref="B202:W202"/>
    <mergeCell ref="B203:W203"/>
    <mergeCell ref="H208:W208"/>
    <mergeCell ref="H210:O210"/>
    <mergeCell ref="L212:W212"/>
    <mergeCell ref="R241:W241"/>
    <mergeCell ref="R243:W243"/>
    <mergeCell ref="R247:T247"/>
    <mergeCell ref="U247:W247"/>
    <mergeCell ref="R248:T248"/>
    <mergeCell ref="U248:W248"/>
    <mergeCell ref="R252:T252"/>
    <mergeCell ref="U252:W252"/>
    <mergeCell ref="T374:V374"/>
    <mergeCell ref="M377:W377"/>
    <mergeCell ref="J257:O257"/>
    <mergeCell ref="J258:O258"/>
    <mergeCell ref="J259:O259"/>
    <mergeCell ref="K263:N263"/>
    <mergeCell ref="Q263:V263"/>
    <mergeCell ref="C253:K253"/>
    <mergeCell ref="L253:Q253"/>
    <mergeCell ref="R253:T253"/>
    <mergeCell ref="U253:W253"/>
    <mergeCell ref="C254:K254"/>
    <mergeCell ref="R254:T254"/>
    <mergeCell ref="U254:W254"/>
    <mergeCell ref="M197:W197"/>
    <mergeCell ref="R150:W150"/>
    <mergeCell ref="R152:W152"/>
    <mergeCell ref="R156:T156"/>
    <mergeCell ref="U156:W156"/>
    <mergeCell ref="R157:T157"/>
    <mergeCell ref="U157:W157"/>
    <mergeCell ref="H123:M123"/>
    <mergeCell ref="R123:W123"/>
    <mergeCell ref="H125:M125"/>
    <mergeCell ref="R125:W125"/>
    <mergeCell ref="H131:W131"/>
    <mergeCell ref="H142:W142"/>
    <mergeCell ref="L148:W148"/>
    <mergeCell ref="H146:N146"/>
    <mergeCell ref="H150:M150"/>
    <mergeCell ref="H152:M152"/>
    <mergeCell ref="C156:K156"/>
    <mergeCell ref="L156:Q156"/>
    <mergeCell ref="C157:K157"/>
    <mergeCell ref="L157:Q157"/>
    <mergeCell ref="C158:K158"/>
    <mergeCell ref="L158:Q158"/>
    <mergeCell ref="R158:T158"/>
    <mergeCell ref="U158:W158"/>
    <mergeCell ref="L159:Q159"/>
    <mergeCell ref="R159:T159"/>
    <mergeCell ref="U159:W159"/>
    <mergeCell ref="C159:K159"/>
    <mergeCell ref="C160:K160"/>
    <mergeCell ref="L160:Q160"/>
    <mergeCell ref="R160:T160"/>
    <mergeCell ref="B111:W111"/>
    <mergeCell ref="B112:W112"/>
    <mergeCell ref="H117:W117"/>
    <mergeCell ref="H119:O119"/>
    <mergeCell ref="L121:W121"/>
    <mergeCell ref="L163:Q163"/>
    <mergeCell ref="J166:O166"/>
    <mergeCell ref="J167:O167"/>
    <mergeCell ref="J168:O168"/>
    <mergeCell ref="K172:N172"/>
    <mergeCell ref="Q172:V172"/>
    <mergeCell ref="R161:T161"/>
    <mergeCell ref="U161:W161"/>
    <mergeCell ref="T188:V188"/>
    <mergeCell ref="M191:W191"/>
    <mergeCell ref="M193:W193"/>
    <mergeCell ref="M195:W195"/>
    <mergeCell ref="U160:W160"/>
    <mergeCell ref="C161:K161"/>
    <mergeCell ref="L161:Q161"/>
    <mergeCell ref="C162:K162"/>
    <mergeCell ref="L162:Q162"/>
    <mergeCell ref="R162:T162"/>
    <mergeCell ref="U162:W162"/>
    <mergeCell ref="C163:K163"/>
    <mergeCell ref="R163:T163"/>
    <mergeCell ref="U163:W163"/>
    <mergeCell ref="C68:K68"/>
    <mergeCell ref="C69:K69"/>
    <mergeCell ref="L69:Q69"/>
    <mergeCell ref="R69:T69"/>
    <mergeCell ref="U69:W69"/>
    <mergeCell ref="J72:O72"/>
    <mergeCell ref="J73:O73"/>
    <mergeCell ref="H108:W108"/>
    <mergeCell ref="B110:W110"/>
    <mergeCell ref="T97:V97"/>
    <mergeCell ref="M100:W100"/>
    <mergeCell ref="M102:W102"/>
    <mergeCell ref="M104:W104"/>
    <mergeCell ref="M106:W106"/>
    <mergeCell ref="C67:K67"/>
    <mergeCell ref="L67:Q67"/>
    <mergeCell ref="R67:T67"/>
    <mergeCell ref="U67:W67"/>
    <mergeCell ref="L68:Q68"/>
    <mergeCell ref="R68:T68"/>
    <mergeCell ref="U68:W68"/>
    <mergeCell ref="J74:O74"/>
    <mergeCell ref="K78:N78"/>
    <mergeCell ref="Q78:V78"/>
    <mergeCell ref="T3:V3"/>
    <mergeCell ref="M6:W6"/>
    <mergeCell ref="M8:W8"/>
    <mergeCell ref="M10:W10"/>
    <mergeCell ref="M12:W12"/>
    <mergeCell ref="H14:W14"/>
    <mergeCell ref="B16:W16"/>
    <mergeCell ref="B17:W17"/>
    <mergeCell ref="B18:W18"/>
    <mergeCell ref="H23:W23"/>
    <mergeCell ref="H25:O25"/>
    <mergeCell ref="L27:W27"/>
    <mergeCell ref="H29:M29"/>
    <mergeCell ref="R29:W29"/>
    <mergeCell ref="H31:M31"/>
    <mergeCell ref="R31:W31"/>
    <mergeCell ref="H37:W37"/>
    <mergeCell ref="H48:W48"/>
    <mergeCell ref="H52:N52"/>
    <mergeCell ref="L54:W54"/>
    <mergeCell ref="R56:W56"/>
    <mergeCell ref="H56:M56"/>
    <mergeCell ref="H58:M58"/>
    <mergeCell ref="R58:W58"/>
    <mergeCell ref="C62:K62"/>
    <mergeCell ref="L62:Q62"/>
    <mergeCell ref="R62:T62"/>
    <mergeCell ref="C64:K64"/>
    <mergeCell ref="C65:K65"/>
    <mergeCell ref="L65:Q65"/>
    <mergeCell ref="R65:T65"/>
    <mergeCell ref="U65:W65"/>
    <mergeCell ref="C66:K66"/>
    <mergeCell ref="L66:Q66"/>
    <mergeCell ref="R66:T66"/>
    <mergeCell ref="U66:W66"/>
    <mergeCell ref="U62:W62"/>
    <mergeCell ref="C63:K63"/>
    <mergeCell ref="L63:Q63"/>
    <mergeCell ref="R63:T63"/>
    <mergeCell ref="U63:W63"/>
    <mergeCell ref="L64:Q64"/>
    <mergeCell ref="R64:T64"/>
    <mergeCell ref="U64:W64"/>
  </mergeCells>
  <pageMargins left="0.51181102362204722" right="0.31496062992125984" top="0.74803149606299213" bottom="0.55118110236220474" header="0" footer="0"/>
  <pageSetup paperSize="5" scale="75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00"/>
  <sheetViews>
    <sheetView workbookViewId="0"/>
  </sheetViews>
  <sheetFormatPr defaultColWidth="12.5703125" defaultRowHeight="15" customHeight="1"/>
  <cols>
    <col min="1" max="2" width="4" customWidth="1"/>
    <col min="3" max="3" width="35.5703125" customWidth="1"/>
    <col min="4" max="4" width="2.85546875" customWidth="1"/>
    <col min="5" max="26" width="8.5703125" customWidth="1"/>
  </cols>
  <sheetData>
    <row r="1" spans="2:7" ht="12.75" customHeight="1">
      <c r="B1" s="289" t="s">
        <v>1019</v>
      </c>
      <c r="C1" s="194"/>
      <c r="D1" s="194"/>
      <c r="E1" s="194"/>
      <c r="F1" s="194"/>
      <c r="G1" s="194"/>
    </row>
    <row r="2" spans="2:7" ht="12.75" customHeight="1">
      <c r="B2" s="289" t="s">
        <v>1020</v>
      </c>
      <c r="C2" s="194"/>
      <c r="D2" s="194"/>
      <c r="E2" s="194"/>
      <c r="F2" s="194"/>
      <c r="G2" s="194"/>
    </row>
    <row r="3" spans="2:7" ht="12.75" customHeight="1">
      <c r="B3" s="289" t="s">
        <v>1021</v>
      </c>
      <c r="C3" s="194"/>
      <c r="D3" s="194"/>
      <c r="E3" s="194"/>
      <c r="F3" s="194"/>
      <c r="G3" s="194"/>
    </row>
    <row r="4" spans="2:7" ht="12.75" customHeight="1">
      <c r="B4" s="153"/>
      <c r="C4" s="153"/>
      <c r="D4" s="153"/>
      <c r="E4" s="153"/>
      <c r="F4" s="153"/>
      <c r="G4" s="153"/>
    </row>
    <row r="5" spans="2:7" ht="12.75" customHeight="1">
      <c r="B5" s="153" t="s">
        <v>206</v>
      </c>
      <c r="C5" s="153" t="s">
        <v>1022</v>
      </c>
      <c r="D5" s="153" t="s">
        <v>10</v>
      </c>
      <c r="E5" s="153" t="s">
        <v>1023</v>
      </c>
      <c r="F5" s="153"/>
      <c r="G5" s="153"/>
    </row>
    <row r="6" spans="2:7" ht="12.75" customHeight="1">
      <c r="B6" s="153"/>
      <c r="C6" s="153"/>
      <c r="D6" s="153"/>
      <c r="E6" s="153" t="s">
        <v>1024</v>
      </c>
      <c r="F6" s="153"/>
      <c r="G6" s="153"/>
    </row>
    <row r="7" spans="2:7" ht="12.75" customHeight="1">
      <c r="B7" s="153"/>
      <c r="C7" s="153"/>
      <c r="D7" s="153"/>
      <c r="E7" s="153" t="s">
        <v>1025</v>
      </c>
      <c r="F7" s="153"/>
      <c r="G7" s="153"/>
    </row>
    <row r="8" spans="2:7" ht="12.75" customHeight="1">
      <c r="B8" s="153"/>
      <c r="C8" s="153"/>
      <c r="D8" s="153"/>
      <c r="E8" s="153"/>
      <c r="F8" s="153"/>
      <c r="G8" s="153"/>
    </row>
    <row r="9" spans="2:7" ht="12.75" customHeight="1">
      <c r="B9" s="153" t="s">
        <v>280</v>
      </c>
      <c r="C9" s="153" t="s">
        <v>1026</v>
      </c>
      <c r="D9" s="153" t="s">
        <v>10</v>
      </c>
      <c r="F9" s="153"/>
      <c r="G9" s="153"/>
    </row>
    <row r="10" spans="2:7" ht="12.75" customHeight="1">
      <c r="B10" s="153"/>
      <c r="C10" s="153" t="s">
        <v>1027</v>
      </c>
      <c r="D10" s="153"/>
      <c r="E10" s="153" t="s">
        <v>1028</v>
      </c>
      <c r="F10" s="153"/>
      <c r="G10" s="153"/>
    </row>
    <row r="11" spans="2:7" ht="12.75" customHeight="1">
      <c r="B11" s="153"/>
      <c r="C11" s="153" t="s">
        <v>1029</v>
      </c>
      <c r="D11" s="153"/>
      <c r="E11" s="153" t="s">
        <v>1030</v>
      </c>
      <c r="F11" s="153"/>
      <c r="G11" s="153"/>
    </row>
    <row r="12" spans="2:7" ht="12.75" customHeight="1">
      <c r="B12" s="153"/>
      <c r="C12" s="153" t="s">
        <v>1029</v>
      </c>
      <c r="D12" s="153"/>
      <c r="E12" s="153" t="s">
        <v>1031</v>
      </c>
      <c r="F12" s="153"/>
      <c r="G12" s="153"/>
    </row>
    <row r="13" spans="2:7" ht="12.75" customHeight="1">
      <c r="B13" s="153"/>
      <c r="C13" s="153" t="s">
        <v>1029</v>
      </c>
      <c r="D13" s="153"/>
      <c r="E13" s="153" t="s">
        <v>1032</v>
      </c>
      <c r="F13" s="153"/>
      <c r="G13" s="153"/>
    </row>
    <row r="14" spans="2:7" ht="12.75" customHeight="1">
      <c r="B14" s="153"/>
      <c r="C14" s="153"/>
      <c r="D14" s="153"/>
      <c r="E14" s="153"/>
      <c r="F14" s="153"/>
      <c r="G14" s="153"/>
    </row>
    <row r="15" spans="2:7" ht="12.75" customHeight="1">
      <c r="B15" s="153" t="s">
        <v>1033</v>
      </c>
      <c r="C15" s="153" t="s">
        <v>1034</v>
      </c>
      <c r="D15" s="153" t="s">
        <v>10</v>
      </c>
      <c r="E15" s="153" t="s">
        <v>1035</v>
      </c>
      <c r="F15" s="153"/>
      <c r="G15" s="153"/>
    </row>
    <row r="16" spans="2:7" ht="12.75" customHeight="1">
      <c r="B16" s="153"/>
      <c r="C16" s="153" t="s">
        <v>1036</v>
      </c>
      <c r="D16" s="153"/>
      <c r="E16" s="153" t="s">
        <v>1037</v>
      </c>
      <c r="F16" s="153"/>
      <c r="G16" s="153"/>
    </row>
    <row r="17" spans="2:7" ht="12.75" customHeight="1">
      <c r="B17" s="153"/>
      <c r="C17" s="153" t="s">
        <v>1036</v>
      </c>
      <c r="D17" s="153"/>
      <c r="E17" s="153" t="s">
        <v>1038</v>
      </c>
      <c r="F17" s="153"/>
      <c r="G17" s="153"/>
    </row>
    <row r="18" spans="2:7" ht="12.75" customHeight="1">
      <c r="B18" s="153"/>
      <c r="C18" s="153" t="s">
        <v>1036</v>
      </c>
      <c r="D18" s="153"/>
      <c r="E18" s="153" t="s">
        <v>1039</v>
      </c>
      <c r="F18" s="153"/>
      <c r="G18" s="153"/>
    </row>
    <row r="19" spans="2:7" ht="12.75" customHeight="1">
      <c r="B19" s="153"/>
      <c r="C19" s="153"/>
      <c r="D19" s="153"/>
      <c r="E19" s="153"/>
      <c r="F19" s="153"/>
      <c r="G19" s="153"/>
    </row>
    <row r="20" spans="2:7" ht="12.75" customHeight="1">
      <c r="B20" s="153" t="s">
        <v>1040</v>
      </c>
      <c r="C20" s="153" t="s">
        <v>1041</v>
      </c>
      <c r="D20" s="153" t="s">
        <v>10</v>
      </c>
      <c r="E20" s="153" t="s">
        <v>1042</v>
      </c>
      <c r="F20" s="153"/>
      <c r="G20" s="153"/>
    </row>
    <row r="21" spans="2:7" ht="12.75" customHeight="1">
      <c r="B21" s="153"/>
      <c r="C21" s="153"/>
      <c r="D21" s="153"/>
      <c r="E21" s="153" t="s">
        <v>1043</v>
      </c>
      <c r="F21" s="153"/>
      <c r="G21" s="153"/>
    </row>
    <row r="22" spans="2:7" ht="12.75" customHeight="1">
      <c r="B22" s="153"/>
      <c r="C22" s="153"/>
      <c r="D22" s="153"/>
      <c r="E22" s="153" t="s">
        <v>1044</v>
      </c>
      <c r="F22" s="153"/>
      <c r="G22" s="153"/>
    </row>
    <row r="23" spans="2:7" ht="12.75" customHeight="1">
      <c r="B23" s="153"/>
      <c r="C23" s="153"/>
      <c r="D23" s="153"/>
      <c r="E23" s="153" t="s">
        <v>1045</v>
      </c>
      <c r="F23" s="153"/>
      <c r="G23" s="153"/>
    </row>
    <row r="24" spans="2:7" ht="12.75" customHeight="1">
      <c r="B24" s="153"/>
      <c r="C24" s="153"/>
      <c r="D24" s="153"/>
      <c r="E24" s="153" t="s">
        <v>1046</v>
      </c>
      <c r="F24" s="153"/>
      <c r="G24" s="153"/>
    </row>
    <row r="25" spans="2:7" ht="12.75" customHeight="1">
      <c r="B25" s="153"/>
      <c r="C25" s="153"/>
      <c r="D25" s="153"/>
      <c r="E25" s="153"/>
      <c r="F25" s="153"/>
      <c r="G25" s="153"/>
    </row>
    <row r="26" spans="2:7" ht="12.75" customHeight="1">
      <c r="B26" s="153" t="s">
        <v>1047</v>
      </c>
      <c r="C26" s="153" t="s">
        <v>1048</v>
      </c>
      <c r="D26" s="153" t="s">
        <v>10</v>
      </c>
      <c r="E26" s="153"/>
      <c r="F26" s="153"/>
      <c r="G26" s="153"/>
    </row>
    <row r="27" spans="2:7" ht="12.75" customHeight="1">
      <c r="B27" s="153"/>
      <c r="C27" s="153" t="s">
        <v>1049</v>
      </c>
      <c r="D27" s="153" t="s">
        <v>10</v>
      </c>
      <c r="E27" s="153" t="s">
        <v>1050</v>
      </c>
      <c r="F27" s="153"/>
      <c r="G27" s="153"/>
    </row>
    <row r="28" spans="2:7" ht="12.75" customHeight="1">
      <c r="B28" s="153"/>
      <c r="C28" s="153" t="s">
        <v>1051</v>
      </c>
      <c r="D28" s="153" t="s">
        <v>10</v>
      </c>
      <c r="E28" s="153" t="s">
        <v>1052</v>
      </c>
      <c r="F28" s="153"/>
      <c r="G28" s="153"/>
    </row>
    <row r="29" spans="2:7" ht="12.75" customHeight="1">
      <c r="B29" s="153"/>
      <c r="C29" s="153" t="s">
        <v>1053</v>
      </c>
      <c r="D29" s="153" t="s">
        <v>10</v>
      </c>
      <c r="E29" s="153" t="s">
        <v>1054</v>
      </c>
      <c r="F29" s="153"/>
      <c r="G29" s="153"/>
    </row>
    <row r="30" spans="2:7" ht="12.75" customHeight="1">
      <c r="B30" s="153"/>
      <c r="C30" s="153" t="s">
        <v>1055</v>
      </c>
      <c r="D30" s="153" t="s">
        <v>10</v>
      </c>
      <c r="E30" s="153" t="s">
        <v>726</v>
      </c>
      <c r="F30" s="153"/>
      <c r="G30" s="153"/>
    </row>
    <row r="31" spans="2:7" ht="12.75" customHeight="1">
      <c r="B31" s="153"/>
      <c r="C31" s="153" t="s">
        <v>1056</v>
      </c>
      <c r="D31" s="153" t="s">
        <v>10</v>
      </c>
      <c r="E31" s="153" t="s">
        <v>1057</v>
      </c>
      <c r="F31" s="153"/>
      <c r="G31" s="153"/>
    </row>
    <row r="32" spans="2:7" ht="12.75" customHeight="1">
      <c r="B32" s="153"/>
      <c r="C32" s="153" t="s">
        <v>1058</v>
      </c>
      <c r="D32" s="153" t="s">
        <v>10</v>
      </c>
      <c r="E32" s="153" t="s">
        <v>27</v>
      </c>
      <c r="F32" s="153"/>
      <c r="G32" s="153"/>
    </row>
    <row r="33" spans="2:7" ht="12.75" customHeight="1">
      <c r="B33" s="153"/>
      <c r="C33" s="153"/>
      <c r="D33" s="153"/>
      <c r="E33" s="153"/>
      <c r="F33" s="153"/>
      <c r="G33" s="153"/>
    </row>
    <row r="34" spans="2:7" ht="12.75" customHeight="1">
      <c r="B34" s="153"/>
      <c r="C34" s="153"/>
      <c r="D34" s="153"/>
      <c r="E34" s="153"/>
      <c r="F34" s="153"/>
      <c r="G34" s="153"/>
    </row>
    <row r="35" spans="2:7" ht="12.75" customHeight="1">
      <c r="B35" s="153"/>
      <c r="C35" s="153"/>
      <c r="D35" s="153"/>
      <c r="E35" s="153"/>
      <c r="F35" s="153"/>
      <c r="G35" s="153"/>
    </row>
    <row r="36" spans="2:7" ht="12.75" customHeight="1">
      <c r="B36" s="153"/>
      <c r="C36" s="153"/>
      <c r="D36" s="153"/>
      <c r="E36" s="153"/>
      <c r="F36" s="153"/>
      <c r="G36" s="153"/>
    </row>
    <row r="37" spans="2:7" ht="12.75" customHeight="1">
      <c r="B37" s="153"/>
      <c r="C37" s="153"/>
      <c r="D37" s="153"/>
      <c r="E37" s="153"/>
      <c r="F37" s="153"/>
      <c r="G37" s="153"/>
    </row>
    <row r="38" spans="2:7" ht="12.75" customHeight="1">
      <c r="B38" s="153"/>
      <c r="C38" s="153"/>
      <c r="D38" s="153"/>
      <c r="E38" s="153"/>
      <c r="F38" s="153"/>
      <c r="G38" s="153"/>
    </row>
    <row r="39" spans="2:7" ht="12.75" customHeight="1">
      <c r="B39" s="153"/>
      <c r="C39" s="153"/>
      <c r="D39" s="153"/>
      <c r="E39" s="153"/>
      <c r="F39" s="153"/>
      <c r="G39" s="153"/>
    </row>
    <row r="40" spans="2:7" ht="12.75" customHeight="1">
      <c r="B40" s="153"/>
      <c r="C40" s="153"/>
      <c r="D40" s="153"/>
      <c r="E40" s="153"/>
      <c r="F40" s="153"/>
      <c r="G40" s="153"/>
    </row>
    <row r="41" spans="2:7" ht="12.75" customHeight="1">
      <c r="B41" s="153"/>
      <c r="C41" s="153"/>
      <c r="D41" s="153"/>
      <c r="E41" s="153"/>
      <c r="F41" s="153"/>
      <c r="G41" s="153"/>
    </row>
    <row r="42" spans="2:7" ht="12.75" customHeight="1">
      <c r="B42" s="153"/>
      <c r="C42" s="153"/>
      <c r="D42" s="153"/>
      <c r="E42" s="153"/>
      <c r="F42" s="153"/>
      <c r="G42" s="153"/>
    </row>
    <row r="43" spans="2:7" ht="12.75" customHeight="1">
      <c r="B43" s="153"/>
      <c r="C43" s="153"/>
      <c r="D43" s="153"/>
      <c r="E43" s="153"/>
      <c r="F43" s="153"/>
      <c r="G43" s="153"/>
    </row>
    <row r="44" spans="2:7" ht="12.75" customHeight="1">
      <c r="B44" s="153"/>
      <c r="C44" s="153"/>
      <c r="D44" s="153"/>
      <c r="E44" s="153"/>
      <c r="F44" s="153"/>
      <c r="G44" s="153"/>
    </row>
    <row r="45" spans="2:7" ht="12.75" customHeight="1">
      <c r="B45" s="153"/>
      <c r="C45" s="153"/>
      <c r="D45" s="153"/>
      <c r="E45" s="153"/>
      <c r="F45" s="153"/>
      <c r="G45" s="153"/>
    </row>
    <row r="46" spans="2:7" ht="12.75" customHeight="1">
      <c r="B46" s="153"/>
      <c r="C46" s="153"/>
      <c r="D46" s="153"/>
      <c r="E46" s="153"/>
      <c r="F46" s="153"/>
      <c r="G46" s="153"/>
    </row>
    <row r="47" spans="2:7" ht="12.75" customHeight="1">
      <c r="B47" s="153"/>
      <c r="C47" s="153"/>
      <c r="D47" s="153"/>
      <c r="E47" s="153"/>
      <c r="F47" s="153"/>
      <c r="G47" s="153"/>
    </row>
    <row r="48" spans="2:7" ht="12.75" customHeight="1">
      <c r="B48" s="153"/>
      <c r="C48" s="153"/>
      <c r="D48" s="153"/>
      <c r="E48" s="153"/>
      <c r="F48" s="153"/>
      <c r="G48" s="153"/>
    </row>
    <row r="49" spans="2:7" ht="12.75" customHeight="1">
      <c r="B49" s="153"/>
      <c r="C49" s="153"/>
      <c r="D49" s="153"/>
      <c r="E49" s="153"/>
      <c r="F49" s="153"/>
      <c r="G49" s="153"/>
    </row>
    <row r="50" spans="2:7" ht="12.75" customHeight="1">
      <c r="B50" s="153"/>
      <c r="C50" s="153"/>
      <c r="D50" s="153"/>
      <c r="E50" s="153"/>
      <c r="F50" s="153"/>
      <c r="G50" s="153"/>
    </row>
    <row r="51" spans="2:7" ht="12.75" customHeight="1">
      <c r="B51" s="153"/>
      <c r="C51" s="153"/>
      <c r="D51" s="153"/>
      <c r="E51" s="153"/>
      <c r="F51" s="153"/>
      <c r="G51" s="153"/>
    </row>
    <row r="52" spans="2:7" ht="12.75" customHeight="1">
      <c r="B52" s="153"/>
      <c r="C52" s="153"/>
      <c r="D52" s="153"/>
      <c r="E52" s="153"/>
      <c r="F52" s="153"/>
      <c r="G52" s="153"/>
    </row>
    <row r="53" spans="2:7" ht="12.75" customHeight="1">
      <c r="B53" s="153"/>
      <c r="C53" s="153"/>
      <c r="D53" s="153"/>
      <c r="E53" s="153"/>
      <c r="F53" s="153"/>
      <c r="G53" s="153"/>
    </row>
    <row r="54" spans="2:7" ht="12.75" customHeight="1">
      <c r="B54" s="153"/>
      <c r="C54" s="153"/>
      <c r="D54" s="153"/>
      <c r="E54" s="153"/>
      <c r="F54" s="153"/>
      <c r="G54" s="153"/>
    </row>
    <row r="55" spans="2:7" ht="12.75" customHeight="1">
      <c r="B55" s="153"/>
      <c r="C55" s="153"/>
      <c r="D55" s="153"/>
      <c r="E55" s="153"/>
      <c r="F55" s="153"/>
      <c r="G55" s="153"/>
    </row>
    <row r="56" spans="2:7" ht="12.75" customHeight="1">
      <c r="B56" s="153"/>
      <c r="C56" s="153"/>
      <c r="D56" s="153"/>
      <c r="E56" s="153"/>
      <c r="F56" s="153"/>
      <c r="G56" s="153"/>
    </row>
    <row r="57" spans="2:7" ht="12.75" customHeight="1">
      <c r="B57" s="153"/>
      <c r="C57" s="153"/>
      <c r="D57" s="153"/>
      <c r="E57" s="153"/>
      <c r="F57" s="153"/>
      <c r="G57" s="153"/>
    </row>
    <row r="58" spans="2:7" ht="12.75" customHeight="1">
      <c r="B58" s="153"/>
      <c r="C58" s="153"/>
      <c r="D58" s="153"/>
      <c r="E58" s="153"/>
      <c r="F58" s="153"/>
      <c r="G58" s="153"/>
    </row>
    <row r="59" spans="2:7" ht="12.75" customHeight="1"/>
    <row r="60" spans="2:7" ht="12.75" customHeight="1"/>
    <row r="61" spans="2:7" ht="12.75" customHeight="1"/>
    <row r="62" spans="2:7" ht="12.75" customHeight="1">
      <c r="B62" s="289" t="s">
        <v>1059</v>
      </c>
      <c r="C62" s="194"/>
      <c r="D62" s="194"/>
      <c r="E62" s="194"/>
      <c r="F62" s="194"/>
      <c r="G62" s="194"/>
    </row>
    <row r="63" spans="2:7" ht="12.75" customHeight="1">
      <c r="B63" s="289" t="s">
        <v>1020</v>
      </c>
      <c r="C63" s="194"/>
      <c r="D63" s="194"/>
      <c r="E63" s="194"/>
      <c r="F63" s="194"/>
      <c r="G63" s="194"/>
    </row>
    <row r="64" spans="2:7" ht="12.75" customHeight="1">
      <c r="B64" s="289" t="s">
        <v>1021</v>
      </c>
      <c r="C64" s="194"/>
      <c r="D64" s="194"/>
      <c r="E64" s="194"/>
      <c r="F64" s="194"/>
      <c r="G64" s="194"/>
    </row>
    <row r="65" spans="2:7" ht="12.75" customHeight="1">
      <c r="B65" s="154"/>
      <c r="C65" s="154"/>
      <c r="D65" s="154"/>
      <c r="E65" s="154"/>
      <c r="F65" s="154"/>
      <c r="G65" s="154"/>
    </row>
    <row r="66" spans="2:7" ht="12.75" customHeight="1">
      <c r="B66" s="154"/>
      <c r="C66" s="154"/>
      <c r="D66" s="154"/>
      <c r="E66" s="154"/>
      <c r="F66" s="154"/>
      <c r="G66" s="154"/>
    </row>
    <row r="67" spans="2:7" ht="12.75" customHeight="1">
      <c r="B67" s="155" t="s">
        <v>206</v>
      </c>
      <c r="C67" s="154" t="s">
        <v>1060</v>
      </c>
      <c r="D67" s="154" t="s">
        <v>10</v>
      </c>
      <c r="E67" s="154" t="s">
        <v>1061</v>
      </c>
      <c r="F67" s="154"/>
      <c r="G67" s="154"/>
    </row>
    <row r="68" spans="2:7" ht="12.75" customHeight="1">
      <c r="B68" s="155"/>
      <c r="C68" s="154"/>
      <c r="D68" s="154"/>
      <c r="E68" s="154" t="s">
        <v>1062</v>
      </c>
      <c r="F68" s="154"/>
      <c r="G68" s="154"/>
    </row>
    <row r="69" spans="2:7" ht="12.75" customHeight="1">
      <c r="B69" s="155"/>
      <c r="C69" s="154"/>
      <c r="D69" s="154"/>
      <c r="E69" s="154" t="s">
        <v>1063</v>
      </c>
      <c r="F69" s="154"/>
      <c r="G69" s="154"/>
    </row>
    <row r="70" spans="2:7" ht="12.75" customHeight="1">
      <c r="B70" s="155"/>
      <c r="C70" s="154"/>
      <c r="D70" s="154"/>
      <c r="E70" s="154"/>
      <c r="F70" s="154"/>
      <c r="G70" s="154"/>
    </row>
    <row r="71" spans="2:7" ht="12.75" customHeight="1">
      <c r="B71" s="155" t="s">
        <v>280</v>
      </c>
      <c r="C71" s="154" t="s">
        <v>1064</v>
      </c>
      <c r="D71" s="154" t="s">
        <v>10</v>
      </c>
      <c r="E71" s="154" t="s">
        <v>1065</v>
      </c>
      <c r="F71" s="154"/>
      <c r="G71" s="154"/>
    </row>
    <row r="72" spans="2:7" ht="12.75" customHeight="1">
      <c r="B72" s="155"/>
      <c r="C72" s="154"/>
      <c r="D72" s="154"/>
      <c r="E72" s="156" t="s">
        <v>1066</v>
      </c>
      <c r="F72" s="154"/>
      <c r="G72" s="154"/>
    </row>
    <row r="73" spans="2:7" ht="12.75" customHeight="1">
      <c r="B73" s="155"/>
      <c r="C73" s="154"/>
      <c r="D73" s="154"/>
      <c r="E73" s="157" t="s">
        <v>1067</v>
      </c>
      <c r="F73" s="154"/>
      <c r="G73" s="154"/>
    </row>
    <row r="74" spans="2:7" ht="12.75" customHeight="1">
      <c r="B74" s="155"/>
      <c r="C74" s="154"/>
      <c r="D74" s="154"/>
      <c r="E74" s="154"/>
      <c r="F74" s="154"/>
      <c r="G74" s="154"/>
    </row>
    <row r="75" spans="2:7" ht="12.75" customHeight="1">
      <c r="B75" s="155"/>
      <c r="C75" s="154"/>
      <c r="D75" s="154"/>
      <c r="E75" s="154"/>
      <c r="F75" s="154"/>
      <c r="G75" s="154"/>
    </row>
    <row r="76" spans="2:7" ht="12.75" customHeight="1">
      <c r="B76" s="155" t="s">
        <v>1033</v>
      </c>
      <c r="C76" s="154" t="s">
        <v>1068</v>
      </c>
      <c r="D76" s="154" t="s">
        <v>10</v>
      </c>
      <c r="E76" s="154" t="s">
        <v>1069</v>
      </c>
      <c r="F76" s="154"/>
      <c r="G76" s="154"/>
    </row>
    <row r="77" spans="2:7" ht="12.75" customHeight="1">
      <c r="B77" s="155"/>
      <c r="C77" s="154"/>
      <c r="D77" s="154"/>
      <c r="E77" s="157" t="s">
        <v>1070</v>
      </c>
      <c r="F77" s="154"/>
      <c r="G77" s="154"/>
    </row>
    <row r="78" spans="2:7" ht="12.75" customHeight="1">
      <c r="B78" s="155"/>
      <c r="C78" s="154"/>
      <c r="D78" s="154"/>
      <c r="E78" s="154"/>
      <c r="F78" s="154"/>
      <c r="G78" s="154"/>
    </row>
    <row r="79" spans="2:7" ht="12.75" customHeight="1">
      <c r="B79" s="155"/>
      <c r="C79" s="154"/>
      <c r="D79" s="154"/>
      <c r="E79" s="154"/>
      <c r="F79" s="154"/>
      <c r="G79" s="154"/>
    </row>
    <row r="80" spans="2:7" ht="12.75" customHeight="1">
      <c r="B80" s="155" t="s">
        <v>1040</v>
      </c>
      <c r="C80" s="154" t="s">
        <v>1071</v>
      </c>
      <c r="D80" s="154" t="s">
        <v>10</v>
      </c>
      <c r="E80" s="156" t="s">
        <v>111</v>
      </c>
      <c r="F80" s="154"/>
      <c r="G80" s="154"/>
    </row>
    <row r="81" spans="2:7" ht="12.75" customHeight="1">
      <c r="B81" s="155"/>
      <c r="C81" s="154" t="s">
        <v>1072</v>
      </c>
      <c r="D81" s="154"/>
      <c r="E81" s="156" t="s">
        <v>115</v>
      </c>
      <c r="F81" s="154"/>
      <c r="G81" s="154"/>
    </row>
    <row r="82" spans="2:7" ht="12.75" customHeight="1">
      <c r="B82" s="155"/>
      <c r="C82" s="154"/>
      <c r="D82" s="154"/>
      <c r="E82" s="157" t="s">
        <v>118</v>
      </c>
      <c r="F82" s="154"/>
      <c r="G82" s="154"/>
    </row>
    <row r="83" spans="2:7" ht="12.75" customHeight="1">
      <c r="B83" s="155"/>
      <c r="C83" s="154"/>
      <c r="D83" s="154"/>
      <c r="E83" s="154"/>
      <c r="F83" s="154"/>
      <c r="G83" s="154"/>
    </row>
    <row r="84" spans="2:7" ht="12.75" customHeight="1">
      <c r="B84" s="155" t="s">
        <v>1047</v>
      </c>
      <c r="C84" s="154" t="s">
        <v>1073</v>
      </c>
      <c r="D84" s="154" t="s">
        <v>10</v>
      </c>
      <c r="E84" s="156" t="s">
        <v>111</v>
      </c>
      <c r="F84" s="154"/>
      <c r="G84" s="154"/>
    </row>
    <row r="85" spans="2:7" ht="12.75" customHeight="1">
      <c r="B85" s="155"/>
      <c r="C85" s="154"/>
      <c r="D85" s="154"/>
      <c r="E85" s="156" t="s">
        <v>115</v>
      </c>
      <c r="F85" s="154"/>
      <c r="G85" s="154"/>
    </row>
    <row r="86" spans="2:7" ht="12.75" customHeight="1">
      <c r="B86" s="155"/>
      <c r="C86" s="154"/>
      <c r="D86" s="154"/>
      <c r="E86" s="157" t="s">
        <v>118</v>
      </c>
      <c r="F86" s="154"/>
      <c r="G86" s="154"/>
    </row>
    <row r="87" spans="2:7" ht="12.75" customHeight="1">
      <c r="B87" s="155"/>
      <c r="C87" s="154"/>
      <c r="D87" s="154"/>
      <c r="E87" s="154"/>
      <c r="F87" s="154"/>
      <c r="G87" s="154"/>
    </row>
    <row r="88" spans="2:7" ht="12.75" customHeight="1">
      <c r="B88" s="155" t="s">
        <v>1074</v>
      </c>
      <c r="C88" s="154" t="s">
        <v>1075</v>
      </c>
      <c r="D88" s="154" t="s">
        <v>10</v>
      </c>
      <c r="E88" s="156" t="s">
        <v>111</v>
      </c>
      <c r="F88" s="154"/>
      <c r="G88" s="154"/>
    </row>
    <row r="89" spans="2:7" ht="12.75" customHeight="1">
      <c r="B89" s="155"/>
      <c r="C89" s="154"/>
      <c r="D89" s="154"/>
      <c r="E89" s="156" t="s">
        <v>115</v>
      </c>
      <c r="F89" s="154"/>
      <c r="G89" s="154"/>
    </row>
    <row r="90" spans="2:7" ht="12.75" customHeight="1">
      <c r="B90" s="155"/>
      <c r="C90" s="154"/>
      <c r="D90" s="154"/>
      <c r="E90" s="157" t="s">
        <v>118</v>
      </c>
      <c r="F90" s="154"/>
      <c r="G90" s="154"/>
    </row>
    <row r="91" spans="2:7" ht="12.75" customHeight="1">
      <c r="B91" s="155"/>
      <c r="C91" s="154"/>
      <c r="D91" s="154"/>
      <c r="E91" s="154"/>
      <c r="F91" s="154"/>
      <c r="G91" s="154"/>
    </row>
    <row r="92" spans="2:7" ht="12.75" customHeight="1">
      <c r="B92" s="155" t="s">
        <v>1076</v>
      </c>
      <c r="C92" s="154" t="s">
        <v>1077</v>
      </c>
      <c r="D92" s="154" t="s">
        <v>10</v>
      </c>
      <c r="E92" s="156" t="s">
        <v>111</v>
      </c>
      <c r="F92" s="154"/>
      <c r="G92" s="154"/>
    </row>
    <row r="93" spans="2:7" ht="12.75" customHeight="1">
      <c r="B93" s="155"/>
      <c r="C93" s="154"/>
      <c r="D93" s="154"/>
      <c r="E93" s="156" t="s">
        <v>115</v>
      </c>
      <c r="F93" s="154"/>
      <c r="G93" s="154"/>
    </row>
    <row r="94" spans="2:7" ht="12.75" customHeight="1">
      <c r="B94" s="155"/>
      <c r="C94" s="154"/>
      <c r="D94" s="154"/>
      <c r="E94" s="157" t="s">
        <v>118</v>
      </c>
      <c r="F94" s="154"/>
      <c r="G94" s="154"/>
    </row>
    <row r="95" spans="2:7" ht="12.75" customHeight="1">
      <c r="B95" s="155"/>
      <c r="C95" s="154"/>
      <c r="D95" s="154"/>
      <c r="E95" s="154"/>
      <c r="F95" s="154"/>
      <c r="G95" s="154"/>
    </row>
    <row r="96" spans="2:7" ht="12.75" customHeight="1">
      <c r="B96" s="155" t="s">
        <v>1078</v>
      </c>
      <c r="C96" s="154" t="s">
        <v>1079</v>
      </c>
      <c r="D96" s="154" t="s">
        <v>10</v>
      </c>
      <c r="E96" s="156" t="s">
        <v>111</v>
      </c>
      <c r="F96" s="154"/>
      <c r="G96" s="154"/>
    </row>
    <row r="97" spans="2:7" ht="12.75" customHeight="1">
      <c r="B97" s="155"/>
      <c r="C97" s="154" t="s">
        <v>1080</v>
      </c>
      <c r="D97" s="154"/>
      <c r="E97" s="156" t="s">
        <v>115</v>
      </c>
      <c r="F97" s="154"/>
      <c r="G97" s="154"/>
    </row>
    <row r="98" spans="2:7" ht="12.75" customHeight="1">
      <c r="B98" s="155"/>
      <c r="C98" s="154"/>
      <c r="D98" s="154"/>
      <c r="E98" s="157" t="s">
        <v>118</v>
      </c>
      <c r="F98" s="154"/>
      <c r="G98" s="154"/>
    </row>
    <row r="99" spans="2:7" ht="12.75" customHeight="1">
      <c r="B99" s="155"/>
      <c r="C99" s="154"/>
      <c r="D99" s="154"/>
      <c r="E99" s="154"/>
      <c r="F99" s="154"/>
      <c r="G99" s="154"/>
    </row>
    <row r="100" spans="2:7" ht="12.75" customHeight="1">
      <c r="B100" s="155" t="s">
        <v>1081</v>
      </c>
      <c r="C100" s="154" t="s">
        <v>1082</v>
      </c>
      <c r="D100" s="154" t="s">
        <v>10</v>
      </c>
      <c r="E100" s="156" t="s">
        <v>1083</v>
      </c>
      <c r="F100" s="154"/>
      <c r="G100" s="154"/>
    </row>
    <row r="101" spans="2:7" ht="12.75" customHeight="1">
      <c r="B101" s="155"/>
      <c r="C101" s="154"/>
      <c r="D101" s="154"/>
      <c r="E101" s="156" t="s">
        <v>1084</v>
      </c>
      <c r="F101" s="154"/>
      <c r="G101" s="154"/>
    </row>
    <row r="102" spans="2:7" ht="12.75" customHeight="1">
      <c r="B102" s="155"/>
      <c r="C102" s="154"/>
      <c r="D102" s="154"/>
      <c r="E102" s="157" t="s">
        <v>1085</v>
      </c>
      <c r="F102" s="154"/>
      <c r="G102" s="154"/>
    </row>
    <row r="103" spans="2:7" ht="12.75" customHeight="1">
      <c r="B103" s="154"/>
      <c r="C103" s="154"/>
      <c r="D103" s="154"/>
      <c r="E103" s="154"/>
      <c r="F103" s="154"/>
      <c r="G103" s="154"/>
    </row>
    <row r="104" spans="2:7" ht="12.75" customHeight="1">
      <c r="B104" s="154"/>
      <c r="C104" s="154"/>
      <c r="D104" s="154"/>
      <c r="E104" s="154"/>
      <c r="F104" s="154"/>
      <c r="G104" s="154"/>
    </row>
    <row r="105" spans="2:7" ht="12.75" customHeight="1"/>
    <row r="106" spans="2:7" ht="12.75" customHeight="1"/>
    <row r="107" spans="2:7" ht="12.75" customHeight="1"/>
    <row r="108" spans="2:7" ht="12.75" customHeight="1"/>
    <row r="109" spans="2:7" ht="12.75" customHeight="1"/>
    <row r="110" spans="2:7" ht="12.75" customHeight="1"/>
    <row r="111" spans="2:7" ht="12.75" customHeight="1"/>
    <row r="112" spans="2:7" ht="12.75" customHeight="1"/>
    <row r="113" spans="2:7" ht="12.75" customHeight="1"/>
    <row r="114" spans="2:7" ht="12.75" customHeight="1"/>
    <row r="115" spans="2:7" ht="12.75" customHeight="1"/>
    <row r="116" spans="2:7" ht="12.75" customHeight="1"/>
    <row r="117" spans="2:7" ht="12.75" customHeight="1"/>
    <row r="118" spans="2:7" ht="12.75" customHeight="1"/>
    <row r="119" spans="2:7" ht="12.75" customHeight="1"/>
    <row r="120" spans="2:7" ht="12.75" customHeight="1"/>
    <row r="121" spans="2:7" ht="12.75" customHeight="1"/>
    <row r="122" spans="2:7" ht="12.75" customHeight="1"/>
    <row r="123" spans="2:7" ht="12.75" customHeight="1"/>
    <row r="124" spans="2:7" ht="12.75" customHeight="1"/>
    <row r="125" spans="2:7" ht="12.75" customHeight="1"/>
    <row r="126" spans="2:7" ht="12.75" customHeight="1">
      <c r="B126" s="289" t="s">
        <v>1086</v>
      </c>
      <c r="C126" s="194"/>
      <c r="D126" s="194"/>
      <c r="E126" s="194"/>
      <c r="F126" s="194"/>
      <c r="G126" s="194"/>
    </row>
    <row r="127" spans="2:7" ht="12.75" customHeight="1">
      <c r="B127" s="289" t="s">
        <v>1020</v>
      </c>
      <c r="C127" s="194"/>
      <c r="D127" s="194"/>
      <c r="E127" s="194"/>
      <c r="F127" s="194"/>
      <c r="G127" s="194"/>
    </row>
    <row r="128" spans="2:7" ht="12.75" customHeight="1">
      <c r="B128" s="289" t="s">
        <v>1021</v>
      </c>
      <c r="C128" s="194"/>
      <c r="D128" s="194"/>
      <c r="E128" s="194"/>
      <c r="F128" s="194"/>
      <c r="G128" s="194"/>
    </row>
    <row r="129" spans="2:7" ht="12.75" customHeight="1">
      <c r="B129" s="153"/>
      <c r="C129" s="153"/>
      <c r="D129" s="153"/>
      <c r="E129" s="153"/>
      <c r="F129" s="153"/>
      <c r="G129" s="153"/>
    </row>
    <row r="130" spans="2:7" ht="12.75" customHeight="1">
      <c r="B130" s="153" t="s">
        <v>206</v>
      </c>
      <c r="C130" s="153" t="s">
        <v>1087</v>
      </c>
      <c r="D130" s="153" t="s">
        <v>10</v>
      </c>
      <c r="E130" s="153" t="s">
        <v>1088</v>
      </c>
      <c r="F130" s="153"/>
      <c r="G130" s="153"/>
    </row>
    <row r="131" spans="2:7" ht="12.75" customHeight="1">
      <c r="B131" s="153"/>
      <c r="C131" s="153"/>
      <c r="D131" s="153"/>
      <c r="E131" s="153" t="s">
        <v>1089</v>
      </c>
      <c r="F131" s="153"/>
      <c r="G131" s="153"/>
    </row>
    <row r="132" spans="2:7" ht="12.75" customHeight="1">
      <c r="B132" s="153"/>
      <c r="C132" s="153"/>
      <c r="D132" s="153"/>
      <c r="E132" s="153" t="s">
        <v>1090</v>
      </c>
      <c r="F132" s="153"/>
      <c r="G132" s="153"/>
    </row>
    <row r="133" spans="2:7" ht="12.75" customHeight="1">
      <c r="B133" s="153"/>
      <c r="C133" s="153"/>
      <c r="D133" s="153"/>
      <c r="E133" s="153"/>
      <c r="F133" s="153"/>
      <c r="G133" s="153"/>
    </row>
    <row r="134" spans="2:7" ht="12.75" customHeight="1">
      <c r="B134" s="153" t="s">
        <v>280</v>
      </c>
      <c r="C134" s="153" t="s">
        <v>1091</v>
      </c>
      <c r="D134" s="153" t="s">
        <v>10</v>
      </c>
      <c r="F134" s="153"/>
      <c r="G134" s="153"/>
    </row>
    <row r="135" spans="2:7" ht="12.75" customHeight="1">
      <c r="B135" s="153"/>
      <c r="C135" s="153" t="s">
        <v>1092</v>
      </c>
      <c r="D135" s="153" t="s">
        <v>10</v>
      </c>
      <c r="E135" s="153" t="s">
        <v>1093</v>
      </c>
      <c r="F135" s="153"/>
      <c r="G135" s="153"/>
    </row>
    <row r="136" spans="2:7" ht="12.75" customHeight="1">
      <c r="B136" s="153"/>
      <c r="C136" s="153" t="s">
        <v>1094</v>
      </c>
      <c r="D136" s="153" t="s">
        <v>10</v>
      </c>
      <c r="E136" s="153" t="s">
        <v>1095</v>
      </c>
      <c r="F136" s="153"/>
      <c r="G136" s="153"/>
    </row>
    <row r="137" spans="2:7" ht="12.75" customHeight="1">
      <c r="B137" s="153"/>
      <c r="C137" s="153" t="s">
        <v>1096</v>
      </c>
      <c r="D137" s="153" t="s">
        <v>10</v>
      </c>
      <c r="E137" s="153" t="s">
        <v>1097</v>
      </c>
      <c r="F137" s="153"/>
      <c r="G137" s="153"/>
    </row>
    <row r="138" spans="2:7" ht="12.75" customHeight="1">
      <c r="B138" s="153"/>
      <c r="C138" s="153" t="s">
        <v>1098</v>
      </c>
      <c r="D138" s="153" t="s">
        <v>10</v>
      </c>
      <c r="E138" s="153" t="s">
        <v>1099</v>
      </c>
      <c r="F138" s="153"/>
      <c r="G138" s="153"/>
    </row>
    <row r="139" spans="2:7" ht="12.75" customHeight="1">
      <c r="B139" s="153"/>
      <c r="C139" s="153" t="s">
        <v>1100</v>
      </c>
      <c r="D139" s="153" t="s">
        <v>10</v>
      </c>
      <c r="E139" s="153" t="s">
        <v>1101</v>
      </c>
      <c r="F139" s="153"/>
      <c r="G139" s="153"/>
    </row>
    <row r="140" spans="2:7" ht="12.75" customHeight="1">
      <c r="B140" s="153"/>
      <c r="C140" s="153" t="s">
        <v>1102</v>
      </c>
      <c r="D140" s="153" t="s">
        <v>10</v>
      </c>
      <c r="E140" s="153" t="s">
        <v>1103</v>
      </c>
      <c r="F140" s="153"/>
      <c r="G140" s="153"/>
    </row>
    <row r="141" spans="2:7" ht="12.75" customHeight="1">
      <c r="B141" s="153"/>
      <c r="C141" s="153" t="s">
        <v>1104</v>
      </c>
      <c r="D141" s="153" t="s">
        <v>10</v>
      </c>
      <c r="E141" s="153" t="s">
        <v>1105</v>
      </c>
      <c r="F141" s="153"/>
      <c r="G141" s="153"/>
    </row>
    <row r="142" spans="2:7" ht="12.75" customHeight="1">
      <c r="B142" s="153"/>
      <c r="C142" s="153" t="s">
        <v>1106</v>
      </c>
      <c r="D142" s="153" t="s">
        <v>10</v>
      </c>
      <c r="E142" s="153" t="s">
        <v>1107</v>
      </c>
      <c r="F142" s="153"/>
      <c r="G142" s="153"/>
    </row>
    <row r="143" spans="2:7" ht="12.75" customHeight="1">
      <c r="B143" s="153"/>
      <c r="C143" s="153"/>
      <c r="D143" s="153"/>
      <c r="E143" s="153"/>
      <c r="F143" s="153"/>
      <c r="G143" s="153"/>
    </row>
    <row r="144" spans="2:7" ht="12.75" customHeight="1">
      <c r="B144" s="153" t="s">
        <v>1033</v>
      </c>
      <c r="C144" s="153" t="s">
        <v>1108</v>
      </c>
      <c r="D144" s="153" t="s">
        <v>10</v>
      </c>
      <c r="E144" s="153"/>
      <c r="F144" s="153"/>
      <c r="G144" s="153"/>
    </row>
    <row r="145" spans="2:7" ht="12.75" customHeight="1">
      <c r="B145" s="153" t="s">
        <v>1109</v>
      </c>
      <c r="C145" s="153" t="s">
        <v>1110</v>
      </c>
      <c r="D145" s="153" t="s">
        <v>10</v>
      </c>
      <c r="E145" s="153" t="s">
        <v>1111</v>
      </c>
      <c r="F145" s="153"/>
      <c r="G145" s="153"/>
    </row>
    <row r="146" spans="2:7" ht="12.75" customHeight="1">
      <c r="B146" s="153"/>
      <c r="C146" s="153"/>
      <c r="D146" s="153"/>
      <c r="E146" s="153" t="s">
        <v>1112</v>
      </c>
      <c r="F146" s="153"/>
      <c r="G146" s="153"/>
    </row>
    <row r="147" spans="2:7" ht="12.75" customHeight="1">
      <c r="B147" s="153"/>
      <c r="C147" s="153"/>
      <c r="D147" s="153"/>
      <c r="E147" s="153"/>
      <c r="F147" s="153"/>
      <c r="G147" s="153"/>
    </row>
    <row r="148" spans="2:7" ht="12.75" customHeight="1">
      <c r="B148" s="158" t="s">
        <v>1113</v>
      </c>
      <c r="C148" s="159" t="s">
        <v>1114</v>
      </c>
      <c r="D148" s="158" t="s">
        <v>10</v>
      </c>
      <c r="E148" s="158" t="s">
        <v>1115</v>
      </c>
      <c r="F148" s="153"/>
      <c r="G148" s="153"/>
    </row>
    <row r="149" spans="2:7" ht="12.75" customHeight="1">
      <c r="B149" s="153"/>
      <c r="C149" s="153"/>
      <c r="D149" s="153"/>
      <c r="E149" s="153" t="s">
        <v>1116</v>
      </c>
      <c r="F149" s="153"/>
      <c r="G149" s="153"/>
    </row>
    <row r="150" spans="2:7" ht="12.75" customHeight="1">
      <c r="B150" s="153"/>
      <c r="C150" s="153"/>
      <c r="D150" s="153"/>
      <c r="E150" s="153" t="s">
        <v>1117</v>
      </c>
      <c r="F150" s="153"/>
      <c r="G150" s="153"/>
    </row>
    <row r="151" spans="2:7" ht="12.75" customHeight="1">
      <c r="B151" s="153"/>
      <c r="C151" s="153"/>
      <c r="D151" s="153"/>
      <c r="E151" s="153"/>
      <c r="F151" s="153"/>
      <c r="G151" s="153"/>
    </row>
    <row r="152" spans="2:7" ht="12.75" customHeight="1">
      <c r="B152" s="158" t="s">
        <v>1118</v>
      </c>
      <c r="C152" s="159" t="s">
        <v>1119</v>
      </c>
      <c r="D152" s="153" t="s">
        <v>10</v>
      </c>
      <c r="E152" s="153" t="s">
        <v>1120</v>
      </c>
      <c r="F152" s="153"/>
      <c r="G152" s="153"/>
    </row>
    <row r="153" spans="2:7" ht="12.75" customHeight="1">
      <c r="B153" s="153"/>
      <c r="C153" s="153"/>
      <c r="D153" s="153"/>
      <c r="E153" s="153" t="s">
        <v>1121</v>
      </c>
      <c r="F153" s="153"/>
      <c r="G153" s="153"/>
    </row>
    <row r="154" spans="2:7" ht="12.75" customHeight="1">
      <c r="B154" s="153"/>
      <c r="C154" s="153"/>
      <c r="D154" s="153"/>
      <c r="E154" s="153"/>
      <c r="F154" s="153"/>
      <c r="G154" s="153"/>
    </row>
    <row r="155" spans="2:7" ht="12.75" customHeight="1">
      <c r="B155" s="153" t="s">
        <v>1040</v>
      </c>
      <c r="C155" s="153" t="s">
        <v>1122</v>
      </c>
      <c r="D155" s="153" t="s">
        <v>10</v>
      </c>
      <c r="E155" s="153"/>
      <c r="F155" s="153"/>
      <c r="G155" s="153"/>
    </row>
    <row r="156" spans="2:7" ht="12.75" customHeight="1">
      <c r="B156" s="153"/>
      <c r="C156" s="153" t="s">
        <v>1049</v>
      </c>
      <c r="D156" s="153" t="s">
        <v>10</v>
      </c>
      <c r="E156" s="153" t="s">
        <v>1123</v>
      </c>
      <c r="F156" s="153"/>
      <c r="G156" s="153"/>
    </row>
    <row r="157" spans="2:7" ht="12.75" customHeight="1">
      <c r="B157" s="153"/>
      <c r="C157" s="153" t="s">
        <v>1051</v>
      </c>
      <c r="D157" s="153" t="s">
        <v>10</v>
      </c>
      <c r="E157" s="153" t="s">
        <v>1124</v>
      </c>
      <c r="F157" s="153"/>
      <c r="G157" s="153"/>
    </row>
    <row r="158" spans="2:7" ht="12.75" customHeight="1">
      <c r="B158" s="153"/>
      <c r="C158" s="153" t="s">
        <v>1053</v>
      </c>
      <c r="D158" s="153" t="s">
        <v>10</v>
      </c>
      <c r="E158" s="153" t="s">
        <v>1125</v>
      </c>
      <c r="F158" s="153"/>
      <c r="G158" s="153"/>
    </row>
    <row r="159" spans="2:7" ht="12.75" customHeight="1">
      <c r="B159" s="153"/>
      <c r="C159" s="153" t="s">
        <v>1055</v>
      </c>
      <c r="D159" s="153" t="s">
        <v>10</v>
      </c>
      <c r="E159" s="153" t="s">
        <v>1126</v>
      </c>
      <c r="F159" s="153"/>
      <c r="G159" s="153"/>
    </row>
    <row r="160" spans="2:7" ht="12.75" customHeight="1">
      <c r="B160" s="153"/>
      <c r="C160" s="153" t="s">
        <v>1056</v>
      </c>
      <c r="D160" s="153" t="s">
        <v>10</v>
      </c>
      <c r="E160" s="153" t="s">
        <v>1127</v>
      </c>
      <c r="F160" s="153"/>
      <c r="G160" s="153"/>
    </row>
    <row r="161" spans="2:7" ht="12.75" customHeight="1">
      <c r="B161" s="153"/>
      <c r="C161" s="153" t="s">
        <v>1058</v>
      </c>
      <c r="D161" s="153" t="s">
        <v>10</v>
      </c>
      <c r="E161" s="153" t="s">
        <v>1128</v>
      </c>
      <c r="F161" s="153"/>
      <c r="G161" s="153"/>
    </row>
    <row r="162" spans="2:7" ht="12.75" customHeight="1">
      <c r="B162" s="153"/>
      <c r="C162" s="153"/>
      <c r="D162" s="153"/>
      <c r="E162" s="153"/>
      <c r="F162" s="153"/>
      <c r="G162" s="153"/>
    </row>
    <row r="163" spans="2:7" ht="12.75" customHeight="1">
      <c r="B163" s="153" t="s">
        <v>1047</v>
      </c>
      <c r="C163" s="153" t="s">
        <v>1129</v>
      </c>
      <c r="D163" s="153" t="s">
        <v>10</v>
      </c>
      <c r="E163" s="153"/>
      <c r="F163" s="153"/>
      <c r="G163" s="153"/>
    </row>
    <row r="164" spans="2:7" ht="12.75" customHeight="1">
      <c r="B164" s="153"/>
      <c r="C164" s="153" t="s">
        <v>1049</v>
      </c>
      <c r="D164" s="153" t="s">
        <v>10</v>
      </c>
      <c r="E164" s="153" t="s">
        <v>1130</v>
      </c>
      <c r="F164" s="153"/>
      <c r="G164" s="153"/>
    </row>
    <row r="165" spans="2:7" ht="12.75" customHeight="1">
      <c r="B165" s="153"/>
      <c r="C165" s="153" t="s">
        <v>1051</v>
      </c>
      <c r="D165" s="153" t="s">
        <v>10</v>
      </c>
      <c r="E165" s="153" t="s">
        <v>1131</v>
      </c>
      <c r="F165" s="153"/>
      <c r="G165" s="153"/>
    </row>
    <row r="166" spans="2:7" ht="12.75" customHeight="1">
      <c r="B166" s="153"/>
      <c r="C166" s="153" t="s">
        <v>1053</v>
      </c>
      <c r="D166" s="153" t="s">
        <v>10</v>
      </c>
      <c r="E166" s="153" t="s">
        <v>1132</v>
      </c>
      <c r="F166" s="153"/>
    </row>
    <row r="167" spans="2:7" ht="12.75" customHeight="1">
      <c r="B167" s="153"/>
      <c r="C167" s="153" t="s">
        <v>1055</v>
      </c>
      <c r="D167" s="153" t="s">
        <v>10</v>
      </c>
      <c r="E167" s="153" t="s">
        <v>1133</v>
      </c>
      <c r="F167" s="153"/>
    </row>
    <row r="168" spans="2:7" ht="12.75" customHeight="1">
      <c r="B168" s="153"/>
      <c r="C168" s="153" t="s">
        <v>1056</v>
      </c>
      <c r="D168" s="153" t="s">
        <v>10</v>
      </c>
      <c r="E168" s="153" t="s">
        <v>879</v>
      </c>
      <c r="F168" s="153"/>
    </row>
    <row r="169" spans="2:7" ht="12.75" customHeight="1">
      <c r="B169" s="153"/>
      <c r="C169" s="153" t="s">
        <v>1058</v>
      </c>
      <c r="D169" s="153" t="s">
        <v>10</v>
      </c>
      <c r="E169" s="153" t="s">
        <v>1134</v>
      </c>
      <c r="F169" s="153"/>
    </row>
    <row r="170" spans="2:7" ht="12.75" customHeight="1"/>
    <row r="171" spans="2:7" ht="12.75" customHeight="1">
      <c r="B171" s="153" t="s">
        <v>1074</v>
      </c>
      <c r="C171" s="153" t="s">
        <v>1135</v>
      </c>
      <c r="D171" s="153" t="s">
        <v>10</v>
      </c>
      <c r="E171" s="153"/>
    </row>
    <row r="172" spans="2:7" ht="12.75" customHeight="1">
      <c r="B172" s="153"/>
      <c r="C172" s="153" t="s">
        <v>1049</v>
      </c>
      <c r="D172" s="153" t="s">
        <v>10</v>
      </c>
      <c r="E172" s="153" t="s">
        <v>1136</v>
      </c>
    </row>
    <row r="173" spans="2:7" ht="12.75" customHeight="1">
      <c r="B173" s="153"/>
      <c r="C173" s="153" t="s">
        <v>1051</v>
      </c>
      <c r="D173" s="153" t="s">
        <v>10</v>
      </c>
      <c r="E173" s="153" t="s">
        <v>1137</v>
      </c>
    </row>
    <row r="174" spans="2:7" ht="12.75" customHeight="1">
      <c r="B174" s="153"/>
      <c r="C174" s="153" t="s">
        <v>1053</v>
      </c>
      <c r="D174" s="153" t="s">
        <v>10</v>
      </c>
      <c r="E174" s="153" t="s">
        <v>1138</v>
      </c>
    </row>
    <row r="175" spans="2:7" ht="12.75" customHeight="1">
      <c r="B175" s="153"/>
      <c r="C175" s="153" t="s">
        <v>1055</v>
      </c>
      <c r="D175" s="153" t="s">
        <v>10</v>
      </c>
      <c r="E175" s="153" t="s">
        <v>1139</v>
      </c>
    </row>
    <row r="176" spans="2:7" ht="12.75" customHeight="1">
      <c r="B176" s="153"/>
      <c r="C176" s="153" t="s">
        <v>1056</v>
      </c>
      <c r="D176" s="153" t="s">
        <v>10</v>
      </c>
      <c r="E176" s="153" t="s">
        <v>1140</v>
      </c>
    </row>
    <row r="177" spans="2:5" ht="12.75" customHeight="1">
      <c r="B177" s="153"/>
      <c r="C177" s="153" t="s">
        <v>1058</v>
      </c>
      <c r="D177" s="153" t="s">
        <v>10</v>
      </c>
      <c r="E177" s="153" t="s">
        <v>1141</v>
      </c>
    </row>
    <row r="178" spans="2:5" ht="12.75" customHeight="1"/>
    <row r="179" spans="2:5" ht="12.75" customHeight="1"/>
    <row r="180" spans="2:5" ht="12.75" customHeight="1"/>
    <row r="181" spans="2:5" ht="12.75" customHeight="1"/>
    <row r="182" spans="2:5" ht="12.75" customHeight="1"/>
    <row r="183" spans="2:5" ht="12.75" customHeight="1"/>
    <row r="184" spans="2:5" ht="12.75" customHeight="1"/>
    <row r="185" spans="2:5" ht="12.75" customHeight="1"/>
    <row r="186" spans="2:5" ht="12.75" customHeight="1"/>
    <row r="187" spans="2:5" ht="12.75" customHeight="1"/>
    <row r="188" spans="2:5" ht="12.75" customHeight="1"/>
    <row r="189" spans="2:5" ht="12.75" customHeight="1"/>
    <row r="190" spans="2:5" ht="12.75" customHeight="1"/>
    <row r="191" spans="2:5" ht="12.75" customHeight="1"/>
    <row r="192" spans="2:5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B127:G127"/>
    <mergeCell ref="B128:G128"/>
    <mergeCell ref="B1:G1"/>
    <mergeCell ref="B2:G2"/>
    <mergeCell ref="B3:G3"/>
    <mergeCell ref="B62:G62"/>
    <mergeCell ref="B63:G63"/>
    <mergeCell ref="B64:G64"/>
    <mergeCell ref="B126:G126"/>
  </mergeCells>
  <pageMargins left="0.70866141732283472" right="0.70866141732283472" top="0.74803149606299213" bottom="0.74803149606299213" header="0" footer="0"/>
  <pageSetup paperSize="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/>
  </sheetViews>
  <sheetFormatPr defaultColWidth="12.5703125" defaultRowHeight="15" customHeight="1"/>
  <cols>
    <col min="1" max="1" width="1.7109375" customWidth="1"/>
    <col min="2" max="2" width="4.42578125" customWidth="1"/>
    <col min="3" max="3" width="5" customWidth="1"/>
    <col min="4" max="4" width="26.42578125" customWidth="1"/>
    <col min="5" max="5" width="2.28515625" customWidth="1"/>
    <col min="6" max="10" width="8.5703125" customWidth="1"/>
    <col min="11" max="11" width="10" customWidth="1"/>
    <col min="12" max="26" width="8.5703125" customWidth="1"/>
  </cols>
  <sheetData>
    <row r="1" spans="1:20" ht="12.75" customHeight="1">
      <c r="A1" s="153"/>
      <c r="B1" s="153"/>
      <c r="C1" s="153"/>
      <c r="D1" s="153"/>
      <c r="E1" s="153"/>
      <c r="F1" s="153"/>
      <c r="G1" s="153"/>
      <c r="H1" s="153"/>
      <c r="I1" s="153"/>
    </row>
    <row r="2" spans="1:20" ht="12.75" customHeight="1">
      <c r="A2" s="153"/>
      <c r="B2" s="153"/>
      <c r="C2" s="153"/>
      <c r="D2" s="153"/>
      <c r="E2" s="153"/>
      <c r="F2" s="153"/>
      <c r="G2" s="153"/>
      <c r="H2" s="160" t="s">
        <v>1142</v>
      </c>
      <c r="I2" s="153"/>
    </row>
    <row r="3" spans="1:20" ht="12.75" customHeight="1">
      <c r="A3" s="153"/>
      <c r="B3" s="153"/>
      <c r="C3" s="153"/>
      <c r="D3" s="153"/>
      <c r="E3" s="153"/>
      <c r="F3" s="153"/>
      <c r="G3" s="153"/>
      <c r="H3" s="153"/>
      <c r="I3" s="153"/>
    </row>
    <row r="4" spans="1:20" ht="12.75" customHeight="1">
      <c r="A4" s="153"/>
      <c r="B4" s="290" t="s">
        <v>1143</v>
      </c>
      <c r="C4" s="194"/>
      <c r="D4" s="194"/>
      <c r="E4" s="194"/>
      <c r="F4" s="194"/>
      <c r="G4" s="194"/>
      <c r="H4" s="194"/>
      <c r="I4" s="194"/>
      <c r="T4" s="161"/>
    </row>
    <row r="5" spans="1:20" ht="12.75" customHeight="1">
      <c r="A5" s="153"/>
      <c r="B5" s="291" t="s">
        <v>1144</v>
      </c>
      <c r="C5" s="292"/>
      <c r="D5" s="292"/>
      <c r="E5" s="292"/>
      <c r="F5" s="292"/>
      <c r="G5" s="292"/>
      <c r="H5" s="292"/>
      <c r="I5" s="292"/>
    </row>
    <row r="6" spans="1:20" ht="12.75" customHeight="1">
      <c r="A6" s="153"/>
      <c r="B6" s="153"/>
      <c r="C6" s="153"/>
      <c r="D6" s="153"/>
      <c r="E6" s="153"/>
      <c r="F6" s="153"/>
      <c r="G6" s="153"/>
      <c r="H6" s="153"/>
      <c r="I6" s="153"/>
    </row>
    <row r="7" spans="1:20" ht="12.75" customHeight="1">
      <c r="A7" s="153"/>
      <c r="B7" s="293" t="s">
        <v>1145</v>
      </c>
      <c r="C7" s="194"/>
      <c r="D7" s="194"/>
      <c r="E7" s="194"/>
      <c r="F7" s="194"/>
      <c r="G7" s="194"/>
      <c r="H7" s="194"/>
      <c r="I7" s="194"/>
    </row>
    <row r="8" spans="1:20" ht="12.75" customHeight="1">
      <c r="A8" s="153"/>
      <c r="B8" s="153"/>
      <c r="C8" s="153"/>
      <c r="D8" s="153"/>
      <c r="E8" s="153"/>
      <c r="F8" s="153"/>
      <c r="G8" s="153"/>
      <c r="H8" s="153"/>
      <c r="I8" s="153"/>
    </row>
    <row r="9" spans="1:20" ht="12.75" customHeight="1">
      <c r="A9" s="153"/>
      <c r="B9" s="153"/>
      <c r="C9" s="153"/>
      <c r="D9" s="153"/>
      <c r="E9" s="153"/>
      <c r="F9" s="153"/>
      <c r="G9" s="153"/>
      <c r="H9" s="153"/>
      <c r="I9" s="153"/>
    </row>
    <row r="10" spans="1:20" ht="12.75" customHeight="1">
      <c r="A10" s="153"/>
      <c r="B10" s="153"/>
      <c r="C10" s="153" t="s">
        <v>1146</v>
      </c>
      <c r="D10" s="153"/>
      <c r="E10" s="153"/>
      <c r="F10" s="153"/>
      <c r="G10" s="153"/>
      <c r="H10" s="153"/>
      <c r="I10" s="153"/>
    </row>
    <row r="11" spans="1:20" ht="12.75" customHeight="1">
      <c r="A11" s="153"/>
      <c r="B11" s="153" t="s">
        <v>1147</v>
      </c>
      <c r="C11" s="153"/>
      <c r="D11" s="153"/>
      <c r="E11" s="153"/>
      <c r="F11" s="153"/>
      <c r="G11" s="153"/>
      <c r="H11" s="153"/>
      <c r="I11" s="153"/>
    </row>
    <row r="12" spans="1:20" ht="12.75" customHeight="1">
      <c r="A12" s="153"/>
      <c r="B12" s="153"/>
      <c r="C12" s="153"/>
      <c r="D12" s="153"/>
      <c r="E12" s="153"/>
      <c r="F12" s="153"/>
      <c r="G12" s="153"/>
      <c r="H12" s="153"/>
      <c r="I12" s="153"/>
    </row>
    <row r="13" spans="1:20" ht="12.75" customHeight="1">
      <c r="A13" s="153"/>
      <c r="B13" s="163" t="s">
        <v>111</v>
      </c>
      <c r="C13" s="153" t="s">
        <v>340</v>
      </c>
      <c r="D13" s="153"/>
      <c r="E13" s="153" t="s">
        <v>10</v>
      </c>
      <c r="F13" s="164" t="s">
        <v>1148</v>
      </c>
      <c r="G13" s="153"/>
      <c r="H13" s="153"/>
      <c r="I13" s="153"/>
    </row>
    <row r="14" spans="1:20" ht="12.75" customHeight="1">
      <c r="A14" s="153"/>
      <c r="B14" s="162"/>
      <c r="C14" s="153"/>
      <c r="D14" s="153"/>
      <c r="E14" s="153"/>
      <c r="F14" s="153"/>
      <c r="G14" s="153"/>
      <c r="H14" s="153"/>
      <c r="I14" s="153"/>
    </row>
    <row r="15" spans="1:20" ht="12.75" customHeight="1">
      <c r="A15" s="153"/>
      <c r="B15" s="163" t="s">
        <v>115</v>
      </c>
      <c r="C15" s="153" t="s">
        <v>391</v>
      </c>
      <c r="D15" s="153"/>
      <c r="E15" s="153" t="s">
        <v>10</v>
      </c>
      <c r="F15" s="153" t="s">
        <v>247</v>
      </c>
      <c r="G15" s="153"/>
      <c r="H15" s="153"/>
      <c r="I15" s="153"/>
    </row>
    <row r="16" spans="1:20" ht="12.75" customHeight="1">
      <c r="A16" s="153"/>
      <c r="B16" s="162"/>
      <c r="C16" s="153"/>
      <c r="D16" s="153"/>
      <c r="E16" s="153"/>
      <c r="F16" s="153"/>
      <c r="G16" s="153"/>
      <c r="H16" s="153"/>
      <c r="I16" s="153"/>
    </row>
    <row r="17" spans="1:9" ht="12.75" customHeight="1">
      <c r="A17" s="153"/>
      <c r="B17" s="163" t="s">
        <v>118</v>
      </c>
      <c r="C17" s="153" t="s">
        <v>1149</v>
      </c>
      <c r="D17" s="153"/>
      <c r="E17" s="153" t="s">
        <v>10</v>
      </c>
      <c r="F17" s="164" t="s">
        <v>1150</v>
      </c>
      <c r="G17" s="153"/>
      <c r="H17" s="153"/>
      <c r="I17" s="153"/>
    </row>
    <row r="18" spans="1:9" ht="12.75" customHeight="1">
      <c r="A18" s="153"/>
      <c r="B18" s="162"/>
      <c r="C18" s="153"/>
      <c r="D18" s="153"/>
      <c r="E18" s="153"/>
      <c r="F18" s="153"/>
      <c r="G18" s="153"/>
      <c r="H18" s="153"/>
      <c r="I18" s="153"/>
    </row>
    <row r="19" spans="1:9" ht="12.75" customHeight="1">
      <c r="A19" s="153"/>
      <c r="B19" s="163" t="s">
        <v>121</v>
      </c>
      <c r="C19" s="153" t="s">
        <v>385</v>
      </c>
      <c r="D19" s="153"/>
      <c r="E19" s="153" t="s">
        <v>10</v>
      </c>
      <c r="F19" s="153" t="s">
        <v>249</v>
      </c>
      <c r="G19" s="153"/>
      <c r="H19" s="153"/>
      <c r="I19" s="153"/>
    </row>
    <row r="20" spans="1:9" ht="12.75" customHeight="1">
      <c r="A20" s="153"/>
      <c r="B20" s="162"/>
      <c r="C20" s="153"/>
      <c r="D20" s="153"/>
      <c r="E20" s="153"/>
      <c r="F20" s="153"/>
      <c r="G20" s="153"/>
      <c r="H20" s="153"/>
      <c r="I20" s="153"/>
    </row>
    <row r="21" spans="1:9" ht="12.75" customHeight="1">
      <c r="A21" s="153"/>
      <c r="B21" s="163" t="s">
        <v>124</v>
      </c>
      <c r="C21" s="153" t="s">
        <v>1151</v>
      </c>
      <c r="D21" s="153"/>
      <c r="E21" s="153" t="s">
        <v>10</v>
      </c>
      <c r="F21" s="153" t="s">
        <v>1152</v>
      </c>
      <c r="G21" s="153"/>
      <c r="H21" s="153"/>
      <c r="I21" s="153"/>
    </row>
    <row r="22" spans="1:9" ht="12.75" customHeight="1">
      <c r="A22" s="153"/>
      <c r="B22" s="162"/>
      <c r="C22" s="153"/>
      <c r="D22" s="153"/>
      <c r="E22" s="153"/>
      <c r="F22" s="153" t="s">
        <v>1153</v>
      </c>
      <c r="G22" s="153"/>
      <c r="H22" s="153"/>
      <c r="I22" s="153"/>
    </row>
    <row r="23" spans="1:9" ht="12.75" customHeight="1">
      <c r="A23" s="153"/>
      <c r="B23" s="162"/>
      <c r="C23" s="153"/>
      <c r="D23" s="153"/>
      <c r="E23" s="153"/>
      <c r="F23" s="153"/>
      <c r="G23" s="153"/>
      <c r="H23" s="153"/>
      <c r="I23" s="153"/>
    </row>
    <row r="24" spans="1:9" ht="12.75" customHeight="1">
      <c r="A24" s="153"/>
      <c r="B24" s="163" t="s">
        <v>127</v>
      </c>
      <c r="C24" s="153" t="s">
        <v>1154</v>
      </c>
      <c r="D24" s="153"/>
      <c r="E24" s="153" t="s">
        <v>10</v>
      </c>
      <c r="F24" s="153" t="s">
        <v>1155</v>
      </c>
      <c r="G24" s="153"/>
      <c r="H24" s="153"/>
      <c r="I24" s="153"/>
    </row>
    <row r="25" spans="1:9" ht="12.75" customHeight="1">
      <c r="A25" s="153"/>
      <c r="B25" s="162"/>
      <c r="C25" s="153"/>
      <c r="D25" s="153"/>
      <c r="E25" s="153"/>
      <c r="F25" s="153" t="s">
        <v>1156</v>
      </c>
      <c r="G25" s="153"/>
      <c r="H25" s="153"/>
      <c r="I25" s="153"/>
    </row>
    <row r="26" spans="1:9" ht="12.75" customHeight="1">
      <c r="A26" s="153"/>
      <c r="B26" s="162"/>
      <c r="C26" s="153"/>
      <c r="D26" s="153"/>
      <c r="E26" s="153"/>
      <c r="F26" s="153" t="s">
        <v>1157</v>
      </c>
      <c r="G26" s="153"/>
      <c r="H26" s="153"/>
      <c r="I26" s="153"/>
    </row>
    <row r="27" spans="1:9" ht="12.75" customHeight="1">
      <c r="A27" s="153"/>
      <c r="B27" s="162"/>
      <c r="C27" s="153"/>
      <c r="D27" s="153"/>
      <c r="E27" s="153"/>
      <c r="F27" s="153"/>
      <c r="G27" s="153"/>
      <c r="H27" s="153"/>
      <c r="I27" s="153"/>
    </row>
    <row r="28" spans="1:9" ht="12.75" customHeight="1">
      <c r="A28" s="153"/>
      <c r="B28" s="163" t="s">
        <v>130</v>
      </c>
      <c r="C28" s="153" t="s">
        <v>1158</v>
      </c>
      <c r="D28" s="153"/>
      <c r="E28" s="153" t="s">
        <v>10</v>
      </c>
      <c r="F28" s="153" t="s">
        <v>1159</v>
      </c>
      <c r="G28" s="153" t="s">
        <v>678</v>
      </c>
      <c r="H28" s="153"/>
      <c r="I28" s="153"/>
    </row>
    <row r="29" spans="1:9" ht="12.75" customHeight="1">
      <c r="A29" s="153"/>
      <c r="B29" s="153"/>
      <c r="C29" s="153"/>
      <c r="D29" s="153"/>
      <c r="E29" s="153"/>
      <c r="F29" s="153"/>
      <c r="G29" s="153"/>
      <c r="H29" s="153"/>
      <c r="I29" s="153"/>
    </row>
    <row r="30" spans="1:9" ht="12.75" customHeight="1">
      <c r="A30" s="153"/>
      <c r="B30" s="153" t="s">
        <v>1160</v>
      </c>
      <c r="C30" s="153"/>
      <c r="D30" s="153"/>
      <c r="E30" s="153"/>
      <c r="F30" s="153"/>
      <c r="G30" s="153"/>
      <c r="H30" s="153"/>
      <c r="I30" s="153"/>
    </row>
    <row r="31" spans="1:9" ht="12.75" customHeight="1">
      <c r="A31" s="153"/>
      <c r="B31" s="153" t="s">
        <v>1161</v>
      </c>
      <c r="C31" s="153"/>
      <c r="D31" s="153"/>
      <c r="E31" s="153"/>
      <c r="F31" s="153"/>
      <c r="G31" s="153"/>
      <c r="H31" s="153"/>
      <c r="I31" s="153"/>
    </row>
    <row r="32" spans="1:9" ht="12.75" customHeight="1">
      <c r="A32" s="153"/>
      <c r="B32" s="153"/>
      <c r="C32" s="153"/>
      <c r="D32" s="153"/>
      <c r="E32" s="153"/>
      <c r="F32" s="153"/>
      <c r="G32" s="153"/>
      <c r="H32" s="153"/>
      <c r="I32" s="153"/>
    </row>
    <row r="33" spans="1:9" ht="12.75" customHeight="1">
      <c r="A33" s="153"/>
      <c r="B33" s="153"/>
      <c r="C33" s="153" t="s">
        <v>1162</v>
      </c>
      <c r="D33" s="153"/>
      <c r="E33" s="153"/>
      <c r="F33" s="153"/>
      <c r="G33" s="153"/>
      <c r="H33" s="153"/>
      <c r="I33" s="153"/>
    </row>
    <row r="34" spans="1:9" ht="12.75" customHeight="1">
      <c r="A34" s="153"/>
      <c r="B34" s="153" t="s">
        <v>1163</v>
      </c>
      <c r="C34" s="153"/>
      <c r="D34" s="153"/>
      <c r="E34" s="153"/>
      <c r="F34" s="153"/>
      <c r="G34" s="153"/>
      <c r="H34" s="153"/>
      <c r="I34" s="153"/>
    </row>
    <row r="35" spans="1:9" ht="12.75" customHeight="1">
      <c r="A35" s="153"/>
      <c r="B35" s="153"/>
      <c r="C35" s="153"/>
      <c r="D35" s="153"/>
      <c r="E35" s="153"/>
      <c r="F35" s="153"/>
      <c r="G35" s="153"/>
      <c r="H35" s="153"/>
      <c r="I35" s="153"/>
    </row>
    <row r="36" spans="1:9" ht="12.75" customHeight="1">
      <c r="A36" s="153"/>
      <c r="B36" s="153"/>
      <c r="C36" s="153"/>
      <c r="D36" s="153"/>
      <c r="E36" s="153"/>
      <c r="F36" s="153"/>
      <c r="G36" s="153"/>
      <c r="H36" s="153"/>
      <c r="I36" s="153"/>
    </row>
    <row r="37" spans="1:9" ht="12.75" customHeight="1">
      <c r="A37" s="153"/>
      <c r="B37" s="153"/>
      <c r="C37" s="153"/>
      <c r="D37" s="153"/>
      <c r="E37" s="153"/>
      <c r="F37" s="153"/>
      <c r="G37" s="153"/>
      <c r="H37" s="153"/>
      <c r="I37" s="153"/>
    </row>
    <row r="38" spans="1:9" ht="12.75" customHeight="1">
      <c r="A38" s="153"/>
      <c r="B38" s="153"/>
      <c r="C38" s="153"/>
      <c r="D38" s="153"/>
      <c r="E38" s="153"/>
      <c r="F38" s="153"/>
      <c r="G38" s="153"/>
      <c r="H38" s="153"/>
      <c r="I38" s="153"/>
    </row>
    <row r="39" spans="1:9" ht="12.75" customHeight="1">
      <c r="A39" s="153"/>
      <c r="B39" s="153"/>
      <c r="C39" s="153"/>
      <c r="D39" s="153"/>
      <c r="E39" s="153" t="s">
        <v>1164</v>
      </c>
      <c r="F39" s="153"/>
      <c r="G39" s="153"/>
      <c r="H39" s="153"/>
      <c r="I39" s="153"/>
    </row>
    <row r="40" spans="1:9" ht="12.75" customHeight="1">
      <c r="A40" s="153"/>
      <c r="B40" s="153"/>
      <c r="C40" s="153"/>
      <c r="D40" s="153"/>
      <c r="E40" s="153"/>
      <c r="F40" s="153"/>
      <c r="G40" s="153"/>
      <c r="H40" s="153"/>
      <c r="I40" s="153"/>
    </row>
    <row r="41" spans="1:9" ht="12.75" customHeight="1">
      <c r="A41" s="153"/>
      <c r="B41" s="153"/>
      <c r="C41" s="153"/>
      <c r="D41" s="153"/>
      <c r="E41" s="293" t="s">
        <v>494</v>
      </c>
      <c r="F41" s="194"/>
      <c r="G41" s="194"/>
      <c r="H41" s="194"/>
      <c r="I41" s="153"/>
    </row>
    <row r="42" spans="1:9" ht="12.75" customHeight="1">
      <c r="A42" s="153"/>
      <c r="B42" s="153"/>
      <c r="C42" s="153"/>
      <c r="D42" s="153"/>
      <c r="E42" s="293" t="s">
        <v>365</v>
      </c>
      <c r="F42" s="194"/>
      <c r="G42" s="194"/>
      <c r="H42" s="194"/>
      <c r="I42" s="153"/>
    </row>
    <row r="43" spans="1:9" ht="12.75" customHeight="1">
      <c r="A43" s="153"/>
      <c r="B43" s="153"/>
      <c r="C43" s="153"/>
      <c r="D43" s="153"/>
      <c r="E43" s="153"/>
      <c r="F43" s="153"/>
      <c r="G43" s="153"/>
      <c r="H43" s="153"/>
      <c r="I43" s="153"/>
    </row>
    <row r="44" spans="1:9" ht="12.75" customHeight="1">
      <c r="A44" s="153"/>
      <c r="B44" s="153"/>
      <c r="C44" s="153"/>
      <c r="D44" s="153"/>
      <c r="E44" s="153"/>
      <c r="F44" s="153"/>
      <c r="G44" s="153"/>
      <c r="H44" s="153"/>
      <c r="I44" s="153"/>
    </row>
    <row r="45" spans="1:9" ht="12.75" customHeight="1">
      <c r="A45" s="153"/>
      <c r="B45" s="153"/>
      <c r="C45" s="153"/>
      <c r="D45" s="153"/>
      <c r="E45" s="153"/>
      <c r="F45" s="153"/>
      <c r="G45" s="153"/>
      <c r="H45" s="153"/>
      <c r="I45" s="153"/>
    </row>
    <row r="46" spans="1:9" ht="12.75" customHeight="1">
      <c r="A46" s="153"/>
      <c r="B46" s="153"/>
      <c r="C46" s="153"/>
      <c r="D46" s="153"/>
      <c r="E46" s="293" t="s">
        <v>366</v>
      </c>
      <c r="F46" s="194"/>
      <c r="G46" s="194"/>
      <c r="H46" s="194"/>
      <c r="I46" s="153"/>
    </row>
    <row r="47" spans="1:9" ht="12.75" customHeight="1">
      <c r="A47" s="153"/>
      <c r="B47" s="153"/>
      <c r="C47" s="153"/>
      <c r="D47" s="153"/>
      <c r="E47" s="153"/>
      <c r="F47" s="153"/>
      <c r="G47" s="153"/>
      <c r="H47" s="153"/>
      <c r="I47" s="153"/>
    </row>
    <row r="48" spans="1:9" ht="12.75" customHeight="1">
      <c r="A48" s="153"/>
      <c r="B48" s="153"/>
      <c r="C48" s="153"/>
      <c r="D48" s="153"/>
      <c r="E48" s="153"/>
      <c r="F48" s="153"/>
      <c r="G48" s="153"/>
      <c r="H48" s="153"/>
      <c r="I48" s="153"/>
    </row>
    <row r="49" spans="1:9" ht="12.75" customHeight="1">
      <c r="A49" s="153"/>
      <c r="B49" s="153"/>
      <c r="C49" s="153"/>
      <c r="D49" s="153"/>
      <c r="E49" s="153"/>
      <c r="F49" s="153"/>
      <c r="G49" s="153"/>
      <c r="H49" s="153"/>
      <c r="I49" s="153"/>
    </row>
    <row r="50" spans="1:9" ht="12.75" customHeight="1">
      <c r="A50" s="153"/>
      <c r="B50" s="153"/>
      <c r="C50" s="153"/>
      <c r="D50" s="153"/>
      <c r="E50" s="153"/>
      <c r="F50" s="153"/>
      <c r="G50" s="153"/>
      <c r="H50" s="153"/>
      <c r="I50" s="153"/>
    </row>
    <row r="51" spans="1:9" ht="12.75" customHeight="1">
      <c r="A51" s="153"/>
      <c r="B51" s="153"/>
      <c r="C51" s="153"/>
      <c r="D51" s="153"/>
      <c r="E51" s="153"/>
      <c r="F51" s="153"/>
      <c r="G51" s="153"/>
      <c r="H51" s="153"/>
      <c r="I51" s="153"/>
    </row>
    <row r="52" spans="1:9" ht="12.75" customHeight="1">
      <c r="A52" s="153"/>
      <c r="B52" s="153"/>
      <c r="C52" s="153"/>
      <c r="D52" s="153"/>
      <c r="E52" s="153"/>
      <c r="F52" s="153"/>
      <c r="G52" s="153"/>
      <c r="H52" s="153"/>
      <c r="I52" s="153"/>
    </row>
    <row r="53" spans="1:9" ht="12.75" customHeight="1">
      <c r="A53" s="153"/>
      <c r="B53" s="153"/>
      <c r="C53" s="153"/>
      <c r="D53" s="153"/>
      <c r="E53" s="153"/>
      <c r="F53" s="153"/>
      <c r="G53" s="153"/>
      <c r="H53" s="153"/>
      <c r="I53" s="153"/>
    </row>
    <row r="54" spans="1:9" ht="12.75" customHeight="1"/>
    <row r="55" spans="1:9" ht="12.75" customHeight="1"/>
    <row r="56" spans="1:9" ht="12.75" customHeight="1"/>
    <row r="57" spans="1:9" ht="12.75" customHeight="1"/>
    <row r="58" spans="1:9" ht="12.75" customHeight="1"/>
    <row r="59" spans="1:9" ht="42" customHeight="1"/>
    <row r="60" spans="1:9" ht="12.75" customHeight="1"/>
    <row r="61" spans="1:9" ht="12.75" customHeight="1"/>
    <row r="62" spans="1:9" ht="12.75" customHeight="1"/>
    <row r="63" spans="1:9" ht="12.75" customHeight="1">
      <c r="B63" s="153"/>
      <c r="C63" s="153"/>
      <c r="D63" s="153"/>
      <c r="E63" s="153"/>
      <c r="F63" s="153"/>
      <c r="G63" s="153"/>
      <c r="H63" s="153"/>
      <c r="I63" s="153"/>
    </row>
    <row r="64" spans="1:9" ht="12.75" customHeight="1">
      <c r="B64" s="153"/>
      <c r="C64" s="153"/>
      <c r="D64" s="153"/>
      <c r="E64" s="153"/>
      <c r="F64" s="153"/>
      <c r="G64" s="153"/>
      <c r="H64" s="160" t="s">
        <v>1165</v>
      </c>
      <c r="I64" s="153"/>
    </row>
    <row r="65" spans="2:9" ht="12.75" customHeight="1">
      <c r="B65" s="153"/>
      <c r="C65" s="153"/>
      <c r="D65" s="153"/>
      <c r="E65" s="153"/>
      <c r="F65" s="153"/>
      <c r="G65" s="153"/>
      <c r="H65" s="153"/>
      <c r="I65" s="153"/>
    </row>
    <row r="66" spans="2:9" ht="12.75" customHeight="1">
      <c r="B66" s="290" t="s">
        <v>1143</v>
      </c>
      <c r="C66" s="194"/>
      <c r="D66" s="194"/>
      <c r="E66" s="194"/>
      <c r="F66" s="194"/>
      <c r="G66" s="194"/>
      <c r="H66" s="194"/>
      <c r="I66" s="194"/>
    </row>
    <row r="67" spans="2:9" ht="12.75" customHeight="1">
      <c r="B67" s="291" t="s">
        <v>1144</v>
      </c>
      <c r="C67" s="292"/>
      <c r="D67" s="292"/>
      <c r="E67" s="292"/>
      <c r="F67" s="292"/>
      <c r="G67" s="292"/>
      <c r="H67" s="292"/>
      <c r="I67" s="292"/>
    </row>
    <row r="68" spans="2:9" ht="12.75" customHeight="1">
      <c r="B68" s="153"/>
      <c r="C68" s="153"/>
      <c r="D68" s="153"/>
      <c r="E68" s="153"/>
      <c r="F68" s="153"/>
      <c r="G68" s="153"/>
      <c r="H68" s="153"/>
      <c r="I68" s="153"/>
    </row>
    <row r="69" spans="2:9" ht="12.75" customHeight="1">
      <c r="B69" s="293" t="s">
        <v>1166</v>
      </c>
      <c r="C69" s="194"/>
      <c r="D69" s="194"/>
      <c r="E69" s="194"/>
      <c r="F69" s="194"/>
      <c r="G69" s="194"/>
      <c r="H69" s="194"/>
      <c r="I69" s="194"/>
    </row>
    <row r="70" spans="2:9" ht="12.75" customHeight="1">
      <c r="B70" s="153"/>
      <c r="C70" s="153"/>
      <c r="D70" s="153"/>
      <c r="E70" s="153"/>
      <c r="F70" s="153"/>
      <c r="G70" s="153"/>
      <c r="H70" s="153"/>
      <c r="I70" s="153"/>
    </row>
    <row r="71" spans="2:9" ht="12.75" customHeight="1">
      <c r="B71" s="153"/>
      <c r="C71" s="153"/>
      <c r="D71" s="153"/>
      <c r="E71" s="153"/>
      <c r="F71" s="153"/>
      <c r="G71" s="153"/>
      <c r="H71" s="153"/>
      <c r="I71" s="153"/>
    </row>
    <row r="72" spans="2:9" ht="12.75" customHeight="1">
      <c r="B72" s="153"/>
      <c r="C72" s="153" t="s">
        <v>1146</v>
      </c>
      <c r="D72" s="153"/>
      <c r="E72" s="153"/>
      <c r="F72" s="153"/>
      <c r="G72" s="153"/>
      <c r="H72" s="153"/>
      <c r="I72" s="153"/>
    </row>
    <row r="73" spans="2:9" ht="12.75" customHeight="1">
      <c r="B73" s="153" t="s">
        <v>1147</v>
      </c>
      <c r="C73" s="153"/>
      <c r="D73" s="153"/>
      <c r="E73" s="153"/>
      <c r="F73" s="153"/>
      <c r="G73" s="153"/>
      <c r="H73" s="153"/>
      <c r="I73" s="153"/>
    </row>
    <row r="74" spans="2:9" ht="12.75" customHeight="1">
      <c r="B74" s="153"/>
      <c r="C74" s="153"/>
      <c r="D74" s="153"/>
      <c r="E74" s="153"/>
      <c r="F74" s="153"/>
      <c r="G74" s="153"/>
      <c r="H74" s="153"/>
      <c r="I74" s="153"/>
    </row>
    <row r="75" spans="2:9" ht="12.75" customHeight="1">
      <c r="B75" s="163" t="s">
        <v>111</v>
      </c>
      <c r="C75" s="153" t="s">
        <v>340</v>
      </c>
      <c r="D75" s="153"/>
      <c r="E75" s="153" t="s">
        <v>10</v>
      </c>
      <c r="F75" s="164" t="s">
        <v>873</v>
      </c>
      <c r="G75" s="153"/>
      <c r="H75" s="153"/>
      <c r="I75" s="153"/>
    </row>
    <row r="76" spans="2:9" ht="12.75" customHeight="1">
      <c r="B76" s="162"/>
      <c r="C76" s="153"/>
      <c r="D76" s="153"/>
      <c r="E76" s="153"/>
      <c r="F76" s="153"/>
      <c r="G76" s="153"/>
      <c r="H76" s="153"/>
      <c r="I76" s="153"/>
    </row>
    <row r="77" spans="2:9" ht="12.75" customHeight="1">
      <c r="B77" s="163" t="s">
        <v>115</v>
      </c>
      <c r="C77" s="153" t="s">
        <v>391</v>
      </c>
      <c r="D77" s="153"/>
      <c r="E77" s="153" t="s">
        <v>10</v>
      </c>
      <c r="F77" s="153" t="s">
        <v>866</v>
      </c>
      <c r="G77" s="153"/>
      <c r="H77" s="153"/>
      <c r="I77" s="153"/>
    </row>
    <row r="78" spans="2:9" ht="12.75" customHeight="1">
      <c r="B78" s="162"/>
      <c r="C78" s="153"/>
      <c r="D78" s="153"/>
      <c r="E78" s="153"/>
      <c r="F78" s="153"/>
      <c r="G78" s="153"/>
      <c r="H78" s="153"/>
      <c r="I78" s="153"/>
    </row>
    <row r="79" spans="2:9" ht="12.75" customHeight="1">
      <c r="B79" s="163" t="s">
        <v>118</v>
      </c>
      <c r="C79" s="153" t="s">
        <v>1149</v>
      </c>
      <c r="D79" s="153"/>
      <c r="E79" s="153" t="s">
        <v>10</v>
      </c>
      <c r="F79" s="164" t="s">
        <v>1167</v>
      </c>
      <c r="G79" s="153"/>
      <c r="H79" s="153"/>
      <c r="I79" s="153"/>
    </row>
    <row r="80" spans="2:9" ht="12.75" customHeight="1">
      <c r="B80" s="162"/>
      <c r="C80" s="153"/>
      <c r="D80" s="153"/>
      <c r="E80" s="153"/>
      <c r="F80" s="153"/>
      <c r="G80" s="153"/>
      <c r="H80" s="153"/>
      <c r="I80" s="153"/>
    </row>
    <row r="81" spans="2:9" ht="12.75" customHeight="1">
      <c r="B81" s="163" t="s">
        <v>121</v>
      </c>
      <c r="C81" s="153" t="s">
        <v>385</v>
      </c>
      <c r="D81" s="153"/>
      <c r="E81" s="153" t="s">
        <v>10</v>
      </c>
      <c r="F81" s="153" t="s">
        <v>865</v>
      </c>
      <c r="G81" s="153"/>
      <c r="H81" s="153"/>
      <c r="I81" s="153"/>
    </row>
    <row r="82" spans="2:9" ht="12.75" customHeight="1">
      <c r="B82" s="162"/>
      <c r="C82" s="153"/>
      <c r="D82" s="153"/>
      <c r="E82" s="153"/>
      <c r="F82" s="153"/>
      <c r="G82" s="153"/>
      <c r="H82" s="153"/>
      <c r="I82" s="153"/>
    </row>
    <row r="83" spans="2:9" ht="12.75" customHeight="1">
      <c r="B83" s="163" t="s">
        <v>124</v>
      </c>
      <c r="C83" s="153" t="s">
        <v>1151</v>
      </c>
      <c r="D83" s="153"/>
      <c r="E83" s="153" t="s">
        <v>10</v>
      </c>
      <c r="F83" s="153" t="s">
        <v>1168</v>
      </c>
      <c r="G83" s="153"/>
      <c r="H83" s="153"/>
      <c r="I83" s="153"/>
    </row>
    <row r="84" spans="2:9" ht="12.75" customHeight="1">
      <c r="B84" s="162"/>
      <c r="C84" s="153"/>
      <c r="D84" s="153"/>
      <c r="E84" s="153"/>
      <c r="F84" s="153" t="s">
        <v>1169</v>
      </c>
      <c r="G84" s="153"/>
      <c r="H84" s="153"/>
      <c r="I84" s="153"/>
    </row>
    <row r="85" spans="2:9" ht="12.75" customHeight="1">
      <c r="B85" s="162"/>
      <c r="C85" s="153"/>
      <c r="D85" s="153"/>
      <c r="E85" s="153"/>
      <c r="F85" s="153"/>
      <c r="G85" s="153"/>
      <c r="H85" s="153"/>
      <c r="I85" s="153"/>
    </row>
    <row r="86" spans="2:9" ht="12.75" customHeight="1">
      <c r="B86" s="163" t="s">
        <v>127</v>
      </c>
      <c r="C86" s="153" t="s">
        <v>1154</v>
      </c>
      <c r="D86" s="153"/>
      <c r="E86" s="153" t="s">
        <v>10</v>
      </c>
      <c r="F86" s="153" t="s">
        <v>1170</v>
      </c>
      <c r="G86" s="153"/>
      <c r="H86" s="153"/>
      <c r="I86" s="153"/>
    </row>
    <row r="87" spans="2:9" ht="12.75" customHeight="1">
      <c r="B87" s="162"/>
      <c r="C87" s="153"/>
      <c r="D87" s="153"/>
      <c r="E87" s="153"/>
      <c r="F87" s="153" t="s">
        <v>1171</v>
      </c>
      <c r="G87" s="153"/>
      <c r="H87" s="153"/>
      <c r="I87" s="153"/>
    </row>
    <row r="88" spans="2:9" ht="12.75" customHeight="1">
      <c r="B88" s="162"/>
      <c r="C88" s="153"/>
      <c r="D88" s="153"/>
      <c r="E88" s="153"/>
      <c r="F88" s="153" t="s">
        <v>1172</v>
      </c>
      <c r="G88" s="153"/>
      <c r="H88" s="153"/>
      <c r="I88" s="153"/>
    </row>
    <row r="89" spans="2:9" ht="12.75" customHeight="1">
      <c r="B89" s="162"/>
      <c r="C89" s="153"/>
      <c r="D89" s="153"/>
      <c r="E89" s="153"/>
      <c r="F89" s="153"/>
      <c r="G89" s="153"/>
      <c r="H89" s="153"/>
      <c r="I89" s="153"/>
    </row>
    <row r="90" spans="2:9" ht="12.75" customHeight="1">
      <c r="B90" s="163" t="s">
        <v>130</v>
      </c>
      <c r="C90" s="153" t="s">
        <v>1158</v>
      </c>
      <c r="D90" s="153"/>
      <c r="E90" s="153" t="s">
        <v>10</v>
      </c>
      <c r="F90" s="153" t="s">
        <v>1173</v>
      </c>
      <c r="G90" s="153" t="s">
        <v>678</v>
      </c>
      <c r="H90" s="153"/>
      <c r="I90" s="153"/>
    </row>
    <row r="91" spans="2:9" ht="12.75" customHeight="1">
      <c r="B91" s="153"/>
      <c r="C91" s="153"/>
      <c r="D91" s="153"/>
      <c r="E91" s="153"/>
      <c r="F91" s="153"/>
      <c r="G91" s="153"/>
      <c r="H91" s="153"/>
      <c r="I91" s="153"/>
    </row>
    <row r="92" spans="2:9" ht="12.75" customHeight="1">
      <c r="B92" s="153" t="s">
        <v>1160</v>
      </c>
      <c r="C92" s="153"/>
      <c r="D92" s="153"/>
      <c r="E92" s="153"/>
      <c r="F92" s="153"/>
      <c r="G92" s="153"/>
      <c r="H92" s="153"/>
      <c r="I92" s="153"/>
    </row>
    <row r="93" spans="2:9" ht="12.75" customHeight="1">
      <c r="B93" s="153" t="s">
        <v>1161</v>
      </c>
      <c r="C93" s="153"/>
      <c r="D93" s="153"/>
      <c r="E93" s="153"/>
      <c r="F93" s="153"/>
      <c r="G93" s="153"/>
      <c r="H93" s="153"/>
      <c r="I93" s="153"/>
    </row>
    <row r="94" spans="2:9" ht="12.75" customHeight="1">
      <c r="B94" s="153"/>
      <c r="C94" s="153"/>
      <c r="D94" s="153"/>
      <c r="E94" s="153"/>
      <c r="F94" s="153"/>
      <c r="G94" s="153"/>
      <c r="H94" s="153"/>
      <c r="I94" s="153"/>
    </row>
    <row r="95" spans="2:9" ht="12.75" customHeight="1">
      <c r="B95" s="153"/>
      <c r="C95" s="153" t="s">
        <v>1162</v>
      </c>
      <c r="D95" s="153"/>
      <c r="E95" s="153"/>
      <c r="F95" s="153"/>
      <c r="G95" s="153"/>
      <c r="H95" s="153"/>
      <c r="I95" s="153"/>
    </row>
    <row r="96" spans="2:9" ht="12.75" customHeight="1">
      <c r="B96" s="153" t="s">
        <v>1163</v>
      </c>
      <c r="C96" s="153"/>
      <c r="D96" s="153"/>
      <c r="E96" s="153"/>
      <c r="F96" s="153"/>
      <c r="G96" s="153"/>
      <c r="H96" s="153"/>
      <c r="I96" s="153"/>
    </row>
    <row r="97" spans="2:9" ht="12.75" customHeight="1">
      <c r="B97" s="153"/>
      <c r="C97" s="153"/>
      <c r="D97" s="153"/>
      <c r="E97" s="153"/>
      <c r="F97" s="153"/>
      <c r="G97" s="153"/>
      <c r="H97" s="153"/>
      <c r="I97" s="153"/>
    </row>
    <row r="98" spans="2:9" ht="12.75" customHeight="1">
      <c r="B98" s="153"/>
      <c r="C98" s="153"/>
      <c r="D98" s="153"/>
      <c r="E98" s="153"/>
      <c r="F98" s="153"/>
      <c r="G98" s="153"/>
      <c r="H98" s="153"/>
      <c r="I98" s="153"/>
    </row>
    <row r="99" spans="2:9" ht="12.75" customHeight="1">
      <c r="B99" s="153"/>
      <c r="C99" s="153"/>
      <c r="D99" s="153"/>
      <c r="E99" s="153"/>
      <c r="F99" s="153"/>
      <c r="G99" s="153"/>
      <c r="H99" s="153"/>
      <c r="I99" s="153"/>
    </row>
    <row r="100" spans="2:9" ht="12.75" customHeight="1">
      <c r="B100" s="153"/>
      <c r="C100" s="153"/>
      <c r="D100" s="153"/>
      <c r="E100" s="153"/>
      <c r="F100" s="153"/>
      <c r="G100" s="153"/>
      <c r="H100" s="153"/>
      <c r="I100" s="153"/>
    </row>
    <row r="101" spans="2:9" ht="12.75" customHeight="1">
      <c r="B101" s="153"/>
      <c r="C101" s="153"/>
      <c r="D101" s="153"/>
      <c r="E101" s="153" t="s">
        <v>593</v>
      </c>
      <c r="F101" s="153"/>
      <c r="G101" s="153"/>
      <c r="H101" s="153"/>
      <c r="I101" s="153"/>
    </row>
    <row r="102" spans="2:9" ht="12.75" customHeight="1">
      <c r="B102" s="153"/>
      <c r="C102" s="153"/>
      <c r="D102" s="153"/>
      <c r="E102" s="153"/>
      <c r="F102" s="153"/>
      <c r="G102" s="153"/>
      <c r="H102" s="153"/>
      <c r="I102" s="153"/>
    </row>
    <row r="103" spans="2:9" ht="12.75" customHeight="1">
      <c r="B103" s="153"/>
      <c r="C103" s="153"/>
      <c r="D103" s="153"/>
      <c r="E103" s="293" t="s">
        <v>494</v>
      </c>
      <c r="F103" s="194"/>
      <c r="G103" s="194"/>
      <c r="H103" s="194"/>
      <c r="I103" s="153"/>
    </row>
    <row r="104" spans="2:9" ht="12.75" customHeight="1">
      <c r="B104" s="153"/>
      <c r="C104" s="153"/>
      <c r="D104" s="153"/>
      <c r="E104" s="293" t="s">
        <v>365</v>
      </c>
      <c r="F104" s="194"/>
      <c r="G104" s="194"/>
      <c r="H104" s="194"/>
      <c r="I104" s="153"/>
    </row>
    <row r="105" spans="2:9" ht="12.75" customHeight="1">
      <c r="B105" s="153"/>
      <c r="C105" s="153"/>
      <c r="D105" s="153"/>
      <c r="E105" s="153"/>
      <c r="F105" s="153"/>
      <c r="G105" s="153"/>
      <c r="H105" s="153"/>
      <c r="I105" s="153"/>
    </row>
    <row r="106" spans="2:9" ht="12.75" customHeight="1">
      <c r="B106" s="153"/>
      <c r="C106" s="153"/>
      <c r="D106" s="153"/>
      <c r="E106" s="153"/>
      <c r="F106" s="153"/>
      <c r="G106" s="153"/>
      <c r="H106" s="153"/>
      <c r="I106" s="153"/>
    </row>
    <row r="107" spans="2:9" ht="12.75" customHeight="1">
      <c r="B107" s="153"/>
      <c r="C107" s="153"/>
      <c r="D107" s="153"/>
      <c r="E107" s="153"/>
      <c r="F107" s="153"/>
      <c r="G107" s="153"/>
      <c r="H107" s="153"/>
      <c r="I107" s="153"/>
    </row>
    <row r="108" spans="2:9" ht="12.75" customHeight="1">
      <c r="B108" s="153"/>
      <c r="C108" s="153"/>
      <c r="D108" s="153"/>
      <c r="E108" s="293" t="s">
        <v>366</v>
      </c>
      <c r="F108" s="194"/>
      <c r="G108" s="194"/>
      <c r="H108" s="194"/>
      <c r="I108" s="153"/>
    </row>
    <row r="109" spans="2:9" ht="12.75" customHeight="1">
      <c r="B109" s="153"/>
      <c r="C109" s="153"/>
      <c r="D109" s="153"/>
      <c r="E109" s="153"/>
      <c r="F109" s="153"/>
      <c r="G109" s="153"/>
      <c r="H109" s="153"/>
      <c r="I109" s="153"/>
    </row>
    <row r="110" spans="2:9" ht="12.75" customHeight="1">
      <c r="B110" s="153"/>
      <c r="C110" s="153"/>
      <c r="D110" s="153"/>
      <c r="E110" s="153"/>
      <c r="F110" s="153"/>
      <c r="G110" s="153"/>
      <c r="H110" s="153"/>
      <c r="I110" s="153"/>
    </row>
    <row r="111" spans="2:9" ht="12.75" customHeight="1">
      <c r="B111" s="153"/>
      <c r="C111" s="153"/>
      <c r="D111" s="153"/>
      <c r="E111" s="153"/>
      <c r="F111" s="153"/>
      <c r="G111" s="153"/>
      <c r="H111" s="153"/>
      <c r="I111" s="153"/>
    </row>
    <row r="112" spans="2:9" ht="12.75" customHeight="1">
      <c r="B112" s="153"/>
      <c r="C112" s="153"/>
      <c r="D112" s="153"/>
      <c r="E112" s="153"/>
      <c r="F112" s="153"/>
      <c r="G112" s="153"/>
      <c r="H112" s="153"/>
      <c r="I112" s="153"/>
    </row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spans="1:9" ht="12.75" customHeight="1"/>
    <row r="146" spans="1:9" ht="12.75" customHeight="1"/>
    <row r="147" spans="1:9" ht="12.75" customHeight="1"/>
    <row r="148" spans="1:9" ht="12.75" customHeight="1"/>
    <row r="149" spans="1:9" ht="12.75" customHeight="1"/>
    <row r="150" spans="1:9" ht="12.75" customHeight="1"/>
    <row r="151" spans="1:9" ht="12.75" customHeight="1"/>
    <row r="152" spans="1:9" ht="12.75" customHeight="1"/>
    <row r="153" spans="1:9" ht="12.75" customHeight="1"/>
    <row r="154" spans="1:9" ht="12.75" customHeight="1"/>
    <row r="155" spans="1:9" ht="12.75" customHeight="1"/>
    <row r="156" spans="1:9" ht="12.75" customHeight="1">
      <c r="A156" s="153"/>
      <c r="B156" s="153"/>
      <c r="C156" s="153"/>
      <c r="D156" s="153"/>
      <c r="E156" s="153"/>
      <c r="F156" s="153"/>
      <c r="G156" s="153"/>
      <c r="H156" s="153"/>
      <c r="I156" s="153"/>
    </row>
    <row r="157" spans="1:9" ht="12.75" customHeight="1">
      <c r="A157" s="153"/>
      <c r="B157" s="153"/>
      <c r="C157" s="153"/>
      <c r="D157" s="153"/>
      <c r="E157" s="153"/>
      <c r="F157" s="153"/>
      <c r="G157" s="153"/>
      <c r="H157" s="160" t="s">
        <v>1165</v>
      </c>
      <c r="I157" s="153"/>
    </row>
    <row r="158" spans="1:9" ht="12.75" customHeight="1">
      <c r="A158" s="153"/>
      <c r="B158" s="153"/>
      <c r="C158" s="153"/>
      <c r="D158" s="153"/>
      <c r="E158" s="153"/>
      <c r="F158" s="153"/>
      <c r="G158" s="153"/>
      <c r="H158" s="153"/>
      <c r="I158" s="153"/>
    </row>
    <row r="159" spans="1:9" ht="12.75" customHeight="1">
      <c r="A159" s="153"/>
      <c r="B159" s="290" t="s">
        <v>1143</v>
      </c>
      <c r="C159" s="194"/>
      <c r="D159" s="194"/>
      <c r="E159" s="194"/>
      <c r="F159" s="194"/>
      <c r="G159" s="194"/>
      <c r="H159" s="194"/>
      <c r="I159" s="194"/>
    </row>
    <row r="160" spans="1:9" ht="12.75" customHeight="1">
      <c r="A160" s="153"/>
      <c r="B160" s="291" t="s">
        <v>1144</v>
      </c>
      <c r="C160" s="292"/>
      <c r="D160" s="292"/>
      <c r="E160" s="292"/>
      <c r="F160" s="292"/>
      <c r="G160" s="292"/>
      <c r="H160" s="292"/>
      <c r="I160" s="292"/>
    </row>
    <row r="161" spans="1:9" ht="12.75" customHeight="1">
      <c r="A161" s="153"/>
      <c r="B161" s="153"/>
      <c r="C161" s="153"/>
      <c r="D161" s="153"/>
      <c r="E161" s="153"/>
      <c r="F161" s="153"/>
      <c r="G161" s="153"/>
      <c r="H161" s="153"/>
      <c r="I161" s="153"/>
    </row>
    <row r="162" spans="1:9" ht="12.75" customHeight="1">
      <c r="A162" s="153"/>
      <c r="B162" s="293" t="s">
        <v>1174</v>
      </c>
      <c r="C162" s="194"/>
      <c r="D162" s="194"/>
      <c r="E162" s="194"/>
      <c r="F162" s="194"/>
      <c r="G162" s="194"/>
      <c r="H162" s="194"/>
      <c r="I162" s="194"/>
    </row>
    <row r="163" spans="1:9" ht="12.75" customHeight="1">
      <c r="A163" s="153"/>
      <c r="B163" s="153"/>
      <c r="C163" s="153"/>
      <c r="D163" s="153"/>
      <c r="E163" s="153"/>
      <c r="F163" s="153"/>
      <c r="G163" s="153"/>
      <c r="H163" s="153"/>
      <c r="I163" s="153"/>
    </row>
    <row r="164" spans="1:9" ht="12.75" customHeight="1">
      <c r="A164" s="153"/>
      <c r="B164" s="153"/>
      <c r="C164" s="153"/>
      <c r="D164" s="153"/>
      <c r="E164" s="153"/>
      <c r="F164" s="153"/>
      <c r="G164" s="153"/>
      <c r="H164" s="153"/>
      <c r="I164" s="153"/>
    </row>
    <row r="165" spans="1:9" ht="12.75" customHeight="1">
      <c r="A165" s="153"/>
      <c r="B165" s="153"/>
      <c r="C165" s="153" t="s">
        <v>1146</v>
      </c>
      <c r="D165" s="153"/>
      <c r="E165" s="153"/>
      <c r="F165" s="153"/>
      <c r="G165" s="153"/>
      <c r="H165" s="153"/>
      <c r="I165" s="153"/>
    </row>
    <row r="166" spans="1:9" ht="12.75" customHeight="1">
      <c r="A166" s="153"/>
      <c r="B166" s="153" t="s">
        <v>1147</v>
      </c>
      <c r="C166" s="153"/>
      <c r="D166" s="153"/>
      <c r="E166" s="153"/>
      <c r="F166" s="153"/>
      <c r="G166" s="153"/>
      <c r="H166" s="153"/>
      <c r="I166" s="153"/>
    </row>
    <row r="167" spans="1:9" ht="12.75" customHeight="1">
      <c r="A167" s="153"/>
      <c r="B167" s="153"/>
      <c r="C167" s="153"/>
      <c r="D167" s="153"/>
      <c r="E167" s="153"/>
      <c r="F167" s="153"/>
      <c r="G167" s="153"/>
      <c r="H167" s="153"/>
      <c r="I167" s="153"/>
    </row>
    <row r="168" spans="1:9" ht="12.75" customHeight="1">
      <c r="A168" s="153"/>
      <c r="B168" s="163" t="s">
        <v>111</v>
      </c>
      <c r="C168" s="153" t="s">
        <v>340</v>
      </c>
      <c r="D168" s="153"/>
      <c r="E168" s="153" t="s">
        <v>10</v>
      </c>
      <c r="F168" s="164" t="s">
        <v>976</v>
      </c>
      <c r="G168" s="153"/>
      <c r="H168" s="153"/>
      <c r="I168" s="153"/>
    </row>
    <row r="169" spans="1:9" ht="12.75" customHeight="1">
      <c r="A169" s="153"/>
      <c r="B169" s="162"/>
      <c r="C169" s="153"/>
      <c r="D169" s="153"/>
      <c r="E169" s="153"/>
      <c r="F169" s="153"/>
      <c r="G169" s="153"/>
      <c r="H169" s="153"/>
      <c r="I169" s="153"/>
    </row>
    <row r="170" spans="1:9" ht="12.75" customHeight="1">
      <c r="A170" s="153"/>
      <c r="B170" s="163" t="s">
        <v>115</v>
      </c>
      <c r="C170" s="153" t="s">
        <v>391</v>
      </c>
      <c r="D170" s="153"/>
      <c r="E170" s="153" t="s">
        <v>10</v>
      </c>
      <c r="F170" s="153" t="s">
        <v>975</v>
      </c>
      <c r="G170" s="153"/>
      <c r="H170" s="153"/>
      <c r="I170" s="153"/>
    </row>
    <row r="171" spans="1:9" ht="12.75" customHeight="1">
      <c r="A171" s="153"/>
      <c r="B171" s="162"/>
      <c r="C171" s="153"/>
      <c r="D171" s="153"/>
      <c r="E171" s="153"/>
      <c r="F171" s="153"/>
      <c r="G171" s="153"/>
      <c r="H171" s="153"/>
      <c r="I171" s="153"/>
    </row>
    <row r="172" spans="1:9" ht="12.75" customHeight="1">
      <c r="A172" s="153"/>
      <c r="B172" s="163" t="s">
        <v>118</v>
      </c>
      <c r="C172" s="153" t="s">
        <v>1149</v>
      </c>
      <c r="D172" s="153"/>
      <c r="E172" s="153" t="s">
        <v>10</v>
      </c>
      <c r="F172" s="164" t="s">
        <v>1175</v>
      </c>
      <c r="G172" s="153"/>
      <c r="H172" s="153"/>
      <c r="I172" s="153"/>
    </row>
    <row r="173" spans="1:9" ht="12.75" customHeight="1">
      <c r="A173" s="153"/>
      <c r="B173" s="162"/>
      <c r="C173" s="153"/>
      <c r="D173" s="153"/>
      <c r="E173" s="153"/>
      <c r="F173" s="153"/>
      <c r="G173" s="153"/>
      <c r="H173" s="153"/>
      <c r="I173" s="153"/>
    </row>
    <row r="174" spans="1:9" ht="12.75" customHeight="1">
      <c r="A174" s="153"/>
      <c r="B174" s="163" t="s">
        <v>121</v>
      </c>
      <c r="C174" s="153" t="s">
        <v>385</v>
      </c>
      <c r="D174" s="153"/>
      <c r="E174" s="153" t="s">
        <v>10</v>
      </c>
      <c r="F174" s="153" t="s">
        <v>974</v>
      </c>
      <c r="G174" s="153"/>
      <c r="H174" s="153"/>
      <c r="I174" s="153"/>
    </row>
    <row r="175" spans="1:9" ht="12.75" customHeight="1">
      <c r="A175" s="153"/>
      <c r="B175" s="162"/>
      <c r="C175" s="153"/>
      <c r="D175" s="153"/>
      <c r="E175" s="153"/>
      <c r="F175" s="153"/>
      <c r="G175" s="153"/>
      <c r="H175" s="153"/>
      <c r="I175" s="153"/>
    </row>
    <row r="176" spans="1:9" ht="12.75" customHeight="1">
      <c r="A176" s="153"/>
      <c r="B176" s="163" t="s">
        <v>124</v>
      </c>
      <c r="C176" s="153" t="s">
        <v>1151</v>
      </c>
      <c r="D176" s="153"/>
      <c r="E176" s="153" t="s">
        <v>10</v>
      </c>
      <c r="F176" s="153" t="s">
        <v>1176</v>
      </c>
      <c r="G176" s="153"/>
      <c r="H176" s="153"/>
      <c r="I176" s="153"/>
    </row>
    <row r="177" spans="1:9" ht="12.75" customHeight="1">
      <c r="A177" s="153"/>
      <c r="B177" s="162"/>
      <c r="C177" s="153"/>
      <c r="D177" s="153"/>
      <c r="E177" s="153"/>
      <c r="F177" s="153" t="s">
        <v>1169</v>
      </c>
      <c r="G177" s="153"/>
      <c r="H177" s="153"/>
      <c r="I177" s="153"/>
    </row>
    <row r="178" spans="1:9" ht="12.75" customHeight="1">
      <c r="A178" s="153"/>
      <c r="B178" s="162"/>
      <c r="C178" s="153"/>
      <c r="D178" s="153"/>
      <c r="E178" s="153"/>
      <c r="F178" s="153"/>
      <c r="G178" s="153"/>
      <c r="H178" s="153"/>
      <c r="I178" s="153"/>
    </row>
    <row r="179" spans="1:9" ht="12.75" customHeight="1">
      <c r="A179" s="153"/>
      <c r="B179" s="163" t="s">
        <v>127</v>
      </c>
      <c r="C179" s="153" t="s">
        <v>1154</v>
      </c>
      <c r="D179" s="153"/>
      <c r="E179" s="153" t="s">
        <v>10</v>
      </c>
      <c r="F179" s="153" t="s">
        <v>1177</v>
      </c>
      <c r="G179" s="153"/>
      <c r="H179" s="153"/>
      <c r="I179" s="153"/>
    </row>
    <row r="180" spans="1:9" ht="12.75" customHeight="1">
      <c r="A180" s="153"/>
      <c r="B180" s="162"/>
      <c r="C180" s="153"/>
      <c r="D180" s="153"/>
      <c r="E180" s="153"/>
      <c r="F180" s="153" t="s">
        <v>1178</v>
      </c>
      <c r="G180" s="153"/>
      <c r="H180" s="153"/>
      <c r="I180" s="153"/>
    </row>
    <row r="181" spans="1:9" ht="12.75" customHeight="1">
      <c r="A181" s="153"/>
      <c r="B181" s="162"/>
      <c r="C181" s="153"/>
      <c r="D181" s="153"/>
      <c r="E181" s="153"/>
      <c r="F181" s="153" t="s">
        <v>1179</v>
      </c>
      <c r="G181" s="153"/>
      <c r="H181" s="153"/>
      <c r="I181" s="153"/>
    </row>
    <row r="182" spans="1:9" ht="12.75" customHeight="1">
      <c r="A182" s="153"/>
      <c r="B182" s="162"/>
      <c r="C182" s="153"/>
      <c r="D182" s="153"/>
      <c r="E182" s="153"/>
      <c r="F182" s="153"/>
      <c r="G182" s="153"/>
      <c r="H182" s="153"/>
      <c r="I182" s="153"/>
    </row>
    <row r="183" spans="1:9" ht="12.75" customHeight="1">
      <c r="A183" s="153"/>
      <c r="B183" s="163" t="s">
        <v>130</v>
      </c>
      <c r="C183" s="153" t="s">
        <v>1158</v>
      </c>
      <c r="D183" s="153"/>
      <c r="E183" s="153" t="s">
        <v>10</v>
      </c>
      <c r="F183" s="153" t="s">
        <v>1159</v>
      </c>
      <c r="G183" s="153" t="s">
        <v>678</v>
      </c>
      <c r="H183" s="153"/>
      <c r="I183" s="153"/>
    </row>
    <row r="184" spans="1:9" ht="12.75" customHeight="1">
      <c r="A184" s="153"/>
      <c r="B184" s="153"/>
      <c r="C184" s="153"/>
      <c r="D184" s="153"/>
      <c r="E184" s="153"/>
      <c r="F184" s="153"/>
      <c r="G184" s="153"/>
      <c r="H184" s="153"/>
      <c r="I184" s="153"/>
    </row>
    <row r="185" spans="1:9" ht="12.75" customHeight="1">
      <c r="A185" s="153"/>
      <c r="B185" s="153" t="s">
        <v>1160</v>
      </c>
      <c r="C185" s="153"/>
      <c r="D185" s="153"/>
      <c r="E185" s="153"/>
      <c r="F185" s="153"/>
      <c r="G185" s="153"/>
      <c r="H185" s="153"/>
      <c r="I185" s="153"/>
    </row>
    <row r="186" spans="1:9" ht="12.75" customHeight="1">
      <c r="A186" s="153"/>
      <c r="B186" s="153" t="s">
        <v>1161</v>
      </c>
      <c r="C186" s="153"/>
      <c r="D186" s="153"/>
      <c r="E186" s="153"/>
      <c r="F186" s="153"/>
      <c r="G186" s="153"/>
      <c r="H186" s="153"/>
      <c r="I186" s="153"/>
    </row>
    <row r="187" spans="1:9" ht="12.75" customHeight="1">
      <c r="A187" s="153"/>
      <c r="B187" s="153"/>
      <c r="C187" s="153"/>
      <c r="D187" s="153"/>
      <c r="E187" s="153"/>
      <c r="F187" s="153"/>
      <c r="G187" s="153"/>
      <c r="H187" s="153"/>
      <c r="I187" s="153"/>
    </row>
    <row r="188" spans="1:9" ht="12.75" customHeight="1">
      <c r="A188" s="153"/>
      <c r="B188" s="153"/>
      <c r="C188" s="153" t="s">
        <v>1162</v>
      </c>
      <c r="D188" s="153"/>
      <c r="E188" s="153"/>
      <c r="F188" s="153"/>
      <c r="G188" s="153"/>
      <c r="H188" s="153"/>
      <c r="I188" s="153"/>
    </row>
    <row r="189" spans="1:9" ht="12.75" customHeight="1">
      <c r="A189" s="153"/>
      <c r="B189" s="153" t="s">
        <v>1163</v>
      </c>
      <c r="C189" s="153"/>
      <c r="D189" s="153"/>
      <c r="E189" s="153"/>
      <c r="F189" s="153"/>
      <c r="G189" s="153"/>
      <c r="H189" s="153"/>
      <c r="I189" s="153"/>
    </row>
    <row r="190" spans="1:9" ht="12.75" customHeight="1">
      <c r="A190" s="153"/>
      <c r="B190" s="153"/>
      <c r="C190" s="153"/>
      <c r="D190" s="153"/>
      <c r="E190" s="153"/>
      <c r="F190" s="153"/>
      <c r="G190" s="153"/>
      <c r="H190" s="153"/>
      <c r="I190" s="153"/>
    </row>
    <row r="191" spans="1:9" ht="12.75" customHeight="1">
      <c r="A191" s="153"/>
      <c r="B191" s="153"/>
      <c r="C191" s="153"/>
      <c r="D191" s="153"/>
      <c r="E191" s="153"/>
      <c r="F191" s="153"/>
      <c r="G191" s="153"/>
      <c r="H191" s="153"/>
      <c r="I191" s="153"/>
    </row>
    <row r="192" spans="1:9" ht="12.75" customHeight="1">
      <c r="A192" s="153"/>
      <c r="B192" s="153"/>
      <c r="C192" s="153"/>
      <c r="D192" s="153"/>
      <c r="E192" s="153"/>
      <c r="F192" s="153"/>
      <c r="G192" s="153"/>
      <c r="H192" s="153"/>
      <c r="I192" s="153"/>
    </row>
    <row r="193" spans="1:9" ht="12.75" customHeight="1">
      <c r="A193" s="153"/>
      <c r="B193" s="153"/>
      <c r="C193" s="153"/>
      <c r="D193" s="153"/>
      <c r="E193" s="153"/>
      <c r="F193" s="153"/>
      <c r="G193" s="153"/>
      <c r="H193" s="153"/>
      <c r="I193" s="153"/>
    </row>
    <row r="194" spans="1:9" ht="12.75" customHeight="1">
      <c r="A194" s="153"/>
      <c r="B194" s="153"/>
      <c r="C194" s="153"/>
      <c r="D194" s="153"/>
      <c r="E194" s="153" t="s">
        <v>1180</v>
      </c>
      <c r="F194" s="153"/>
      <c r="G194" s="153"/>
      <c r="H194" s="153"/>
      <c r="I194" s="153"/>
    </row>
    <row r="195" spans="1:9" ht="12.75" customHeight="1">
      <c r="A195" s="153"/>
      <c r="B195" s="153"/>
      <c r="C195" s="153"/>
      <c r="D195" s="153"/>
      <c r="E195" s="153"/>
      <c r="F195" s="153"/>
      <c r="G195" s="153"/>
      <c r="H195" s="153"/>
      <c r="I195" s="153"/>
    </row>
    <row r="196" spans="1:9" ht="12.75" customHeight="1">
      <c r="A196" s="153"/>
      <c r="B196" s="153"/>
      <c r="C196" s="153"/>
      <c r="D196" s="153"/>
      <c r="E196" s="293" t="s">
        <v>274</v>
      </c>
      <c r="F196" s="194"/>
      <c r="G196" s="194"/>
      <c r="H196" s="194"/>
      <c r="I196" s="153"/>
    </row>
    <row r="197" spans="1:9" ht="12.75" customHeight="1">
      <c r="A197" s="153"/>
      <c r="B197" s="153"/>
      <c r="C197" s="153"/>
      <c r="D197" s="153"/>
      <c r="E197" s="293"/>
      <c r="F197" s="194"/>
      <c r="G197" s="194"/>
      <c r="H197" s="194"/>
      <c r="I197" s="153"/>
    </row>
    <row r="198" spans="1:9" ht="12.75" customHeight="1">
      <c r="A198" s="153"/>
      <c r="B198" s="153"/>
      <c r="C198" s="153"/>
      <c r="D198" s="153"/>
      <c r="E198" s="153"/>
      <c r="F198" s="153"/>
      <c r="G198" s="153"/>
      <c r="H198" s="153"/>
      <c r="I198" s="153"/>
    </row>
    <row r="199" spans="1:9" ht="12.75" customHeight="1">
      <c r="A199" s="153"/>
      <c r="B199" s="153"/>
      <c r="C199" s="153"/>
      <c r="D199" s="153"/>
      <c r="E199" s="153"/>
      <c r="F199" s="153"/>
      <c r="G199" s="153"/>
      <c r="H199" s="153"/>
      <c r="I199" s="153"/>
    </row>
    <row r="200" spans="1:9" ht="12.75" customHeight="1">
      <c r="A200" s="153"/>
      <c r="B200" s="153"/>
      <c r="C200" s="153"/>
      <c r="D200" s="153"/>
      <c r="E200" s="153"/>
      <c r="F200" s="153"/>
      <c r="G200" s="153"/>
      <c r="H200" s="153"/>
      <c r="I200" s="153"/>
    </row>
    <row r="201" spans="1:9" ht="12.75" customHeight="1">
      <c r="A201" s="153"/>
      <c r="B201" s="153"/>
      <c r="C201" s="153"/>
      <c r="D201" s="153"/>
      <c r="E201" s="293" t="s">
        <v>275</v>
      </c>
      <c r="F201" s="194"/>
      <c r="G201" s="194"/>
      <c r="H201" s="194"/>
      <c r="I201" s="153"/>
    </row>
    <row r="202" spans="1:9" ht="12.75" customHeight="1">
      <c r="A202" s="153"/>
      <c r="B202" s="153"/>
      <c r="C202" s="153"/>
      <c r="D202" s="153"/>
      <c r="E202" s="153"/>
      <c r="F202" s="153"/>
      <c r="G202" s="153"/>
      <c r="H202" s="153"/>
      <c r="I202" s="153"/>
    </row>
    <row r="203" spans="1:9" ht="12.75" customHeight="1"/>
    <row r="204" spans="1:9" ht="12.75" customHeight="1"/>
    <row r="205" spans="1:9" ht="12.75" customHeight="1"/>
    <row r="206" spans="1:9" ht="12.75" customHeight="1"/>
    <row r="207" spans="1:9" ht="12.75" customHeight="1"/>
    <row r="208" spans="1:9" ht="12.75" customHeight="1">
      <c r="A208" s="153"/>
      <c r="B208" s="153"/>
      <c r="C208" s="153"/>
      <c r="D208" s="153"/>
      <c r="E208" s="153"/>
      <c r="F208" s="153"/>
      <c r="G208" s="153"/>
      <c r="H208" s="153"/>
      <c r="I208" s="153"/>
    </row>
    <row r="209" spans="1:9" ht="12.75" customHeight="1">
      <c r="A209" s="153"/>
      <c r="B209" s="153"/>
      <c r="C209" s="153"/>
      <c r="D209" s="153"/>
      <c r="E209" s="153"/>
      <c r="F209" s="153"/>
      <c r="G209" s="153"/>
      <c r="H209" s="160" t="s">
        <v>1165</v>
      </c>
      <c r="I209" s="153"/>
    </row>
    <row r="210" spans="1:9" ht="12.75" customHeight="1">
      <c r="A210" s="153"/>
      <c r="B210" s="153"/>
      <c r="C210" s="153"/>
      <c r="D210" s="153"/>
      <c r="E210" s="153"/>
      <c r="F210" s="153"/>
      <c r="G210" s="153"/>
      <c r="H210" s="153"/>
      <c r="I210" s="153"/>
    </row>
    <row r="211" spans="1:9" ht="12.75" customHeight="1">
      <c r="A211" s="153"/>
      <c r="B211" s="290" t="s">
        <v>1143</v>
      </c>
      <c r="C211" s="194"/>
      <c r="D211" s="194"/>
      <c r="E211" s="194"/>
      <c r="F211" s="194"/>
      <c r="G211" s="194"/>
      <c r="H211" s="194"/>
      <c r="I211" s="194"/>
    </row>
    <row r="212" spans="1:9" ht="12.75" customHeight="1">
      <c r="A212" s="153"/>
      <c r="B212" s="291" t="s">
        <v>1144</v>
      </c>
      <c r="C212" s="292"/>
      <c r="D212" s="292"/>
      <c r="E212" s="292"/>
      <c r="F212" s="292"/>
      <c r="G212" s="292"/>
      <c r="H212" s="292"/>
      <c r="I212" s="292"/>
    </row>
    <row r="213" spans="1:9" ht="12.75" customHeight="1">
      <c r="A213" s="153"/>
      <c r="B213" s="153"/>
      <c r="C213" s="153"/>
      <c r="D213" s="153"/>
      <c r="E213" s="153"/>
      <c r="F213" s="153"/>
      <c r="G213" s="153"/>
      <c r="H213" s="153"/>
      <c r="I213" s="153"/>
    </row>
    <row r="214" spans="1:9" ht="12.75" customHeight="1">
      <c r="A214" s="153"/>
      <c r="B214" s="293" t="s">
        <v>1181</v>
      </c>
      <c r="C214" s="194"/>
      <c r="D214" s="194"/>
      <c r="E214" s="194"/>
      <c r="F214" s="194"/>
      <c r="G214" s="194"/>
      <c r="H214" s="194"/>
      <c r="I214" s="194"/>
    </row>
    <row r="215" spans="1:9" ht="12.75" customHeight="1">
      <c r="A215" s="153"/>
      <c r="B215" s="153"/>
      <c r="C215" s="153"/>
      <c r="D215" s="153"/>
      <c r="E215" s="153"/>
      <c r="F215" s="153"/>
      <c r="G215" s="153"/>
      <c r="H215" s="153"/>
      <c r="I215" s="153"/>
    </row>
    <row r="216" spans="1:9" ht="12.75" customHeight="1">
      <c r="A216" s="153"/>
      <c r="B216" s="153"/>
      <c r="C216" s="153"/>
      <c r="D216" s="153"/>
      <c r="E216" s="153"/>
      <c r="F216" s="153"/>
      <c r="G216" s="153"/>
      <c r="H216" s="153"/>
      <c r="I216" s="153"/>
    </row>
    <row r="217" spans="1:9" ht="12.75" customHeight="1">
      <c r="A217" s="153"/>
      <c r="B217" s="153"/>
      <c r="C217" s="153" t="s">
        <v>1146</v>
      </c>
      <c r="D217" s="153"/>
      <c r="E217" s="153"/>
      <c r="F217" s="153"/>
      <c r="G217" s="153"/>
      <c r="H217" s="153"/>
      <c r="I217" s="153"/>
    </row>
    <row r="218" spans="1:9" ht="12.75" customHeight="1">
      <c r="A218" s="153"/>
      <c r="B218" s="153" t="s">
        <v>1147</v>
      </c>
      <c r="C218" s="153"/>
      <c r="D218" s="153"/>
      <c r="E218" s="153"/>
      <c r="F218" s="153"/>
      <c r="G218" s="153"/>
      <c r="H218" s="153"/>
      <c r="I218" s="153"/>
    </row>
    <row r="219" spans="1:9" ht="12.75" customHeight="1">
      <c r="A219" s="153"/>
      <c r="B219" s="153"/>
      <c r="C219" s="153"/>
      <c r="D219" s="153"/>
      <c r="E219" s="153"/>
      <c r="F219" s="153"/>
      <c r="G219" s="153"/>
      <c r="H219" s="153"/>
      <c r="I219" s="153"/>
    </row>
    <row r="220" spans="1:9" ht="12.75" customHeight="1">
      <c r="A220" s="153"/>
      <c r="B220" s="163" t="s">
        <v>111</v>
      </c>
      <c r="C220" s="153" t="s">
        <v>340</v>
      </c>
      <c r="D220" s="153"/>
      <c r="E220" s="153" t="s">
        <v>10</v>
      </c>
      <c r="F220" s="164" t="s">
        <v>1182</v>
      </c>
      <c r="G220" s="153"/>
      <c r="H220" s="153"/>
      <c r="I220" s="153"/>
    </row>
    <row r="221" spans="1:9" ht="12.75" customHeight="1">
      <c r="A221" s="153"/>
      <c r="B221" s="162"/>
      <c r="C221" s="153"/>
      <c r="D221" s="153"/>
      <c r="E221" s="153"/>
      <c r="F221" s="153"/>
      <c r="G221" s="153"/>
      <c r="H221" s="153"/>
      <c r="I221" s="153"/>
    </row>
    <row r="222" spans="1:9" ht="12.75" customHeight="1">
      <c r="A222" s="153"/>
      <c r="B222" s="163" t="s">
        <v>115</v>
      </c>
      <c r="C222" s="153" t="s">
        <v>391</v>
      </c>
      <c r="D222" s="153"/>
      <c r="E222" s="153" t="s">
        <v>10</v>
      </c>
      <c r="F222" s="153" t="s">
        <v>1183</v>
      </c>
      <c r="G222" s="153"/>
      <c r="H222" s="153"/>
      <c r="I222" s="153"/>
    </row>
    <row r="223" spans="1:9" ht="12.75" customHeight="1">
      <c r="A223" s="153"/>
      <c r="B223" s="162"/>
      <c r="C223" s="153"/>
      <c r="D223" s="153"/>
      <c r="E223" s="153"/>
      <c r="F223" s="153"/>
      <c r="G223" s="153"/>
      <c r="H223" s="153"/>
      <c r="I223" s="153"/>
    </row>
    <row r="224" spans="1:9" ht="12.75" customHeight="1">
      <c r="A224" s="153"/>
      <c r="B224" s="163" t="s">
        <v>118</v>
      </c>
      <c r="C224" s="153" t="s">
        <v>1149</v>
      </c>
      <c r="D224" s="153"/>
      <c r="E224" s="153" t="s">
        <v>10</v>
      </c>
      <c r="F224" s="164" t="s">
        <v>1184</v>
      </c>
      <c r="G224" s="153"/>
      <c r="H224" s="153"/>
      <c r="I224" s="153"/>
    </row>
    <row r="225" spans="1:9" ht="12.75" customHeight="1">
      <c r="A225" s="153"/>
      <c r="B225" s="162"/>
      <c r="C225" s="153"/>
      <c r="D225" s="153"/>
      <c r="E225" s="153"/>
      <c r="F225" s="153"/>
      <c r="G225" s="153"/>
      <c r="H225" s="153"/>
      <c r="I225" s="153"/>
    </row>
    <row r="226" spans="1:9" ht="12.75" customHeight="1">
      <c r="A226" s="153"/>
      <c r="B226" s="163" t="s">
        <v>121</v>
      </c>
      <c r="C226" s="153" t="s">
        <v>385</v>
      </c>
      <c r="D226" s="153"/>
      <c r="E226" s="153" t="s">
        <v>10</v>
      </c>
      <c r="F226" s="153" t="s">
        <v>1183</v>
      </c>
      <c r="G226" s="153"/>
      <c r="H226" s="153"/>
      <c r="I226" s="153"/>
    </row>
    <row r="227" spans="1:9" ht="12.75" customHeight="1">
      <c r="A227" s="153"/>
      <c r="B227" s="162"/>
      <c r="C227" s="153"/>
      <c r="D227" s="153"/>
      <c r="E227" s="153"/>
      <c r="F227" s="153"/>
      <c r="G227" s="153"/>
      <c r="H227" s="153"/>
      <c r="I227" s="153"/>
    </row>
    <row r="228" spans="1:9" ht="12.75" customHeight="1">
      <c r="A228" s="153"/>
      <c r="B228" s="163" t="s">
        <v>124</v>
      </c>
      <c r="C228" s="153" t="s">
        <v>1151</v>
      </c>
      <c r="D228" s="153"/>
      <c r="E228" s="153" t="s">
        <v>10</v>
      </c>
      <c r="F228" s="153" t="s">
        <v>1185</v>
      </c>
      <c r="G228" s="153"/>
      <c r="H228" s="153"/>
      <c r="I228" s="153"/>
    </row>
    <row r="229" spans="1:9" ht="12.75" customHeight="1">
      <c r="A229" s="153"/>
      <c r="B229" s="162"/>
      <c r="C229" s="153"/>
      <c r="D229" s="153"/>
      <c r="E229" s="153"/>
      <c r="F229" s="153" t="s">
        <v>1186</v>
      </c>
      <c r="G229" s="153"/>
      <c r="H229" s="153"/>
      <c r="I229" s="153"/>
    </row>
    <row r="230" spans="1:9" ht="12.75" customHeight="1">
      <c r="A230" s="153"/>
      <c r="B230" s="162"/>
      <c r="C230" s="153"/>
      <c r="D230" s="153"/>
      <c r="E230" s="153"/>
      <c r="F230" s="153"/>
      <c r="G230" s="153"/>
      <c r="H230" s="153"/>
      <c r="I230" s="153"/>
    </row>
    <row r="231" spans="1:9" ht="12.75" customHeight="1">
      <c r="A231" s="153"/>
      <c r="B231" s="163" t="s">
        <v>127</v>
      </c>
      <c r="C231" s="153" t="s">
        <v>1154</v>
      </c>
      <c r="D231" s="153"/>
      <c r="E231" s="153" t="s">
        <v>10</v>
      </c>
      <c r="F231" s="153" t="s">
        <v>1168</v>
      </c>
      <c r="G231" s="153"/>
      <c r="H231" s="153"/>
      <c r="I231" s="153"/>
    </row>
    <row r="232" spans="1:9" ht="12.75" customHeight="1">
      <c r="A232" s="153"/>
      <c r="B232" s="162"/>
      <c r="C232" s="153"/>
      <c r="D232" s="153"/>
      <c r="E232" s="153"/>
      <c r="F232" s="153" t="s">
        <v>1153</v>
      </c>
      <c r="G232" s="153"/>
      <c r="H232" s="153"/>
      <c r="I232" s="153"/>
    </row>
    <row r="233" spans="1:9" ht="12.75" customHeight="1">
      <c r="A233" s="153"/>
      <c r="B233" s="162"/>
      <c r="C233" s="153"/>
      <c r="D233" s="153"/>
      <c r="E233" s="153"/>
      <c r="F233" s="153"/>
      <c r="G233" s="153"/>
      <c r="H233" s="153"/>
      <c r="I233" s="153"/>
    </row>
    <row r="234" spans="1:9" ht="12.75" customHeight="1">
      <c r="A234" s="153"/>
      <c r="B234" s="163" t="s">
        <v>130</v>
      </c>
      <c r="C234" s="153" t="s">
        <v>1158</v>
      </c>
      <c r="D234" s="153"/>
      <c r="E234" s="153" t="s">
        <v>10</v>
      </c>
      <c r="F234" s="153" t="s">
        <v>1159</v>
      </c>
      <c r="G234" s="153" t="s">
        <v>678</v>
      </c>
      <c r="H234" s="153"/>
      <c r="I234" s="153"/>
    </row>
    <row r="235" spans="1:9" ht="12.75" customHeight="1">
      <c r="A235" s="153"/>
      <c r="B235" s="153"/>
      <c r="C235" s="153"/>
      <c r="D235" s="153"/>
      <c r="E235" s="153"/>
      <c r="F235" s="153"/>
      <c r="G235" s="153"/>
      <c r="H235" s="153"/>
      <c r="I235" s="153"/>
    </row>
    <row r="236" spans="1:9" ht="12.75" customHeight="1">
      <c r="A236" s="153"/>
      <c r="B236" s="153" t="s">
        <v>1160</v>
      </c>
      <c r="C236" s="153"/>
      <c r="D236" s="153"/>
      <c r="E236" s="153"/>
      <c r="F236" s="153"/>
      <c r="G236" s="153"/>
      <c r="H236" s="153"/>
      <c r="I236" s="153"/>
    </row>
    <row r="237" spans="1:9" ht="12.75" customHeight="1">
      <c r="A237" s="153"/>
      <c r="B237" s="153" t="s">
        <v>1161</v>
      </c>
      <c r="C237" s="153"/>
      <c r="D237" s="153"/>
      <c r="E237" s="153"/>
      <c r="F237" s="153"/>
      <c r="G237" s="153"/>
      <c r="H237" s="153"/>
      <c r="I237" s="153"/>
    </row>
    <row r="238" spans="1:9" ht="12.75" customHeight="1">
      <c r="A238" s="153"/>
      <c r="B238" s="153"/>
      <c r="C238" s="153"/>
      <c r="D238" s="153"/>
      <c r="E238" s="153"/>
      <c r="F238" s="153"/>
      <c r="G238" s="153"/>
      <c r="H238" s="153"/>
      <c r="I238" s="153"/>
    </row>
    <row r="239" spans="1:9" ht="12.75" customHeight="1">
      <c r="A239" s="153"/>
      <c r="B239" s="153"/>
      <c r="C239" s="153" t="s">
        <v>1162</v>
      </c>
      <c r="D239" s="153"/>
      <c r="E239" s="153"/>
      <c r="F239" s="153"/>
      <c r="G239" s="153"/>
      <c r="H239" s="153"/>
      <c r="I239" s="153"/>
    </row>
    <row r="240" spans="1:9" ht="12.75" customHeight="1">
      <c r="A240" s="153"/>
      <c r="B240" s="153" t="s">
        <v>1163</v>
      </c>
      <c r="C240" s="153"/>
      <c r="D240" s="153"/>
      <c r="E240" s="153"/>
      <c r="F240" s="153"/>
      <c r="G240" s="153"/>
      <c r="H240" s="153"/>
      <c r="I240" s="153"/>
    </row>
    <row r="241" spans="1:9" ht="12.75" customHeight="1">
      <c r="A241" s="153"/>
      <c r="B241" s="153"/>
      <c r="C241" s="153"/>
      <c r="D241" s="153"/>
      <c r="E241" s="153"/>
      <c r="F241" s="153"/>
      <c r="G241" s="153"/>
      <c r="H241" s="153"/>
      <c r="I241" s="153"/>
    </row>
    <row r="242" spans="1:9" ht="12.75" customHeight="1">
      <c r="A242" s="153"/>
      <c r="B242" s="153"/>
      <c r="C242" s="153"/>
      <c r="D242" s="153"/>
      <c r="E242" s="153"/>
      <c r="F242" s="153"/>
      <c r="G242" s="153"/>
      <c r="H242" s="153"/>
      <c r="I242" s="153"/>
    </row>
    <row r="243" spans="1:9" ht="12.75" customHeight="1">
      <c r="A243" s="153"/>
      <c r="B243" s="153"/>
      <c r="C243" s="153"/>
      <c r="D243" s="153"/>
      <c r="E243" s="153"/>
      <c r="F243" s="153"/>
      <c r="G243" s="153"/>
      <c r="H243" s="153"/>
      <c r="I243" s="153"/>
    </row>
    <row r="244" spans="1:9" ht="12.75" customHeight="1">
      <c r="A244" s="153"/>
      <c r="B244" s="153"/>
      <c r="C244" s="153"/>
      <c r="D244" s="153"/>
      <c r="E244" s="153"/>
      <c r="F244" s="153"/>
      <c r="G244" s="153"/>
      <c r="H244" s="153"/>
      <c r="I244" s="153"/>
    </row>
    <row r="245" spans="1:9" ht="12.75" customHeight="1">
      <c r="A245" s="153"/>
      <c r="B245" s="153"/>
      <c r="C245" s="153"/>
      <c r="D245" s="153"/>
      <c r="E245" s="153" t="s">
        <v>1187</v>
      </c>
      <c r="F245" s="153"/>
      <c r="G245" s="153"/>
      <c r="H245" s="153"/>
      <c r="I245" s="153"/>
    </row>
    <row r="246" spans="1:9" ht="12.75" customHeight="1">
      <c r="A246" s="153"/>
      <c r="B246" s="153"/>
      <c r="C246" s="153"/>
      <c r="D246" s="153"/>
      <c r="E246" s="153"/>
      <c r="F246" s="153"/>
      <c r="G246" s="153"/>
      <c r="H246" s="153"/>
      <c r="I246" s="153"/>
    </row>
    <row r="247" spans="1:9" ht="12.75" customHeight="1">
      <c r="A247" s="153"/>
      <c r="B247" s="153"/>
      <c r="C247" s="153"/>
      <c r="D247" s="153"/>
      <c r="E247" s="293" t="s">
        <v>494</v>
      </c>
      <c r="F247" s="194"/>
      <c r="G247" s="194"/>
      <c r="H247" s="194"/>
      <c r="I247" s="153"/>
    </row>
    <row r="248" spans="1:9" ht="12.75" customHeight="1">
      <c r="A248" s="153"/>
      <c r="B248" s="153"/>
      <c r="C248" s="153"/>
      <c r="D248" s="153"/>
      <c r="E248" s="293" t="s">
        <v>365</v>
      </c>
      <c r="F248" s="194"/>
      <c r="G248" s="194"/>
      <c r="H248" s="194"/>
      <c r="I248" s="153"/>
    </row>
    <row r="249" spans="1:9" ht="12.75" customHeight="1">
      <c r="A249" s="153"/>
      <c r="B249" s="153"/>
      <c r="C249" s="153"/>
      <c r="D249" s="153"/>
      <c r="E249" s="153"/>
      <c r="F249" s="153"/>
      <c r="G249" s="153"/>
      <c r="H249" s="153"/>
      <c r="I249" s="153"/>
    </row>
    <row r="250" spans="1:9" ht="12.75" customHeight="1">
      <c r="A250" s="153"/>
      <c r="B250" s="153"/>
      <c r="C250" s="153"/>
      <c r="D250" s="153"/>
      <c r="E250" s="153"/>
      <c r="F250" s="153"/>
      <c r="G250" s="153"/>
      <c r="H250" s="153"/>
      <c r="I250" s="153"/>
    </row>
    <row r="251" spans="1:9" ht="12.75" customHeight="1">
      <c r="A251" s="153"/>
      <c r="B251" s="153"/>
      <c r="C251" s="153"/>
      <c r="D251" s="153"/>
      <c r="E251" s="153"/>
      <c r="F251" s="153"/>
      <c r="G251" s="153"/>
      <c r="H251" s="153"/>
      <c r="I251" s="153"/>
    </row>
    <row r="252" spans="1:9" ht="12.75" customHeight="1">
      <c r="A252" s="153"/>
      <c r="B252" s="153"/>
      <c r="C252" s="153"/>
      <c r="D252" s="153"/>
      <c r="E252" s="293" t="s">
        <v>366</v>
      </c>
      <c r="F252" s="194"/>
      <c r="G252" s="194"/>
      <c r="H252" s="194"/>
      <c r="I252" s="153"/>
    </row>
    <row r="253" spans="1:9" ht="12.75" customHeight="1">
      <c r="A253" s="153"/>
      <c r="B253" s="153"/>
      <c r="C253" s="153"/>
      <c r="D253" s="153"/>
      <c r="E253" s="153"/>
      <c r="F253" s="153"/>
      <c r="G253" s="153"/>
      <c r="H253" s="153"/>
      <c r="I253" s="153"/>
    </row>
    <row r="254" spans="1:9" ht="12.75" customHeight="1">
      <c r="A254" s="153"/>
      <c r="B254" s="153"/>
      <c r="C254" s="153"/>
      <c r="D254" s="153"/>
      <c r="E254" s="153"/>
      <c r="F254" s="153"/>
      <c r="G254" s="153"/>
      <c r="H254" s="153"/>
      <c r="I254" s="153"/>
    </row>
    <row r="255" spans="1:9" ht="12.75" customHeight="1">
      <c r="A255" s="153"/>
      <c r="B255" s="153"/>
      <c r="C255" s="153"/>
      <c r="D255" s="153"/>
      <c r="E255" s="153"/>
      <c r="F255" s="153"/>
      <c r="G255" s="153"/>
      <c r="H255" s="153"/>
      <c r="I255" s="153"/>
    </row>
    <row r="256" spans="1:9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4">
    <mergeCell ref="E248:H248"/>
    <mergeCell ref="E252:H252"/>
    <mergeCell ref="B162:I162"/>
    <mergeCell ref="E196:H196"/>
    <mergeCell ref="E197:H197"/>
    <mergeCell ref="E201:H201"/>
    <mergeCell ref="B211:I211"/>
    <mergeCell ref="B212:I212"/>
    <mergeCell ref="B214:I214"/>
    <mergeCell ref="E104:H104"/>
    <mergeCell ref="E108:H108"/>
    <mergeCell ref="B159:I159"/>
    <mergeCell ref="B160:I160"/>
    <mergeCell ref="E247:H247"/>
    <mergeCell ref="E46:H46"/>
    <mergeCell ref="B66:I66"/>
    <mergeCell ref="B67:I67"/>
    <mergeCell ref="B69:I69"/>
    <mergeCell ref="E103:H103"/>
    <mergeCell ref="B4:I4"/>
    <mergeCell ref="B5:I5"/>
    <mergeCell ref="B7:I7"/>
    <mergeCell ref="E41:H41"/>
    <mergeCell ref="E42:H42"/>
  </mergeCells>
  <pageMargins left="0.70866141732283472" right="0.51181102362204722" top="0.74803149606299213" bottom="0.55118110236220474" header="0" footer="0"/>
  <pageSetup paperSize="5" scale="9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5703125" defaultRowHeight="15" customHeight="1"/>
  <cols>
    <col min="1" max="26" width="8.570312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2.5703125" defaultRowHeight="15" customHeight="1"/>
  <cols>
    <col min="1" max="26" width="8.570312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ISIAN DATA</vt:lpstr>
      <vt:lpstr>kwiTANSI</vt:lpstr>
      <vt:lpstr>PAPAN PROYEK</vt:lpstr>
      <vt:lpstr>form 3 RPD</vt:lpstr>
      <vt:lpstr>Form.N-1</vt:lpstr>
      <vt:lpstr>Form.N-2</vt:lpstr>
      <vt:lpstr>Form. N-3</vt:lpstr>
      <vt:lpstr>Form.N - 4</vt:lpstr>
      <vt:lpstr>Form. N7</vt:lpstr>
      <vt:lpstr>Surat Kematian</vt:lpstr>
      <vt:lpstr>SUKET KEMATIAN B</vt:lpstr>
      <vt:lpstr>Surat Kelahiran</vt:lpstr>
      <vt:lpstr>RAB LAPANGAN</vt:lpstr>
      <vt:lpstr>Sheet5</vt:lpstr>
      <vt:lpstr>Sheet1</vt:lpstr>
      <vt:lpstr>FOM.KK</vt:lpstr>
      <vt:lpstr>Sheet2</vt:lpstr>
      <vt:lpstr>Sheet3</vt:lpstr>
      <vt:lpstr>pindah datang</vt:lpstr>
      <vt:lpstr>PENG NU</vt:lpstr>
      <vt:lpstr>Surat Pengantar Pindah</vt:lpstr>
      <vt:lpstr>Sheet6</vt:lpstr>
      <vt:lpstr>Sheet4</vt:lpstr>
      <vt:lpstr>'Surat Kelahiran'!Print_Area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Asem-Arang</dc:creator>
  <cp:lastModifiedBy>Windows User</cp:lastModifiedBy>
  <cp:lastPrinted>2026-08-21T01:24:12Z</cp:lastPrinted>
  <dcterms:created xsi:type="dcterms:W3CDTF">2002-07-19T09:30:32Z</dcterms:created>
  <dcterms:modified xsi:type="dcterms:W3CDTF">2026-08-21T01:39:25Z</dcterms:modified>
</cp:coreProperties>
</file>